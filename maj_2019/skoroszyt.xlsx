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ol\Documents\matura\maj_2019\"/>
    </mc:Choice>
  </mc:AlternateContent>
  <xr:revisionPtr revIDLastSave="0" documentId="8_{ABF1EBC9-144B-4554-8D29-172E906BDE62}" xr6:coauthVersionLast="47" xr6:coauthVersionMax="47" xr10:uidLastSave="{00000000-0000-0000-0000-000000000000}"/>
  <bookViews>
    <workbookView xWindow="-120" yWindow="-120" windowWidth="29040" windowHeight="17520" activeTab="6" xr2:uid="{178609CC-473E-4313-8AF5-9933F2439294}"/>
  </bookViews>
  <sheets>
    <sheet name="import" sheetId="2" r:id="rId1"/>
    <sheet name="5.1" sheetId="1" r:id="rId2"/>
    <sheet name="5.2" sheetId="3" r:id="rId3"/>
    <sheet name="5.3 - tabela" sheetId="6" r:id="rId4"/>
    <sheet name="5.3" sheetId="4" r:id="rId5"/>
    <sheet name="5.4.a" sheetId="7" r:id="rId6"/>
    <sheet name="5.4 b,c" sheetId="8" r:id="rId7"/>
  </sheets>
  <definedNames>
    <definedName name="ExternalData_1" localSheetId="0" hidden="1">import!$A$1:$E$501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8" l="1"/>
  <c r="K301" i="8"/>
  <c r="K300" i="8"/>
  <c r="K290" i="8"/>
  <c r="K280" i="8"/>
  <c r="K270" i="8"/>
  <c r="K260" i="8"/>
  <c r="K250" i="8"/>
  <c r="K240" i="8"/>
  <c r="K230" i="8"/>
  <c r="K220" i="8"/>
  <c r="K210" i="8"/>
  <c r="K209" i="8"/>
  <c r="K208" i="8"/>
  <c r="K207" i="8"/>
  <c r="K206" i="8"/>
  <c r="K205" i="8"/>
  <c r="K204" i="8"/>
  <c r="K203" i="8"/>
  <c r="K202" i="8"/>
  <c r="K201" i="8"/>
  <c r="K200" i="8"/>
  <c r="K190" i="8"/>
  <c r="K180" i="8"/>
  <c r="K170" i="8"/>
  <c r="K160" i="8"/>
  <c r="K150" i="8"/>
  <c r="K140" i="8"/>
  <c r="K130" i="8"/>
  <c r="K120" i="8"/>
  <c r="K110" i="8"/>
  <c r="K109" i="8"/>
  <c r="K108" i="8"/>
  <c r="K107" i="8"/>
  <c r="K106" i="8"/>
  <c r="K105" i="8"/>
  <c r="K104" i="8"/>
  <c r="K103" i="8"/>
  <c r="K102" i="8"/>
  <c r="K101" i="8"/>
  <c r="K100" i="8"/>
  <c r="K90" i="8"/>
  <c r="K80" i="8"/>
  <c r="K70" i="8"/>
  <c r="K60" i="8"/>
  <c r="K50" i="8"/>
  <c r="K40" i="8"/>
  <c r="K30" i="8"/>
  <c r="K20" i="8"/>
  <c r="K10" i="8"/>
  <c r="J10" i="8"/>
  <c r="E7" i="8" a="1"/>
  <c r="E7" i="8" s="1"/>
  <c r="E8" i="8" s="1" a="1"/>
  <c r="E8" i="8" s="1"/>
  <c r="E9" i="8" s="1" a="1"/>
  <c r="E9" i="8" s="1"/>
  <c r="E10" i="8" s="1" a="1"/>
  <c r="E10" i="8" s="1"/>
  <c r="H2" i="8"/>
  <c r="J2" i="8"/>
  <c r="K2" i="8"/>
  <c r="H3" i="8"/>
  <c r="J3" i="8"/>
  <c r="K3" i="8"/>
  <c r="H4" i="8"/>
  <c r="J4" i="8"/>
  <c r="K4" i="8"/>
  <c r="H5" i="8"/>
  <c r="J5" i="8"/>
  <c r="K5" i="8"/>
  <c r="H6" i="8"/>
  <c r="J6" i="8"/>
  <c r="K6" i="8"/>
  <c r="J7" i="8"/>
  <c r="K7" i="8"/>
  <c r="I8" i="8" a="1"/>
  <c r="I8" i="8" s="1"/>
  <c r="K8" i="8"/>
  <c r="K9" i="8"/>
  <c r="K11" i="8"/>
  <c r="K12" i="8"/>
  <c r="K13" i="8"/>
  <c r="K14" i="8"/>
  <c r="K15" i="8"/>
  <c r="K16" i="8"/>
  <c r="K17" i="8"/>
  <c r="K18" i="8"/>
  <c r="K19" i="8"/>
  <c r="K21" i="8"/>
  <c r="K22" i="8"/>
  <c r="K23" i="8"/>
  <c r="K24" i="8"/>
  <c r="K25" i="8"/>
  <c r="K26" i="8"/>
  <c r="K27" i="8"/>
  <c r="K28" i="8"/>
  <c r="K29" i="8"/>
  <c r="K31" i="8"/>
  <c r="K32" i="8"/>
  <c r="K33" i="8"/>
  <c r="K34" i="8"/>
  <c r="K35" i="8"/>
  <c r="K36" i="8"/>
  <c r="K37" i="8"/>
  <c r="K38" i="8"/>
  <c r="K39" i="8"/>
  <c r="K41" i="8"/>
  <c r="K42" i="8"/>
  <c r="K43" i="8"/>
  <c r="K44" i="8"/>
  <c r="K45" i="8"/>
  <c r="K46" i="8"/>
  <c r="K47" i="8"/>
  <c r="K48" i="8"/>
  <c r="K49" i="8"/>
  <c r="K51" i="8"/>
  <c r="K52" i="8"/>
  <c r="K53" i="8"/>
  <c r="K54" i="8"/>
  <c r="K55" i="8"/>
  <c r="K56" i="8"/>
  <c r="K57" i="8"/>
  <c r="K58" i="8"/>
  <c r="K59" i="8"/>
  <c r="K61" i="8"/>
  <c r="K62" i="8"/>
  <c r="K63" i="8"/>
  <c r="K64" i="8"/>
  <c r="K65" i="8"/>
  <c r="K66" i="8"/>
  <c r="K67" i="8"/>
  <c r="K68" i="8"/>
  <c r="K69" i="8"/>
  <c r="K71" i="8"/>
  <c r="K72" i="8"/>
  <c r="K73" i="8"/>
  <c r="K74" i="8"/>
  <c r="K75" i="8"/>
  <c r="K76" i="8"/>
  <c r="K77" i="8"/>
  <c r="K78" i="8"/>
  <c r="K79" i="8"/>
  <c r="K81" i="8"/>
  <c r="K82" i="8"/>
  <c r="K83" i="8"/>
  <c r="K84" i="8"/>
  <c r="K85" i="8"/>
  <c r="K86" i="8"/>
  <c r="K87" i="8"/>
  <c r="K88" i="8"/>
  <c r="K89" i="8"/>
  <c r="K91" i="8"/>
  <c r="K92" i="8"/>
  <c r="K93" i="8"/>
  <c r="K94" i="8"/>
  <c r="K95" i="8"/>
  <c r="K96" i="8"/>
  <c r="K97" i="8"/>
  <c r="K98" i="8"/>
  <c r="K99" i="8"/>
  <c r="K111" i="8"/>
  <c r="K112" i="8"/>
  <c r="K113" i="8"/>
  <c r="K114" i="8"/>
  <c r="K115" i="8"/>
  <c r="K116" i="8"/>
  <c r="K117" i="8"/>
  <c r="K118" i="8"/>
  <c r="K119" i="8"/>
  <c r="K121" i="8"/>
  <c r="K122" i="8"/>
  <c r="K123" i="8"/>
  <c r="K124" i="8"/>
  <c r="K125" i="8"/>
  <c r="K126" i="8"/>
  <c r="K127" i="8"/>
  <c r="K128" i="8"/>
  <c r="K129" i="8"/>
  <c r="K131" i="8"/>
  <c r="K132" i="8"/>
  <c r="K133" i="8"/>
  <c r="K134" i="8"/>
  <c r="K135" i="8"/>
  <c r="K136" i="8"/>
  <c r="K137" i="8"/>
  <c r="K138" i="8"/>
  <c r="K139" i="8"/>
  <c r="K141" i="8"/>
  <c r="K142" i="8"/>
  <c r="K143" i="8"/>
  <c r="K144" i="8"/>
  <c r="K145" i="8"/>
  <c r="K146" i="8"/>
  <c r="K147" i="8"/>
  <c r="K148" i="8"/>
  <c r="K149" i="8"/>
  <c r="K151" i="8"/>
  <c r="K152" i="8"/>
  <c r="K153" i="8"/>
  <c r="K154" i="8"/>
  <c r="K155" i="8"/>
  <c r="K156" i="8"/>
  <c r="K157" i="8"/>
  <c r="K158" i="8"/>
  <c r="K159" i="8"/>
  <c r="K161" i="8"/>
  <c r="K162" i="8"/>
  <c r="K163" i="8"/>
  <c r="K164" i="8"/>
  <c r="K165" i="8"/>
  <c r="K166" i="8"/>
  <c r="K167" i="8"/>
  <c r="K168" i="8"/>
  <c r="K169" i="8"/>
  <c r="K171" i="8"/>
  <c r="K172" i="8"/>
  <c r="K173" i="8"/>
  <c r="K174" i="8"/>
  <c r="K175" i="8"/>
  <c r="K176" i="8"/>
  <c r="K177" i="8"/>
  <c r="K178" i="8"/>
  <c r="K179" i="8"/>
  <c r="K181" i="8"/>
  <c r="K182" i="8"/>
  <c r="K183" i="8"/>
  <c r="K184" i="8"/>
  <c r="K185" i="8"/>
  <c r="K186" i="8"/>
  <c r="K187" i="8"/>
  <c r="K188" i="8"/>
  <c r="K189" i="8"/>
  <c r="K191" i="8"/>
  <c r="K192" i="8"/>
  <c r="K193" i="8"/>
  <c r="K194" i="8"/>
  <c r="K195" i="8"/>
  <c r="K196" i="8"/>
  <c r="K197" i="8"/>
  <c r="K198" i="8"/>
  <c r="K199" i="8"/>
  <c r="K211" i="8"/>
  <c r="K212" i="8"/>
  <c r="K213" i="8"/>
  <c r="K214" i="8"/>
  <c r="K215" i="8"/>
  <c r="K216" i="8"/>
  <c r="K217" i="8"/>
  <c r="K218" i="8"/>
  <c r="K219" i="8"/>
  <c r="K221" i="8"/>
  <c r="K222" i="8"/>
  <c r="K223" i="8"/>
  <c r="K224" i="8"/>
  <c r="K225" i="8"/>
  <c r="K226" i="8"/>
  <c r="K227" i="8"/>
  <c r="K228" i="8"/>
  <c r="K229" i="8"/>
  <c r="K231" i="8"/>
  <c r="K232" i="8"/>
  <c r="K233" i="8"/>
  <c r="K234" i="8"/>
  <c r="K235" i="8"/>
  <c r="K236" i="8"/>
  <c r="K237" i="8"/>
  <c r="K238" i="8"/>
  <c r="K239" i="8"/>
  <c r="K241" i="8"/>
  <c r="K242" i="8"/>
  <c r="K243" i="8"/>
  <c r="K244" i="8"/>
  <c r="K245" i="8"/>
  <c r="K246" i="8"/>
  <c r="K247" i="8"/>
  <c r="K248" i="8"/>
  <c r="K249" i="8"/>
  <c r="K251" i="8"/>
  <c r="K252" i="8"/>
  <c r="K253" i="8"/>
  <c r="K254" i="8"/>
  <c r="K255" i="8"/>
  <c r="K256" i="8"/>
  <c r="K257" i="8"/>
  <c r="K258" i="8"/>
  <c r="K259" i="8"/>
  <c r="K261" i="8"/>
  <c r="K262" i="8"/>
  <c r="K263" i="8"/>
  <c r="K264" i="8"/>
  <c r="K265" i="8"/>
  <c r="K266" i="8"/>
  <c r="K267" i="8"/>
  <c r="K268" i="8"/>
  <c r="K269" i="8"/>
  <c r="K271" i="8"/>
  <c r="K272" i="8"/>
  <c r="K273" i="8"/>
  <c r="K274" i="8"/>
  <c r="K275" i="8"/>
  <c r="K276" i="8"/>
  <c r="K277" i="8"/>
  <c r="K278" i="8"/>
  <c r="K279" i="8"/>
  <c r="K281" i="8"/>
  <c r="K282" i="8"/>
  <c r="K283" i="8"/>
  <c r="K284" i="8"/>
  <c r="K285" i="8"/>
  <c r="K286" i="8"/>
  <c r="K287" i="8"/>
  <c r="K288" i="8"/>
  <c r="K289" i="8"/>
  <c r="K291" i="8"/>
  <c r="K292" i="8"/>
  <c r="K293" i="8"/>
  <c r="K294" i="8"/>
  <c r="K295" i="8"/>
  <c r="K296" i="8"/>
  <c r="K297" i="8"/>
  <c r="K298" i="8"/>
  <c r="K299" i="8"/>
  <c r="H3" i="7"/>
  <c r="I3" i="7"/>
  <c r="J3" i="7"/>
  <c r="K3" i="7"/>
  <c r="G3" i="7"/>
  <c r="E8" i="7" a="1"/>
  <c r="E8" i="7" s="1"/>
  <c r="E9" i="7" s="1" a="1"/>
  <c r="E9" i="7" s="1"/>
  <c r="E10" i="7" s="1" a="1"/>
  <c r="E10" i="7" s="1"/>
  <c r="E11" i="7" s="1" a="1"/>
  <c r="E11" i="7" s="1"/>
  <c r="E12" i="7" s="1" a="1"/>
  <c r="E12" i="7" s="1"/>
  <c r="E13" i="7" s="1" a="1"/>
  <c r="E13" i="7" s="1"/>
  <c r="E14" i="7" s="1" a="1"/>
  <c r="E14" i="7" s="1"/>
  <c r="E15" i="7" s="1" a="1"/>
  <c r="E15" i="7" s="1"/>
  <c r="E16" i="7" s="1" a="1"/>
  <c r="E16" i="7" s="1"/>
  <c r="E17" i="7" s="1" a="1"/>
  <c r="E17" i="7" s="1"/>
  <c r="E18" i="7" s="1" a="1"/>
  <c r="E18" i="7" s="1"/>
  <c r="E19" i="7" s="1" a="1"/>
  <c r="E19" i="7" s="1"/>
  <c r="E20" i="7" s="1" a="1"/>
  <c r="E20" i="7" s="1"/>
  <c r="E21" i="7" s="1" a="1"/>
  <c r="E21" i="7" s="1"/>
  <c r="E22" i="7" s="1" a="1"/>
  <c r="E22" i="7" s="1"/>
  <c r="E23" i="7" s="1" a="1"/>
  <c r="E23" i="7" s="1"/>
  <c r="E24" i="7" s="1" a="1"/>
  <c r="E24" i="7" s="1"/>
  <c r="E25" i="7" s="1" a="1"/>
  <c r="E25" i="7" s="1"/>
  <c r="E26" i="7" s="1" a="1"/>
  <c r="E26" i="7" s="1"/>
  <c r="E27" i="7" s="1" a="1"/>
  <c r="E27" i="7" s="1"/>
  <c r="E28" i="7" s="1" a="1"/>
  <c r="E28" i="7" s="1"/>
  <c r="E29" i="7" s="1" a="1"/>
  <c r="E29" i="7" s="1"/>
  <c r="E30" i="7" s="1" a="1"/>
  <c r="E30" i="7" s="1"/>
  <c r="E31" i="7" s="1" a="1"/>
  <c r="E31" i="7" s="1"/>
  <c r="E32" i="7" s="1" a="1"/>
  <c r="E32" i="7" s="1"/>
  <c r="E33" i="7" s="1" a="1"/>
  <c r="E33" i="7" s="1"/>
  <c r="E34" i="7" s="1" a="1"/>
  <c r="E34" i="7" s="1"/>
  <c r="E35" i="7" s="1" a="1"/>
  <c r="E35" i="7" s="1"/>
  <c r="E36" i="7" s="1" a="1"/>
  <c r="E36" i="7" s="1"/>
  <c r="E37" i="7" s="1" a="1"/>
  <c r="E37" i="7" s="1"/>
  <c r="E38" i="7" s="1" a="1"/>
  <c r="E38" i="7" s="1"/>
  <c r="E39" i="7" s="1" a="1"/>
  <c r="E39" i="7" s="1"/>
  <c r="E40" i="7" s="1" a="1"/>
  <c r="E40" i="7" s="1"/>
  <c r="E41" i="7" s="1" a="1"/>
  <c r="E41" i="7" s="1"/>
  <c r="E42" i="7" s="1" a="1"/>
  <c r="E42" i="7" s="1"/>
  <c r="E43" i="7" s="1" a="1"/>
  <c r="E43" i="7" s="1"/>
  <c r="E44" i="7" s="1" a="1"/>
  <c r="E44" i="7" s="1"/>
  <c r="E45" i="7" s="1" a="1"/>
  <c r="E45" i="7" s="1"/>
  <c r="E46" i="7" s="1" a="1"/>
  <c r="E46" i="7" s="1"/>
  <c r="E47" i="7" s="1" a="1"/>
  <c r="E47" i="7" s="1"/>
  <c r="E48" i="7" s="1" a="1"/>
  <c r="E48" i="7" s="1"/>
  <c r="E49" i="7" s="1" a="1"/>
  <c r="E49" i="7" s="1"/>
  <c r="E50" i="7" s="1" a="1"/>
  <c r="E50" i="7" s="1"/>
  <c r="E51" i="7" s="1" a="1"/>
  <c r="E51" i="7" s="1"/>
  <c r="E52" i="7" s="1" a="1"/>
  <c r="E52" i="7" s="1"/>
  <c r="E53" i="7" s="1" a="1"/>
  <c r="E53" i="7" s="1"/>
  <c r="E54" i="7" s="1" a="1"/>
  <c r="E54" i="7" s="1"/>
  <c r="E55" i="7" s="1" a="1"/>
  <c r="E55" i="7" s="1"/>
  <c r="E56" i="7" s="1" a="1"/>
  <c r="E56" i="7" s="1"/>
  <c r="E57" i="7" s="1" a="1"/>
  <c r="E57" i="7" s="1"/>
  <c r="E58" i="7" s="1" a="1"/>
  <c r="E58" i="7" s="1"/>
  <c r="E59" i="7" s="1" a="1"/>
  <c r="E59" i="7" s="1"/>
  <c r="E60" i="7" s="1" a="1"/>
  <c r="E60" i="7" s="1"/>
  <c r="E61" i="7" s="1" a="1"/>
  <c r="E61" i="7" s="1"/>
  <c r="E62" i="7" s="1" a="1"/>
  <c r="E62" i="7" s="1"/>
  <c r="E63" i="7" s="1" a="1"/>
  <c r="E63" i="7" s="1"/>
  <c r="E64" i="7" s="1" a="1"/>
  <c r="E64" i="7" s="1"/>
  <c r="E65" i="7" s="1" a="1"/>
  <c r="E65" i="7" s="1"/>
  <c r="E66" i="7" s="1" a="1"/>
  <c r="E66" i="7" s="1"/>
  <c r="E67" i="7" s="1" a="1"/>
  <c r="E67" i="7" s="1"/>
  <c r="E68" i="7" s="1" a="1"/>
  <c r="E68" i="7" s="1"/>
  <c r="E69" i="7" s="1" a="1"/>
  <c r="E69" i="7" s="1"/>
  <c r="E70" i="7" s="1" a="1"/>
  <c r="E70" i="7" s="1"/>
  <c r="E71" i="7" s="1" a="1"/>
  <c r="E71" i="7" s="1"/>
  <c r="E72" i="7" s="1" a="1"/>
  <c r="E72" i="7" s="1"/>
  <c r="E73" i="7" s="1" a="1"/>
  <c r="E73" i="7" s="1"/>
  <c r="E74" i="7" s="1" a="1"/>
  <c r="E74" i="7" s="1"/>
  <c r="E75" i="7" s="1" a="1"/>
  <c r="E75" i="7" s="1"/>
  <c r="E76" i="7" s="1" a="1"/>
  <c r="E76" i="7" s="1"/>
  <c r="E77" i="7" s="1" a="1"/>
  <c r="E77" i="7" s="1"/>
  <c r="E78" i="7" s="1" a="1"/>
  <c r="E78" i="7" s="1"/>
  <c r="E79" i="7" s="1" a="1"/>
  <c r="E79" i="7" s="1"/>
  <c r="E80" i="7" s="1" a="1"/>
  <c r="E80" i="7" s="1"/>
  <c r="E81" i="7" s="1" a="1"/>
  <c r="E81" i="7" s="1"/>
  <c r="E82" i="7" s="1" a="1"/>
  <c r="E82" i="7" s="1"/>
  <c r="E83" i="7" s="1" a="1"/>
  <c r="E83" i="7" s="1"/>
  <c r="E84" i="7" s="1" a="1"/>
  <c r="E84" i="7" s="1"/>
  <c r="E85" i="7" s="1" a="1"/>
  <c r="E85" i="7" s="1"/>
  <c r="E86" i="7" s="1" a="1"/>
  <c r="E86" i="7" s="1"/>
  <c r="E87" i="7" s="1" a="1"/>
  <c r="E87" i="7" s="1"/>
  <c r="E88" i="7" s="1" a="1"/>
  <c r="E88" i="7" s="1"/>
  <c r="E89" i="7" s="1" a="1"/>
  <c r="E89" i="7" s="1"/>
  <c r="E90" i="7" s="1" a="1"/>
  <c r="E90" i="7" s="1"/>
  <c r="E91" i="7" s="1" a="1"/>
  <c r="E91" i="7" s="1"/>
  <c r="E92" i="7" s="1" a="1"/>
  <c r="E92" i="7" s="1"/>
  <c r="E93" i="7" s="1" a="1"/>
  <c r="E93" i="7" s="1"/>
  <c r="E94" i="7" s="1" a="1"/>
  <c r="E94" i="7" s="1"/>
  <c r="E95" i="7" s="1" a="1"/>
  <c r="E95" i="7" s="1"/>
  <c r="E96" i="7" s="1" a="1"/>
  <c r="E96" i="7" s="1"/>
  <c r="E97" i="7" s="1" a="1"/>
  <c r="E97" i="7" s="1"/>
  <c r="E98" i="7" s="1" a="1"/>
  <c r="E98" i="7" s="1"/>
  <c r="E99" i="7" s="1" a="1"/>
  <c r="E99" i="7" s="1"/>
  <c r="E100" i="7" s="1" a="1"/>
  <c r="E100" i="7" s="1"/>
  <c r="E101" i="7" s="1" a="1"/>
  <c r="E101" i="7" s="1"/>
  <c r="E102" i="7" s="1" a="1"/>
  <c r="E102" i="7" s="1"/>
  <c r="E103" i="7" s="1" a="1"/>
  <c r="E103" i="7" s="1"/>
  <c r="E104" i="7" s="1" a="1"/>
  <c r="E104" i="7" s="1"/>
  <c r="E105" i="7" s="1" a="1"/>
  <c r="E105" i="7" s="1"/>
  <c r="E106" i="7" s="1" a="1"/>
  <c r="E106" i="7" s="1"/>
  <c r="E107" i="7" s="1" a="1"/>
  <c r="E107" i="7" s="1"/>
  <c r="E108" i="7" s="1" a="1"/>
  <c r="E108" i="7" s="1"/>
  <c r="E109" i="7" s="1" a="1"/>
  <c r="E109" i="7" s="1"/>
  <c r="E110" i="7" s="1" a="1"/>
  <c r="E110" i="7" s="1"/>
  <c r="E111" i="7" s="1" a="1"/>
  <c r="E111" i="7" s="1"/>
  <c r="E112" i="7" s="1" a="1"/>
  <c r="E112" i="7" s="1"/>
  <c r="E113" i="7" s="1" a="1"/>
  <c r="E113" i="7" s="1"/>
  <c r="E114" i="7" s="1" a="1"/>
  <c r="E114" i="7" s="1"/>
  <c r="E115" i="7" s="1" a="1"/>
  <c r="E115" i="7" s="1"/>
  <c r="E116" i="7" s="1" a="1"/>
  <c r="E116" i="7" s="1"/>
  <c r="E117" i="7" s="1" a="1"/>
  <c r="E117" i="7" s="1"/>
  <c r="E118" i="7" s="1" a="1"/>
  <c r="E118" i="7" s="1"/>
  <c r="E119" i="7" s="1" a="1"/>
  <c r="E119" i="7" s="1"/>
  <c r="E120" i="7" s="1" a="1"/>
  <c r="E120" i="7" s="1"/>
  <c r="E121" i="7" s="1" a="1"/>
  <c r="E121" i="7" s="1"/>
  <c r="E122" i="7" s="1" a="1"/>
  <c r="E122" i="7" s="1"/>
  <c r="E123" i="7" s="1" a="1"/>
  <c r="E123" i="7" s="1"/>
  <c r="E124" i="7" s="1" a="1"/>
  <c r="E124" i="7" s="1"/>
  <c r="E125" i="7" s="1" a="1"/>
  <c r="E125" i="7" s="1"/>
  <c r="E126" i="7" s="1" a="1"/>
  <c r="E126" i="7" s="1"/>
  <c r="E127" i="7" s="1" a="1"/>
  <c r="E127" i="7" s="1"/>
  <c r="E128" i="7" s="1" a="1"/>
  <c r="E128" i="7" s="1"/>
  <c r="E129" i="7" s="1" a="1"/>
  <c r="E129" i="7" s="1"/>
  <c r="E130" i="7" s="1" a="1"/>
  <c r="E130" i="7" s="1"/>
  <c r="E131" i="7" s="1" a="1"/>
  <c r="E131" i="7" s="1"/>
  <c r="E132" i="7" s="1" a="1"/>
  <c r="E132" i="7" s="1"/>
  <c r="E133" i="7" s="1" a="1"/>
  <c r="E133" i="7" s="1"/>
  <c r="E134" i="7" s="1" a="1"/>
  <c r="E134" i="7" s="1"/>
  <c r="E135" i="7" s="1" a="1"/>
  <c r="E135" i="7" s="1"/>
  <c r="E136" i="7" s="1" a="1"/>
  <c r="E136" i="7" s="1"/>
  <c r="E137" i="7" s="1" a="1"/>
  <c r="E137" i="7" s="1"/>
  <c r="E138" i="7" s="1" a="1"/>
  <c r="E138" i="7" s="1"/>
  <c r="E139" i="7" s="1" a="1"/>
  <c r="E139" i="7" s="1"/>
  <c r="E140" i="7" s="1" a="1"/>
  <c r="E140" i="7" s="1"/>
  <c r="E141" i="7" s="1" a="1"/>
  <c r="E141" i="7" s="1"/>
  <c r="E142" i="7" s="1" a="1"/>
  <c r="E142" i="7" s="1"/>
  <c r="E143" i="7" s="1" a="1"/>
  <c r="E143" i="7" s="1"/>
  <c r="E144" i="7" s="1" a="1"/>
  <c r="E144" i="7" s="1"/>
  <c r="E145" i="7" s="1" a="1"/>
  <c r="E145" i="7" s="1"/>
  <c r="E146" i="7" s="1" a="1"/>
  <c r="E146" i="7" s="1"/>
  <c r="E147" i="7" s="1" a="1"/>
  <c r="E147" i="7" s="1"/>
  <c r="E148" i="7" s="1" a="1"/>
  <c r="E148" i="7" s="1"/>
  <c r="E149" i="7" s="1" a="1"/>
  <c r="E149" i="7" s="1"/>
  <c r="E150" i="7" s="1" a="1"/>
  <c r="E150" i="7" s="1"/>
  <c r="E151" i="7" s="1" a="1"/>
  <c r="E151" i="7" s="1"/>
  <c r="E152" i="7" s="1" a="1"/>
  <c r="E152" i="7" s="1"/>
  <c r="E153" i="7" s="1" a="1"/>
  <c r="E153" i="7" s="1"/>
  <c r="E154" i="7" s="1" a="1"/>
  <c r="E154" i="7" s="1"/>
  <c r="E155" i="7" s="1" a="1"/>
  <c r="E155" i="7" s="1"/>
  <c r="E156" i="7" s="1" a="1"/>
  <c r="E156" i="7" s="1"/>
  <c r="E157" i="7" s="1" a="1"/>
  <c r="E157" i="7" s="1"/>
  <c r="E158" i="7" s="1" a="1"/>
  <c r="E158" i="7" s="1"/>
  <c r="E159" i="7" s="1" a="1"/>
  <c r="E159" i="7" s="1"/>
  <c r="E160" i="7" s="1" a="1"/>
  <c r="E160" i="7" s="1"/>
  <c r="E161" i="7" s="1" a="1"/>
  <c r="E161" i="7" s="1"/>
  <c r="E162" i="7" s="1" a="1"/>
  <c r="E162" i="7" s="1"/>
  <c r="E163" i="7" s="1" a="1"/>
  <c r="E163" i="7" s="1"/>
  <c r="E164" i="7" s="1" a="1"/>
  <c r="E164" i="7" s="1"/>
  <c r="E165" i="7" s="1" a="1"/>
  <c r="E165" i="7" s="1"/>
  <c r="E166" i="7" s="1" a="1"/>
  <c r="E166" i="7" s="1"/>
  <c r="E167" i="7" s="1" a="1"/>
  <c r="E167" i="7" s="1"/>
  <c r="E168" i="7" s="1" a="1"/>
  <c r="E168" i="7" s="1"/>
  <c r="E169" i="7" s="1" a="1"/>
  <c r="E169" i="7" s="1"/>
  <c r="E170" i="7" s="1" a="1"/>
  <c r="E170" i="7" s="1"/>
  <c r="E171" i="7" s="1" a="1"/>
  <c r="E171" i="7" s="1"/>
  <c r="E172" i="7" s="1" a="1"/>
  <c r="E172" i="7" s="1"/>
  <c r="E173" i="7" s="1" a="1"/>
  <c r="E173" i="7" s="1"/>
  <c r="E174" i="7" s="1" a="1"/>
  <c r="E174" i="7" s="1"/>
  <c r="E175" i="7" s="1" a="1"/>
  <c r="E175" i="7" s="1"/>
  <c r="E176" i="7" s="1" a="1"/>
  <c r="E176" i="7" s="1"/>
  <c r="E177" i="7" s="1" a="1"/>
  <c r="E177" i="7" s="1"/>
  <c r="E178" i="7" s="1" a="1"/>
  <c r="E178" i="7" s="1"/>
  <c r="E179" i="7" s="1" a="1"/>
  <c r="E179" i="7" s="1"/>
  <c r="E180" i="7" s="1" a="1"/>
  <c r="E180" i="7" s="1"/>
  <c r="E181" i="7" s="1" a="1"/>
  <c r="E181" i="7" s="1"/>
  <c r="E182" i="7" s="1" a="1"/>
  <c r="E182" i="7" s="1"/>
  <c r="E183" i="7" s="1" a="1"/>
  <c r="E183" i="7" s="1"/>
  <c r="E184" i="7" s="1" a="1"/>
  <c r="E184" i="7" s="1"/>
  <c r="E185" i="7" s="1" a="1"/>
  <c r="E185" i="7" s="1"/>
  <c r="E186" i="7" s="1" a="1"/>
  <c r="E186" i="7" s="1"/>
  <c r="E187" i="7" s="1" a="1"/>
  <c r="E187" i="7" s="1"/>
  <c r="E188" i="7" s="1" a="1"/>
  <c r="E188" i="7" s="1"/>
  <c r="E189" i="7" s="1" a="1"/>
  <c r="E189" i="7" s="1"/>
  <c r="E190" i="7" s="1" a="1"/>
  <c r="E190" i="7" s="1"/>
  <c r="E191" i="7" s="1" a="1"/>
  <c r="E191" i="7" s="1"/>
  <c r="E192" i="7" s="1" a="1"/>
  <c r="E192" i="7" s="1"/>
  <c r="E193" i="7" s="1" a="1"/>
  <c r="E193" i="7" s="1"/>
  <c r="E194" i="7" s="1" a="1"/>
  <c r="E194" i="7" s="1"/>
  <c r="E195" i="7" s="1" a="1"/>
  <c r="E195" i="7" s="1"/>
  <c r="E196" i="7" s="1" a="1"/>
  <c r="E196" i="7" s="1"/>
  <c r="E197" i="7" s="1" a="1"/>
  <c r="E197" i="7" s="1"/>
  <c r="E198" i="7" s="1" a="1"/>
  <c r="E198" i="7" s="1"/>
  <c r="E199" i="7" s="1" a="1"/>
  <c r="E199" i="7" s="1"/>
  <c r="E200" i="7" s="1" a="1"/>
  <c r="E200" i="7" s="1"/>
  <c r="E201" i="7" s="1" a="1"/>
  <c r="E201" i="7" s="1"/>
  <c r="E202" i="7" s="1" a="1"/>
  <c r="E202" i="7" s="1"/>
  <c r="E203" i="7" s="1" a="1"/>
  <c r="E203" i="7" s="1"/>
  <c r="E204" i="7" s="1" a="1"/>
  <c r="E204" i="7" s="1"/>
  <c r="E205" i="7" s="1" a="1"/>
  <c r="E205" i="7" s="1"/>
  <c r="E206" i="7" s="1" a="1"/>
  <c r="E206" i="7" s="1"/>
  <c r="E207" i="7" s="1" a="1"/>
  <c r="E207" i="7" s="1"/>
  <c r="E208" i="7" s="1" a="1"/>
  <c r="E208" i="7" s="1"/>
  <c r="E209" i="7" s="1" a="1"/>
  <c r="E209" i="7" s="1"/>
  <c r="E210" i="7" s="1" a="1"/>
  <c r="E210" i="7" s="1"/>
  <c r="E211" i="7" s="1" a="1"/>
  <c r="E211" i="7" s="1"/>
  <c r="E212" i="7" s="1" a="1"/>
  <c r="E212" i="7" s="1"/>
  <c r="E213" i="7" s="1" a="1"/>
  <c r="E213" i="7" s="1"/>
  <c r="E214" i="7" s="1" a="1"/>
  <c r="E214" i="7" s="1"/>
  <c r="E215" i="7" s="1" a="1"/>
  <c r="E215" i="7" s="1"/>
  <c r="E216" i="7" s="1" a="1"/>
  <c r="E216" i="7" s="1"/>
  <c r="E217" i="7" s="1" a="1"/>
  <c r="E217" i="7" s="1"/>
  <c r="E218" i="7" s="1" a="1"/>
  <c r="E218" i="7" s="1"/>
  <c r="E219" i="7" s="1" a="1"/>
  <c r="E219" i="7" s="1"/>
  <c r="E220" i="7" s="1" a="1"/>
  <c r="E220" i="7" s="1"/>
  <c r="E221" i="7" s="1" a="1"/>
  <c r="E221" i="7" s="1"/>
  <c r="E222" i="7" s="1" a="1"/>
  <c r="E222" i="7" s="1"/>
  <c r="E223" i="7" s="1" a="1"/>
  <c r="E223" i="7" s="1"/>
  <c r="E224" i="7" s="1" a="1"/>
  <c r="E224" i="7" s="1"/>
  <c r="E225" i="7" s="1" a="1"/>
  <c r="E225" i="7" s="1"/>
  <c r="E226" i="7" s="1" a="1"/>
  <c r="E226" i="7" s="1"/>
  <c r="E227" i="7" s="1" a="1"/>
  <c r="E227" i="7" s="1"/>
  <c r="E228" i="7" s="1" a="1"/>
  <c r="E228" i="7" s="1"/>
  <c r="E229" i="7" s="1" a="1"/>
  <c r="E229" i="7" s="1"/>
  <c r="E230" i="7" s="1" a="1"/>
  <c r="E230" i="7" s="1"/>
  <c r="E231" i="7" s="1" a="1"/>
  <c r="E231" i="7" s="1"/>
  <c r="E232" i="7" s="1" a="1"/>
  <c r="E232" i="7" s="1"/>
  <c r="E233" i="7" s="1" a="1"/>
  <c r="E233" i="7" s="1"/>
  <c r="E234" i="7" s="1" a="1"/>
  <c r="E234" i="7" s="1"/>
  <c r="E235" i="7" s="1" a="1"/>
  <c r="E235" i="7" s="1"/>
  <c r="E236" i="7" s="1" a="1"/>
  <c r="E236" i="7" s="1"/>
  <c r="E237" i="7" s="1" a="1"/>
  <c r="E237" i="7" s="1"/>
  <c r="E238" i="7" s="1" a="1"/>
  <c r="E238" i="7" s="1"/>
  <c r="E239" i="7" s="1" a="1"/>
  <c r="E239" i="7" s="1"/>
  <c r="E240" i="7" s="1" a="1"/>
  <c r="E240" i="7" s="1"/>
  <c r="E241" i="7" s="1" a="1"/>
  <c r="E241" i="7" s="1"/>
  <c r="E242" i="7" s="1" a="1"/>
  <c r="E242" i="7" s="1"/>
  <c r="E243" i="7" s="1" a="1"/>
  <c r="E243" i="7" s="1"/>
  <c r="E244" i="7" s="1" a="1"/>
  <c r="E244" i="7" s="1"/>
  <c r="E245" i="7" s="1" a="1"/>
  <c r="E245" i="7" s="1"/>
  <c r="E246" i="7" s="1" a="1"/>
  <c r="E246" i="7" s="1"/>
  <c r="E247" i="7" s="1" a="1"/>
  <c r="E247" i="7" s="1"/>
  <c r="E248" i="7" s="1" a="1"/>
  <c r="E248" i="7" s="1"/>
  <c r="E249" i="7" s="1" a="1"/>
  <c r="E249" i="7" s="1"/>
  <c r="E250" i="7" s="1" a="1"/>
  <c r="E250" i="7" s="1"/>
  <c r="E251" i="7" s="1" a="1"/>
  <c r="E251" i="7" s="1"/>
  <c r="E252" i="7" s="1" a="1"/>
  <c r="E252" i="7" s="1"/>
  <c r="E253" i="7" s="1" a="1"/>
  <c r="E253" i="7" s="1"/>
  <c r="E254" i="7" s="1" a="1"/>
  <c r="E254" i="7" s="1"/>
  <c r="E255" i="7" s="1" a="1"/>
  <c r="E255" i="7" s="1"/>
  <c r="E256" i="7" s="1" a="1"/>
  <c r="E256" i="7" s="1"/>
  <c r="E257" i="7" s="1" a="1"/>
  <c r="E257" i="7" s="1"/>
  <c r="E258" i="7" s="1" a="1"/>
  <c r="E258" i="7" s="1"/>
  <c r="E259" i="7" s="1" a="1"/>
  <c r="E259" i="7" s="1"/>
  <c r="E260" i="7" s="1" a="1"/>
  <c r="E260" i="7" s="1"/>
  <c r="E261" i="7" s="1" a="1"/>
  <c r="E261" i="7" s="1"/>
  <c r="E262" i="7" s="1" a="1"/>
  <c r="E262" i="7" s="1"/>
  <c r="E263" i="7" s="1" a="1"/>
  <c r="E263" i="7" s="1"/>
  <c r="E264" i="7" s="1" a="1"/>
  <c r="E264" i="7" s="1"/>
  <c r="E265" i="7" s="1" a="1"/>
  <c r="E265" i="7" s="1"/>
  <c r="E266" i="7" s="1" a="1"/>
  <c r="E266" i="7" s="1"/>
  <c r="E267" i="7" s="1" a="1"/>
  <c r="E267" i="7" s="1"/>
  <c r="E268" i="7" s="1" a="1"/>
  <c r="E268" i="7" s="1"/>
  <c r="E269" i="7" s="1" a="1"/>
  <c r="E269" i="7" s="1"/>
  <c r="E270" i="7" s="1" a="1"/>
  <c r="E270" i="7" s="1"/>
  <c r="E271" i="7" s="1" a="1"/>
  <c r="E271" i="7" s="1"/>
  <c r="E272" i="7" s="1" a="1"/>
  <c r="E272" i="7" s="1"/>
  <c r="E273" i="7" s="1" a="1"/>
  <c r="E273" i="7" s="1"/>
  <c r="E274" i="7" s="1" a="1"/>
  <c r="E274" i="7" s="1"/>
  <c r="E275" i="7" s="1" a="1"/>
  <c r="E275" i="7" s="1"/>
  <c r="E276" i="7" s="1" a="1"/>
  <c r="E276" i="7" s="1"/>
  <c r="E277" i="7" s="1" a="1"/>
  <c r="E277" i="7" s="1"/>
  <c r="E278" i="7" s="1" a="1"/>
  <c r="E278" i="7" s="1"/>
  <c r="E279" i="7" s="1" a="1"/>
  <c r="E279" i="7" s="1"/>
  <c r="E280" i="7" s="1" a="1"/>
  <c r="E280" i="7" s="1"/>
  <c r="E281" i="7" s="1" a="1"/>
  <c r="E281" i="7" s="1"/>
  <c r="E282" i="7" s="1" a="1"/>
  <c r="E282" i="7" s="1"/>
  <c r="E283" i="7" s="1" a="1"/>
  <c r="E283" i="7" s="1"/>
  <c r="E284" i="7" s="1" a="1"/>
  <c r="E284" i="7" s="1"/>
  <c r="E285" i="7" s="1" a="1"/>
  <c r="E285" i="7" s="1"/>
  <c r="E286" i="7" s="1" a="1"/>
  <c r="E286" i="7" s="1"/>
  <c r="E287" i="7" s="1" a="1"/>
  <c r="E287" i="7" s="1"/>
  <c r="E288" i="7" s="1" a="1"/>
  <c r="E288" i="7" s="1"/>
  <c r="E289" i="7" s="1" a="1"/>
  <c r="E289" i="7" s="1"/>
  <c r="E290" i="7" s="1" a="1"/>
  <c r="E290" i="7" s="1"/>
  <c r="E291" i="7" s="1" a="1"/>
  <c r="E291" i="7" s="1"/>
  <c r="E292" i="7" s="1" a="1"/>
  <c r="E292" i="7" s="1"/>
  <c r="E293" i="7" s="1" a="1"/>
  <c r="E293" i="7" s="1"/>
  <c r="E294" i="7" s="1" a="1"/>
  <c r="E294" i="7" s="1"/>
  <c r="E295" i="7" s="1" a="1"/>
  <c r="E295" i="7" s="1"/>
  <c r="E296" i="7" s="1" a="1"/>
  <c r="E296" i="7" s="1"/>
  <c r="E297" i="7" s="1" a="1"/>
  <c r="E297" i="7" s="1"/>
  <c r="E298" i="7" s="1" a="1"/>
  <c r="E298" i="7" s="1"/>
  <c r="E299" i="7" s="1" a="1"/>
  <c r="E299" i="7" s="1"/>
  <c r="E300" i="7" s="1" a="1"/>
  <c r="E300" i="7" s="1"/>
  <c r="E301" i="7" s="1" a="1"/>
  <c r="E301" i="7" s="1"/>
  <c r="E302" i="7" s="1" a="1"/>
  <c r="E302" i="7" s="1"/>
  <c r="E303" i="7" s="1" a="1"/>
  <c r="E303" i="7" s="1"/>
  <c r="E304" i="7" s="1" a="1"/>
  <c r="E304" i="7" s="1"/>
  <c r="E305" i="7" s="1" a="1"/>
  <c r="E305" i="7" s="1"/>
  <c r="E306" i="7" s="1" a="1"/>
  <c r="E306" i="7" s="1"/>
  <c r="E307" i="7" s="1" a="1"/>
  <c r="E307" i="7" s="1"/>
  <c r="E308" i="7" s="1" a="1"/>
  <c r="E308" i="7" s="1"/>
  <c r="E309" i="7" s="1" a="1"/>
  <c r="E309" i="7" s="1"/>
  <c r="E310" i="7" s="1" a="1"/>
  <c r="E310" i="7" s="1"/>
  <c r="E311" i="7" s="1" a="1"/>
  <c r="E311" i="7" s="1"/>
  <c r="E312" i="7" s="1" a="1"/>
  <c r="E312" i="7" s="1"/>
  <c r="E313" i="7" s="1" a="1"/>
  <c r="E313" i="7" s="1"/>
  <c r="E314" i="7" s="1" a="1"/>
  <c r="E314" i="7" s="1"/>
  <c r="E315" i="7" s="1" a="1"/>
  <c r="E315" i="7" s="1"/>
  <c r="E316" i="7" s="1" a="1"/>
  <c r="E316" i="7" s="1"/>
  <c r="E317" i="7" s="1" a="1"/>
  <c r="E317" i="7" s="1"/>
  <c r="E318" i="7" s="1" a="1"/>
  <c r="E318" i="7" s="1"/>
  <c r="E319" i="7" s="1" a="1"/>
  <c r="E319" i="7" s="1"/>
  <c r="E320" i="7" s="1" a="1"/>
  <c r="E320" i="7" s="1"/>
  <c r="E321" i="7" s="1" a="1"/>
  <c r="E321" i="7" s="1"/>
  <c r="E322" i="7" s="1" a="1"/>
  <c r="E322" i="7" s="1"/>
  <c r="E323" i="7" s="1" a="1"/>
  <c r="E323" i="7" s="1"/>
  <c r="E324" i="7" s="1" a="1"/>
  <c r="E324" i="7" s="1"/>
  <c r="E325" i="7" s="1" a="1"/>
  <c r="E325" i="7" s="1"/>
  <c r="E326" i="7" s="1" a="1"/>
  <c r="E326" i="7" s="1"/>
  <c r="E327" i="7" s="1" a="1"/>
  <c r="E327" i="7" s="1"/>
  <c r="E328" i="7" s="1" a="1"/>
  <c r="E328" i="7" s="1"/>
  <c r="E329" i="7" s="1" a="1"/>
  <c r="E329" i="7" s="1"/>
  <c r="E330" i="7" s="1" a="1"/>
  <c r="E330" i="7" s="1"/>
  <c r="E331" i="7" s="1" a="1"/>
  <c r="E331" i="7" s="1"/>
  <c r="E332" i="7" s="1" a="1"/>
  <c r="E332" i="7" s="1"/>
  <c r="E333" i="7" s="1" a="1"/>
  <c r="E333" i="7" s="1"/>
  <c r="E334" i="7" s="1" a="1"/>
  <c r="E334" i="7" s="1"/>
  <c r="E335" i="7" s="1" a="1"/>
  <c r="E335" i="7" s="1"/>
  <c r="E336" i="7" s="1" a="1"/>
  <c r="E336" i="7" s="1"/>
  <c r="E337" i="7" s="1" a="1"/>
  <c r="E337" i="7" s="1"/>
  <c r="E338" i="7" s="1" a="1"/>
  <c r="E338" i="7" s="1"/>
  <c r="E339" i="7" s="1" a="1"/>
  <c r="E339" i="7" s="1"/>
  <c r="E340" i="7" s="1" a="1"/>
  <c r="E340" i="7" s="1"/>
  <c r="E341" i="7" s="1" a="1"/>
  <c r="E341" i="7" s="1"/>
  <c r="E342" i="7" s="1" a="1"/>
  <c r="E342" i="7" s="1"/>
  <c r="E343" i="7" s="1" a="1"/>
  <c r="E343" i="7" s="1"/>
  <c r="E344" i="7" s="1" a="1"/>
  <c r="E344" i="7" s="1"/>
  <c r="E345" i="7" s="1" a="1"/>
  <c r="E345" i="7" s="1"/>
  <c r="E346" i="7" s="1" a="1"/>
  <c r="E346" i="7" s="1"/>
  <c r="E347" i="7" s="1" a="1"/>
  <c r="E347" i="7" s="1"/>
  <c r="E348" i="7" s="1" a="1"/>
  <c r="E348" i="7" s="1"/>
  <c r="E349" i="7" s="1" a="1"/>
  <c r="E349" i="7" s="1"/>
  <c r="E350" i="7" s="1" a="1"/>
  <c r="E350" i="7" s="1"/>
  <c r="E351" i="7" s="1" a="1"/>
  <c r="E351" i="7" s="1"/>
  <c r="E352" i="7" s="1" a="1"/>
  <c r="E352" i="7" s="1"/>
  <c r="E353" i="7" s="1" a="1"/>
  <c r="E353" i="7" s="1"/>
  <c r="E354" i="7" s="1" a="1"/>
  <c r="E354" i="7" s="1"/>
  <c r="E355" i="7" s="1" a="1"/>
  <c r="E355" i="7" s="1"/>
  <c r="E356" i="7" s="1" a="1"/>
  <c r="E356" i="7" s="1"/>
  <c r="E357" i="7" s="1" a="1"/>
  <c r="E357" i="7" s="1"/>
  <c r="E358" i="7" s="1" a="1"/>
  <c r="E358" i="7" s="1"/>
  <c r="E359" i="7" s="1" a="1"/>
  <c r="E359" i="7" s="1"/>
  <c r="E360" i="7" s="1" a="1"/>
  <c r="E360" i="7" s="1"/>
  <c r="E361" i="7" s="1" a="1"/>
  <c r="E361" i="7" s="1"/>
  <c r="E362" i="7" s="1" a="1"/>
  <c r="E362" i="7" s="1"/>
  <c r="E363" i="7" s="1" a="1"/>
  <c r="E363" i="7" s="1"/>
  <c r="E364" i="7" s="1" a="1"/>
  <c r="E364" i="7" s="1"/>
  <c r="E365" i="7" s="1" a="1"/>
  <c r="E365" i="7" s="1"/>
  <c r="E366" i="7" s="1" a="1"/>
  <c r="E366" i="7" s="1"/>
  <c r="E367" i="7" s="1" a="1"/>
  <c r="E367" i="7" s="1"/>
  <c r="E368" i="7" s="1" a="1"/>
  <c r="E368" i="7" s="1"/>
  <c r="E369" i="7" s="1" a="1"/>
  <c r="E369" i="7" s="1"/>
  <c r="E370" i="7" s="1" a="1"/>
  <c r="E370" i="7" s="1"/>
  <c r="E371" i="7" s="1" a="1"/>
  <c r="E371" i="7" s="1"/>
  <c r="E372" i="7" s="1" a="1"/>
  <c r="E372" i="7" s="1"/>
  <c r="E373" i="7" s="1" a="1"/>
  <c r="E373" i="7" s="1"/>
  <c r="E374" i="7" s="1" a="1"/>
  <c r="E374" i="7" s="1"/>
  <c r="E375" i="7" s="1" a="1"/>
  <c r="E375" i="7" s="1"/>
  <c r="E376" i="7" s="1" a="1"/>
  <c r="E376" i="7" s="1"/>
  <c r="E377" i="7" s="1" a="1"/>
  <c r="E377" i="7" s="1"/>
  <c r="E378" i="7" s="1" a="1"/>
  <c r="E378" i="7" s="1"/>
  <c r="E379" i="7" s="1" a="1"/>
  <c r="E379" i="7" s="1"/>
  <c r="E380" i="7" s="1" a="1"/>
  <c r="E380" i="7" s="1"/>
  <c r="E381" i="7" s="1" a="1"/>
  <c r="E381" i="7" s="1"/>
  <c r="E382" i="7" s="1" a="1"/>
  <c r="E382" i="7" s="1"/>
  <c r="E383" i="7" s="1" a="1"/>
  <c r="E383" i="7" s="1"/>
  <c r="E384" i="7" s="1" a="1"/>
  <c r="E384" i="7" s="1"/>
  <c r="E385" i="7" s="1" a="1"/>
  <c r="E385" i="7" s="1"/>
  <c r="E386" i="7" s="1" a="1"/>
  <c r="E386" i="7" s="1"/>
  <c r="E387" i="7" s="1" a="1"/>
  <c r="E387" i="7" s="1"/>
  <c r="E388" i="7" s="1" a="1"/>
  <c r="E388" i="7" s="1"/>
  <c r="E389" i="7" s="1" a="1"/>
  <c r="E389" i="7" s="1"/>
  <c r="E390" i="7" s="1" a="1"/>
  <c r="E390" i="7" s="1"/>
  <c r="E391" i="7" s="1" a="1"/>
  <c r="E391" i="7" s="1"/>
  <c r="E392" i="7" s="1" a="1"/>
  <c r="E392" i="7" s="1"/>
  <c r="E393" i="7" s="1" a="1"/>
  <c r="E393" i="7" s="1"/>
  <c r="E394" i="7" s="1" a="1"/>
  <c r="E394" i="7" s="1"/>
  <c r="E395" i="7" s="1" a="1"/>
  <c r="E395" i="7" s="1"/>
  <c r="E396" i="7" s="1" a="1"/>
  <c r="E396" i="7" s="1"/>
  <c r="E397" i="7" s="1" a="1"/>
  <c r="E397" i="7" s="1"/>
  <c r="E398" i="7" s="1" a="1"/>
  <c r="E398" i="7" s="1"/>
  <c r="E399" i="7" s="1" a="1"/>
  <c r="E399" i="7" s="1"/>
  <c r="E400" i="7" s="1" a="1"/>
  <c r="E400" i="7" s="1"/>
  <c r="E401" i="7" s="1" a="1"/>
  <c r="E401" i="7" s="1"/>
  <c r="E402" i="7" s="1" a="1"/>
  <c r="E402" i="7" s="1"/>
  <c r="E403" i="7" s="1" a="1"/>
  <c r="E403" i="7" s="1"/>
  <c r="E404" i="7" s="1" a="1"/>
  <c r="E404" i="7" s="1"/>
  <c r="E405" i="7" s="1" a="1"/>
  <c r="E405" i="7" s="1"/>
  <c r="E406" i="7" s="1" a="1"/>
  <c r="E406" i="7" s="1"/>
  <c r="E407" i="7" s="1" a="1"/>
  <c r="E407" i="7" s="1"/>
  <c r="E408" i="7" s="1" a="1"/>
  <c r="E408" i="7" s="1"/>
  <c r="E409" i="7" s="1" a="1"/>
  <c r="E409" i="7" s="1"/>
  <c r="E410" i="7" s="1" a="1"/>
  <c r="E410" i="7" s="1"/>
  <c r="E411" i="7" s="1" a="1"/>
  <c r="E411" i="7" s="1"/>
  <c r="E412" i="7" s="1" a="1"/>
  <c r="E412" i="7" s="1"/>
  <c r="E413" i="7" s="1" a="1"/>
  <c r="E413" i="7" s="1"/>
  <c r="E414" i="7" s="1" a="1"/>
  <c r="E414" i="7" s="1"/>
  <c r="E415" i="7" s="1" a="1"/>
  <c r="E415" i="7" s="1"/>
  <c r="E416" i="7" s="1" a="1"/>
  <c r="E416" i="7" s="1"/>
  <c r="E417" i="7" s="1" a="1"/>
  <c r="E417" i="7" s="1"/>
  <c r="E418" i="7" s="1" a="1"/>
  <c r="E418" i="7" s="1"/>
  <c r="E419" i="7" s="1" a="1"/>
  <c r="E419" i="7" s="1"/>
  <c r="E420" i="7" s="1" a="1"/>
  <c r="E420" i="7" s="1"/>
  <c r="E421" i="7" s="1" a="1"/>
  <c r="E421" i="7" s="1"/>
  <c r="E422" i="7" s="1" a="1"/>
  <c r="E422" i="7" s="1"/>
  <c r="E423" i="7" s="1" a="1"/>
  <c r="E423" i="7" s="1"/>
  <c r="E424" i="7" s="1" a="1"/>
  <c r="E424" i="7" s="1"/>
  <c r="E425" i="7" s="1" a="1"/>
  <c r="E425" i="7" s="1"/>
  <c r="E426" i="7" s="1" a="1"/>
  <c r="E426" i="7" s="1"/>
  <c r="E427" i="7" s="1" a="1"/>
  <c r="E427" i="7" s="1"/>
  <c r="E428" i="7" s="1" a="1"/>
  <c r="E428" i="7" s="1"/>
  <c r="E429" i="7" s="1" a="1"/>
  <c r="E429" i="7" s="1"/>
  <c r="E430" i="7" s="1" a="1"/>
  <c r="E430" i="7" s="1"/>
  <c r="E431" i="7" s="1" a="1"/>
  <c r="E431" i="7" s="1"/>
  <c r="E432" i="7" s="1" a="1"/>
  <c r="E432" i="7" s="1"/>
  <c r="E433" i="7" s="1" a="1"/>
  <c r="E433" i="7" s="1"/>
  <c r="E434" i="7" s="1" a="1"/>
  <c r="E434" i="7" s="1"/>
  <c r="E435" i="7" s="1" a="1"/>
  <c r="E435" i="7" s="1"/>
  <c r="E436" i="7" s="1" a="1"/>
  <c r="E436" i="7" s="1"/>
  <c r="E437" i="7" s="1" a="1"/>
  <c r="E437" i="7" s="1"/>
  <c r="E438" i="7" s="1" a="1"/>
  <c r="E438" i="7" s="1"/>
  <c r="E439" i="7" s="1" a="1"/>
  <c r="E439" i="7" s="1"/>
  <c r="E440" i="7" s="1" a="1"/>
  <c r="E440" i="7" s="1"/>
  <c r="E441" i="7" s="1" a="1"/>
  <c r="E441" i="7" s="1"/>
  <c r="E442" i="7" s="1" a="1"/>
  <c r="E442" i="7" s="1"/>
  <c r="E443" i="7" s="1" a="1"/>
  <c r="E443" i="7" s="1"/>
  <c r="E444" i="7" s="1" a="1"/>
  <c r="E444" i="7" s="1"/>
  <c r="E445" i="7" s="1" a="1"/>
  <c r="E445" i="7" s="1"/>
  <c r="E446" i="7" s="1" a="1"/>
  <c r="E446" i="7" s="1"/>
  <c r="E447" i="7" s="1" a="1"/>
  <c r="E447" i="7" s="1"/>
  <c r="E448" i="7" s="1" a="1"/>
  <c r="E448" i="7" s="1"/>
  <c r="E449" i="7" s="1" a="1"/>
  <c r="E449" i="7" s="1"/>
  <c r="E450" i="7" s="1" a="1"/>
  <c r="E450" i="7" s="1"/>
  <c r="E451" i="7" s="1" a="1"/>
  <c r="E451" i="7" s="1"/>
  <c r="E452" i="7" s="1" a="1"/>
  <c r="E452" i="7" s="1"/>
  <c r="E453" i="7" s="1" a="1"/>
  <c r="E453" i="7" s="1"/>
  <c r="E454" i="7" s="1" a="1"/>
  <c r="E454" i="7" s="1"/>
  <c r="E455" i="7" s="1" a="1"/>
  <c r="E455" i="7" s="1"/>
  <c r="E456" i="7" s="1" a="1"/>
  <c r="E456" i="7" s="1"/>
  <c r="E457" i="7" s="1" a="1"/>
  <c r="E457" i="7" s="1"/>
  <c r="E458" i="7" s="1" a="1"/>
  <c r="E458" i="7" s="1"/>
  <c r="E459" i="7" s="1" a="1"/>
  <c r="E459" i="7" s="1"/>
  <c r="E460" i="7" s="1" a="1"/>
  <c r="E460" i="7" s="1"/>
  <c r="E461" i="7" s="1" a="1"/>
  <c r="E461" i="7" s="1"/>
  <c r="E462" i="7" s="1" a="1"/>
  <c r="E462" i="7" s="1"/>
  <c r="E463" i="7" s="1" a="1"/>
  <c r="E463" i="7" s="1"/>
  <c r="E464" i="7" s="1" a="1"/>
  <c r="E464" i="7" s="1"/>
  <c r="E465" i="7" s="1" a="1"/>
  <c r="E465" i="7" s="1"/>
  <c r="E466" i="7" s="1" a="1"/>
  <c r="E466" i="7" s="1"/>
  <c r="E467" i="7" s="1" a="1"/>
  <c r="E467" i="7" s="1"/>
  <c r="E468" i="7" s="1" a="1"/>
  <c r="E468" i="7" s="1"/>
  <c r="E469" i="7" s="1" a="1"/>
  <c r="E469" i="7" s="1"/>
  <c r="E470" i="7" s="1" a="1"/>
  <c r="E470" i="7" s="1"/>
  <c r="E471" i="7" s="1" a="1"/>
  <c r="E471" i="7" s="1"/>
  <c r="E472" i="7" s="1" a="1"/>
  <c r="E472" i="7" s="1"/>
  <c r="E473" i="7" s="1" a="1"/>
  <c r="E473" i="7" s="1"/>
  <c r="E474" i="7" s="1" a="1"/>
  <c r="E474" i="7" s="1"/>
  <c r="E475" i="7" s="1" a="1"/>
  <c r="E475" i="7" s="1"/>
  <c r="E476" i="7" s="1" a="1"/>
  <c r="E476" i="7" s="1"/>
  <c r="E477" i="7" s="1" a="1"/>
  <c r="E477" i="7" s="1"/>
  <c r="E478" i="7" s="1" a="1"/>
  <c r="E478" i="7" s="1"/>
  <c r="E479" i="7" s="1" a="1"/>
  <c r="E479" i="7" s="1"/>
  <c r="E480" i="7" s="1" a="1"/>
  <c r="E480" i="7" s="1"/>
  <c r="E481" i="7" s="1" a="1"/>
  <c r="E481" i="7" s="1"/>
  <c r="E482" i="7" s="1" a="1"/>
  <c r="E482" i="7" s="1"/>
  <c r="E483" i="7" s="1" a="1"/>
  <c r="E483" i="7" s="1"/>
  <c r="E484" i="7" s="1" a="1"/>
  <c r="E484" i="7" s="1"/>
  <c r="E485" i="7" s="1" a="1"/>
  <c r="E485" i="7" s="1"/>
  <c r="E486" i="7" s="1" a="1"/>
  <c r="E486" i="7" s="1"/>
  <c r="E487" i="7" s="1" a="1"/>
  <c r="E487" i="7" s="1"/>
  <c r="E488" i="7" s="1" a="1"/>
  <c r="E488" i="7" s="1"/>
  <c r="E489" i="7" s="1" a="1"/>
  <c r="E489" i="7" s="1"/>
  <c r="E490" i="7" s="1" a="1"/>
  <c r="E490" i="7" s="1"/>
  <c r="E491" i="7" s="1" a="1"/>
  <c r="E491" i="7" s="1"/>
  <c r="E492" i="7" s="1" a="1"/>
  <c r="E492" i="7" s="1"/>
  <c r="E493" i="7" s="1" a="1"/>
  <c r="E493" i="7" s="1"/>
  <c r="E494" i="7" s="1" a="1"/>
  <c r="E494" i="7" s="1"/>
  <c r="E495" i="7" s="1" a="1"/>
  <c r="E495" i="7" s="1"/>
  <c r="E496" i="7" s="1" a="1"/>
  <c r="E496" i="7" s="1"/>
  <c r="E497" i="7" s="1" a="1"/>
  <c r="E497" i="7" s="1"/>
  <c r="E498" i="7" s="1" a="1"/>
  <c r="E498" i="7" s="1"/>
  <c r="E499" i="7" s="1" a="1"/>
  <c r="E499" i="7" s="1"/>
  <c r="E500" i="7" s="1" a="1"/>
  <c r="E500" i="7" s="1"/>
  <c r="E501" i="7" s="1" a="1"/>
  <c r="E501" i="7" s="1"/>
  <c r="E7" i="7" a="1"/>
  <c r="E7" i="7" s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4" i="6"/>
  <c r="I3" i="3"/>
  <c r="G4" i="3"/>
  <c r="G5" i="3"/>
  <c r="G6" i="3"/>
  <c r="G7" i="3"/>
  <c r="G8" i="3"/>
  <c r="G9" i="3"/>
  <c r="G10" i="3" s="1"/>
  <c r="G11" i="3" s="1"/>
  <c r="G12" i="3" s="1"/>
  <c r="G13" i="3" s="1"/>
  <c r="G14" i="3" s="1"/>
  <c r="G15" i="3" s="1"/>
  <c r="G16" i="3"/>
  <c r="G17" i="3"/>
  <c r="G18" i="3"/>
  <c r="G19" i="3"/>
  <c r="G20" i="3"/>
  <c r="G21" i="3"/>
  <c r="G22" i="3"/>
  <c r="G23" i="3" s="1"/>
  <c r="G24" i="3" s="1"/>
  <c r="G25" i="3" s="1"/>
  <c r="G26" i="3"/>
  <c r="G27" i="3"/>
  <c r="G28" i="3"/>
  <c r="G29" i="3"/>
  <c r="G30" i="3"/>
  <c r="G31" i="3"/>
  <c r="G32" i="3"/>
  <c r="G33" i="3"/>
  <c r="G34" i="3"/>
  <c r="G35" i="3" s="1"/>
  <c r="G36" i="3" s="1"/>
  <c r="G37" i="3" s="1"/>
  <c r="G38" i="3"/>
  <c r="G39" i="3"/>
  <c r="G40" i="3"/>
  <c r="G41" i="3"/>
  <c r="G42" i="3"/>
  <c r="G43" i="3"/>
  <c r="G44" i="3" s="1"/>
  <c r="G45" i="3" s="1"/>
  <c r="G46" i="3" s="1"/>
  <c r="G47" i="3" s="1"/>
  <c r="G48" i="3" s="1"/>
  <c r="G49" i="3"/>
  <c r="G50" i="3"/>
  <c r="G51" i="3"/>
  <c r="G52" i="3"/>
  <c r="G53" i="3"/>
  <c r="G54" i="3"/>
  <c r="G55" i="3"/>
  <c r="G56" i="3"/>
  <c r="G57" i="3"/>
  <c r="G58" i="3"/>
  <c r="G59" i="3" s="1"/>
  <c r="G60" i="3"/>
  <c r="G61" i="3"/>
  <c r="G62" i="3"/>
  <c r="G63" i="3"/>
  <c r="G64" i="3"/>
  <c r="G65" i="3" s="1"/>
  <c r="G66" i="3" s="1"/>
  <c r="G67" i="3" s="1"/>
  <c r="G68" i="3" s="1"/>
  <c r="G69" i="3" s="1"/>
  <c r="G70" i="3"/>
  <c r="G71" i="3"/>
  <c r="G72" i="3"/>
  <c r="G73" i="3"/>
  <c r="G74" i="3"/>
  <c r="G75" i="3"/>
  <c r="G76" i="3"/>
  <c r="G77" i="3"/>
  <c r="G78" i="3" s="1"/>
  <c r="G79" i="3" s="1"/>
  <c r="G80" i="3" s="1"/>
  <c r="G81" i="3"/>
  <c r="G82" i="3"/>
  <c r="G83" i="3"/>
  <c r="G84" i="3"/>
  <c r="G85" i="3"/>
  <c r="G86" i="3"/>
  <c r="G87" i="3"/>
  <c r="G88" i="3" s="1"/>
  <c r="G89" i="3" s="1"/>
  <c r="G90" i="3" s="1"/>
  <c r="G91" i="3" s="1"/>
  <c r="G92" i="3" s="1"/>
  <c r="G93" i="3"/>
  <c r="G94" i="3"/>
  <c r="G95" i="3"/>
  <c r="G96" i="3"/>
  <c r="G97" i="3"/>
  <c r="G98" i="3" s="1"/>
  <c r="G99" i="3" s="1"/>
  <c r="G100" i="3" s="1"/>
  <c r="G101" i="3" s="1"/>
  <c r="G102" i="3" s="1"/>
  <c r="G103" i="3" s="1"/>
  <c r="G104" i="3" s="1"/>
  <c r="G105" i="3"/>
  <c r="G106" i="3"/>
  <c r="G107" i="3"/>
  <c r="G108" i="3"/>
  <c r="G109" i="3"/>
  <c r="G110" i="3" s="1"/>
  <c r="G111" i="3" s="1"/>
  <c r="G112" i="3" s="1"/>
  <c r="G113" i="3" s="1"/>
  <c r="G114" i="3" s="1"/>
  <c r="G115" i="3"/>
  <c r="G116" i="3"/>
  <c r="G117" i="3"/>
  <c r="G118" i="3"/>
  <c r="G119" i="3"/>
  <c r="G120" i="3"/>
  <c r="G121" i="3"/>
  <c r="G122" i="3" s="1"/>
  <c r="G123" i="3" s="1"/>
  <c r="G124" i="3" s="1"/>
  <c r="G125" i="3"/>
  <c r="G126" i="3"/>
  <c r="G127" i="3"/>
  <c r="G128" i="3"/>
  <c r="G129" i="3"/>
  <c r="G130" i="3"/>
  <c r="G131" i="3"/>
  <c r="G132" i="3" s="1"/>
  <c r="G133" i="3" s="1"/>
  <c r="G134" i="3" s="1"/>
  <c r="G135" i="3" s="1"/>
  <c r="G136" i="3"/>
  <c r="G137" i="3"/>
  <c r="G138" i="3"/>
  <c r="G139" i="3"/>
  <c r="G140" i="3"/>
  <c r="G141" i="3"/>
  <c r="G142" i="3"/>
  <c r="G143" i="3" s="1"/>
  <c r="G144" i="3" s="1"/>
  <c r="G145" i="3" s="1"/>
  <c r="G146" i="3" s="1"/>
  <c r="G147" i="3" s="1"/>
  <c r="G148" i="3"/>
  <c r="G149" i="3"/>
  <c r="G150" i="3"/>
  <c r="G151" i="3"/>
  <c r="G152" i="3"/>
  <c r="G153" i="3"/>
  <c r="G154" i="3"/>
  <c r="G155" i="3" s="1"/>
  <c r="G156" i="3" s="1"/>
  <c r="G157" i="3" s="1"/>
  <c r="G158" i="3" s="1"/>
  <c r="G159" i="3"/>
  <c r="G160" i="3"/>
  <c r="G161" i="3"/>
  <c r="G162" i="3"/>
  <c r="G163" i="3"/>
  <c r="G164" i="3"/>
  <c r="G165" i="3"/>
  <c r="G166" i="3"/>
  <c r="G167" i="3" s="1"/>
  <c r="G168" i="3" s="1"/>
  <c r="G169" i="3"/>
  <c r="G170" i="3"/>
  <c r="G171" i="3"/>
  <c r="G172" i="3"/>
  <c r="G173" i="3"/>
  <c r="G174" i="3"/>
  <c r="G175" i="3"/>
  <c r="G176" i="3"/>
  <c r="G177" i="3"/>
  <c r="G178" i="3"/>
  <c r="G179" i="3" s="1"/>
  <c r="G180" i="3"/>
  <c r="G181" i="3"/>
  <c r="G182" i="3"/>
  <c r="G183" i="3"/>
  <c r="G184" i="3"/>
  <c r="G185" i="3"/>
  <c r="G186" i="3"/>
  <c r="G187" i="3"/>
  <c r="G188" i="3"/>
  <c r="G189" i="3"/>
  <c r="G190" i="3"/>
  <c r="G191" i="3" s="1"/>
  <c r="G192" i="3"/>
  <c r="G193" i="3"/>
  <c r="G194" i="3"/>
  <c r="G195" i="3"/>
  <c r="G196" i="3"/>
  <c r="G197" i="3" s="1"/>
  <c r="G198" i="3" s="1"/>
  <c r="G199" i="3" s="1"/>
  <c r="G200" i="3" s="1"/>
  <c r="G201" i="3" s="1"/>
  <c r="G202" i="3" s="1"/>
  <c r="G203" i="3" s="1"/>
  <c r="G204" i="3"/>
  <c r="G205" i="3"/>
  <c r="G206" i="3"/>
  <c r="G207" i="3"/>
  <c r="G208" i="3" s="1"/>
  <c r="G209" i="3" s="1"/>
  <c r="G210" i="3" s="1"/>
  <c r="G211" i="3" s="1"/>
  <c r="G212" i="3" s="1"/>
  <c r="G213" i="3" s="1"/>
  <c r="G214" i="3"/>
  <c r="G215" i="3"/>
  <c r="G216" i="3"/>
  <c r="G217" i="3"/>
  <c r="G218" i="3"/>
  <c r="G219" i="3"/>
  <c r="G220" i="3" s="1"/>
  <c r="G221" i="3" s="1"/>
  <c r="G222" i="3" s="1"/>
  <c r="G223" i="3" s="1"/>
  <c r="G224" i="3"/>
  <c r="G225" i="3"/>
  <c r="G226" i="3"/>
  <c r="G227" i="3"/>
  <c r="G228" i="3"/>
  <c r="G229" i="3"/>
  <c r="G230" i="3"/>
  <c r="G231" i="3"/>
  <c r="G232" i="3" s="1"/>
  <c r="G233" i="3" s="1"/>
  <c r="G234" i="3" s="1"/>
  <c r="G235" i="3"/>
  <c r="G236" i="3"/>
  <c r="G237" i="3"/>
  <c r="G238" i="3"/>
  <c r="G239" i="3"/>
  <c r="G240" i="3"/>
  <c r="G241" i="3"/>
  <c r="G242" i="3" s="1"/>
  <c r="G243" i="3" s="1"/>
  <c r="G244" i="3" s="1"/>
  <c r="G245" i="3" s="1"/>
  <c r="G246" i="3" s="1"/>
  <c r="G247" i="3"/>
  <c r="G248" i="3"/>
  <c r="G249" i="3"/>
  <c r="G250" i="3"/>
  <c r="G251" i="3" s="1"/>
  <c r="G252" i="3" s="1"/>
  <c r="G253" i="3" s="1"/>
  <c r="G254" i="3" s="1"/>
  <c r="G255" i="3" s="1"/>
  <c r="G256" i="3" s="1"/>
  <c r="G257" i="3" s="1"/>
  <c r="G258" i="3"/>
  <c r="G259" i="3"/>
  <c r="G260" i="3"/>
  <c r="G261" i="3"/>
  <c r="G262" i="3"/>
  <c r="G263" i="3" s="1"/>
  <c r="G264" i="3" s="1"/>
  <c r="G265" i="3" s="1"/>
  <c r="G266" i="3" s="1"/>
  <c r="G267" i="3" s="1"/>
  <c r="G268" i="3"/>
  <c r="G269" i="3"/>
  <c r="G270" i="3"/>
  <c r="G271" i="3"/>
  <c r="G272" i="3"/>
  <c r="G273" i="3"/>
  <c r="G274" i="3"/>
  <c r="G275" i="3" s="1"/>
  <c r="G276" i="3" s="1"/>
  <c r="G277" i="3" s="1"/>
  <c r="G278" i="3" s="1"/>
  <c r="G279" i="3"/>
  <c r="G280" i="3"/>
  <c r="G281" i="3"/>
  <c r="G282" i="3"/>
  <c r="G283" i="3"/>
  <c r="G284" i="3"/>
  <c r="G285" i="3"/>
  <c r="G286" i="3"/>
  <c r="G287" i="3" s="1"/>
  <c r="G288" i="3" s="1"/>
  <c r="G289" i="3" s="1"/>
  <c r="G290" i="3" s="1"/>
  <c r="G291" i="3"/>
  <c r="G292" i="3"/>
  <c r="G293" i="3"/>
  <c r="G294" i="3"/>
  <c r="G295" i="3"/>
  <c r="G296" i="3" s="1"/>
  <c r="G297" i="3" s="1"/>
  <c r="G298" i="3" s="1"/>
  <c r="G299" i="3" s="1"/>
  <c r="G300" i="3" s="1"/>
  <c r="G301" i="3" s="1"/>
  <c r="G302" i="3" s="1"/>
  <c r="G303" i="3"/>
  <c r="G304" i="3"/>
  <c r="G305" i="3"/>
  <c r="G306" i="3"/>
  <c r="G307" i="3" s="1"/>
  <c r="G308" i="3" s="1"/>
  <c r="G309" i="3" s="1"/>
  <c r="G310" i="3" s="1"/>
  <c r="G311" i="3" s="1"/>
  <c r="G312" i="3" s="1"/>
  <c r="G313" i="3"/>
  <c r="G314" i="3"/>
  <c r="G315" i="3"/>
  <c r="G316" i="3"/>
  <c r="G317" i="3"/>
  <c r="G318" i="3"/>
  <c r="G319" i="3" s="1"/>
  <c r="G320" i="3" s="1"/>
  <c r="G321" i="3" s="1"/>
  <c r="G322" i="3" s="1"/>
  <c r="G323" i="3"/>
  <c r="G324" i="3"/>
  <c r="G325" i="3"/>
  <c r="G326" i="3"/>
  <c r="G327" i="3"/>
  <c r="G328" i="3"/>
  <c r="G329" i="3"/>
  <c r="G330" i="3"/>
  <c r="G331" i="3" s="1"/>
  <c r="G332" i="3" s="1"/>
  <c r="G333" i="3" s="1"/>
  <c r="G334" i="3"/>
  <c r="G335" i="3"/>
  <c r="G336" i="3"/>
  <c r="G337" i="3"/>
  <c r="G338" i="3"/>
  <c r="G339" i="3"/>
  <c r="G340" i="3" s="1"/>
  <c r="G341" i="3" s="1"/>
  <c r="G342" i="3" s="1"/>
  <c r="G343" i="3" s="1"/>
  <c r="G344" i="3" s="1"/>
  <c r="G345" i="3" s="1"/>
  <c r="G346" i="3"/>
  <c r="G347" i="3"/>
  <c r="G348" i="3"/>
  <c r="G349" i="3"/>
  <c r="G350" i="3" s="1"/>
  <c r="G351" i="3" s="1"/>
  <c r="G352" i="3" s="1"/>
  <c r="G353" i="3" s="1"/>
  <c r="G354" i="3" s="1"/>
  <c r="G355" i="3" s="1"/>
  <c r="G356" i="3" s="1"/>
  <c r="G357" i="3"/>
  <c r="G358" i="3"/>
  <c r="G359" i="3"/>
  <c r="G360" i="3"/>
  <c r="G361" i="3"/>
  <c r="G362" i="3" s="1"/>
  <c r="G363" i="3" s="1"/>
  <c r="G364" i="3" s="1"/>
  <c r="G365" i="3" s="1"/>
  <c r="G366" i="3" s="1"/>
  <c r="G367" i="3"/>
  <c r="G368" i="3"/>
  <c r="G369" i="3"/>
  <c r="G370" i="3"/>
  <c r="G371" i="3"/>
  <c r="G372" i="3"/>
  <c r="G373" i="3"/>
  <c r="G374" i="3" s="1"/>
  <c r="G375" i="3" s="1"/>
  <c r="G376" i="3" s="1"/>
  <c r="G377" i="3" s="1"/>
  <c r="G378" i="3"/>
  <c r="G379" i="3"/>
  <c r="G380" i="3"/>
  <c r="G381" i="3"/>
  <c r="G382" i="3"/>
  <c r="G383" i="3"/>
  <c r="G384" i="3"/>
  <c r="G385" i="3"/>
  <c r="G386" i="3" s="1"/>
  <c r="G387" i="3" s="1"/>
  <c r="G388" i="3" s="1"/>
  <c r="G389" i="3" s="1"/>
  <c r="G390" i="3"/>
  <c r="G391" i="3"/>
  <c r="G392" i="3"/>
  <c r="G393" i="3"/>
  <c r="G394" i="3"/>
  <c r="G395" i="3" s="1"/>
  <c r="G396" i="3" s="1"/>
  <c r="G397" i="3" s="1"/>
  <c r="G398" i="3" s="1"/>
  <c r="G399" i="3" s="1"/>
  <c r="G400" i="3" s="1"/>
  <c r="G401" i="3" s="1"/>
  <c r="G402" i="3"/>
  <c r="G403" i="3"/>
  <c r="G404" i="3"/>
  <c r="G405" i="3"/>
  <c r="G406" i="3"/>
  <c r="G407" i="3" s="1"/>
  <c r="G408" i="3" s="1"/>
  <c r="G409" i="3" s="1"/>
  <c r="G410" i="3" s="1"/>
  <c r="G411" i="3" s="1"/>
  <c r="G412" i="3"/>
  <c r="G413" i="3"/>
  <c r="G414" i="3"/>
  <c r="G415" i="3"/>
  <c r="G416" i="3"/>
  <c r="G417" i="3"/>
  <c r="G418" i="3"/>
  <c r="G419" i="3" s="1"/>
  <c r="G420" i="3" s="1"/>
  <c r="G421" i="3" s="1"/>
  <c r="G422" i="3"/>
  <c r="G423" i="3"/>
  <c r="G424" i="3"/>
  <c r="G425" i="3"/>
  <c r="G426" i="3"/>
  <c r="G427" i="3"/>
  <c r="G428" i="3"/>
  <c r="G429" i="3"/>
  <c r="G430" i="3"/>
  <c r="G431" i="3" s="1"/>
  <c r="G432" i="3" s="1"/>
  <c r="G433" i="3"/>
  <c r="G434" i="3"/>
  <c r="G435" i="3"/>
  <c r="G436" i="3"/>
  <c r="G437" i="3"/>
  <c r="G438" i="3"/>
  <c r="G439" i="3" s="1"/>
  <c r="G440" i="3" s="1"/>
  <c r="G441" i="3" s="1"/>
  <c r="G442" i="3" s="1"/>
  <c r="G443" i="3" s="1"/>
  <c r="G444" i="3" s="1"/>
  <c r="G445" i="3"/>
  <c r="G446" i="3"/>
  <c r="G447" i="3"/>
  <c r="G448" i="3"/>
  <c r="G449" i="3"/>
  <c r="G450" i="3" s="1"/>
  <c r="G451" i="3" s="1"/>
  <c r="G452" i="3" s="1"/>
  <c r="G453" i="3" s="1"/>
  <c r="G454" i="3" s="1"/>
  <c r="G455" i="3" s="1"/>
  <c r="G456" i="3" s="1"/>
  <c r="G457" i="3"/>
  <c r="G458" i="3"/>
  <c r="G459" i="3"/>
  <c r="G460" i="3"/>
  <c r="G461" i="3"/>
  <c r="G462" i="3" s="1"/>
  <c r="G463" i="3" s="1"/>
  <c r="G464" i="3" s="1"/>
  <c r="G465" i="3" s="1"/>
  <c r="G466" i="3" s="1"/>
  <c r="G467" i="3"/>
  <c r="G468" i="3"/>
  <c r="G469" i="3"/>
  <c r="G470" i="3"/>
  <c r="G471" i="3"/>
  <c r="G472" i="3"/>
  <c r="G473" i="3"/>
  <c r="G474" i="3"/>
  <c r="G475" i="3" s="1"/>
  <c r="G476" i="3" s="1"/>
  <c r="G477" i="3"/>
  <c r="G478" i="3"/>
  <c r="G479" i="3"/>
  <c r="G480" i="3"/>
  <c r="G481" i="3"/>
  <c r="G482" i="3"/>
  <c r="G483" i="3"/>
  <c r="G484" i="3" s="1"/>
  <c r="G485" i="3" s="1"/>
  <c r="G486" i="3" s="1"/>
  <c r="G487" i="3" s="1"/>
  <c r="G488" i="3" s="1"/>
  <c r="G489" i="3"/>
  <c r="G490" i="3"/>
  <c r="G491" i="3"/>
  <c r="G492" i="3"/>
  <c r="G493" i="3"/>
  <c r="G494" i="3" s="1"/>
  <c r="G495" i="3" s="1"/>
  <c r="G496" i="3" s="1"/>
  <c r="G497" i="3" s="1"/>
  <c r="G498" i="3" s="1"/>
  <c r="G499" i="3" s="1"/>
  <c r="G500" i="3"/>
  <c r="G501" i="3"/>
  <c r="G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4" i="3"/>
  <c r="H1" i="1"/>
  <c r="H10" i="8" l="1"/>
  <c r="E11" i="8" a="1"/>
  <c r="E11" i="8" s="1"/>
  <c r="E12" i="8" s="1" a="1"/>
  <c r="E12" i="8" s="1"/>
  <c r="E13" i="8" s="1" a="1"/>
  <c r="E13" i="8" s="1"/>
  <c r="E14" i="8" s="1" a="1"/>
  <c r="E14" i="8" s="1"/>
  <c r="E15" i="8" s="1" a="1"/>
  <c r="E15" i="8" s="1"/>
  <c r="E16" i="8" s="1" a="1"/>
  <c r="E16" i="8" s="1"/>
  <c r="E17" i="8" s="1" a="1"/>
  <c r="E17" i="8" s="1"/>
  <c r="E18" i="8" s="1" a="1"/>
  <c r="E18" i="8" s="1"/>
  <c r="E19" i="8" s="1" a="1"/>
  <c r="E19" i="8" s="1"/>
  <c r="E20" i="8" s="1" a="1"/>
  <c r="E20" i="8" s="1"/>
  <c r="J8" i="8"/>
  <c r="I9" i="8" a="1"/>
  <c r="I9" i="8" s="1"/>
  <c r="H7" i="8"/>
  <c r="E21" i="8" l="1" a="1"/>
  <c r="E21" i="8" s="1"/>
  <c r="E22" i="8" s="1" a="1"/>
  <c r="E22" i="8" s="1"/>
  <c r="E23" i="8" s="1" a="1"/>
  <c r="E23" i="8" s="1"/>
  <c r="E24" i="8" s="1" a="1"/>
  <c r="E24" i="8" s="1"/>
  <c r="E25" i="8" s="1" a="1"/>
  <c r="E25" i="8" s="1"/>
  <c r="E26" i="8" s="1" a="1"/>
  <c r="E26" i="8" s="1"/>
  <c r="E27" i="8" s="1" a="1"/>
  <c r="E27" i="8" s="1"/>
  <c r="E28" i="8" s="1" a="1"/>
  <c r="E28" i="8" s="1"/>
  <c r="E29" i="8" s="1" a="1"/>
  <c r="E29" i="8" s="1"/>
  <c r="E30" i="8" s="1" a="1"/>
  <c r="E30" i="8" s="1"/>
  <c r="H20" i="8"/>
  <c r="H8" i="8"/>
  <c r="I10" i="8" a="1"/>
  <c r="I10" i="8" s="1"/>
  <c r="J9" i="8"/>
  <c r="H30" i="8" l="1"/>
  <c r="E31" i="8" a="1"/>
  <c r="E31" i="8" s="1"/>
  <c r="E32" i="8" s="1" a="1"/>
  <c r="E32" i="8" s="1"/>
  <c r="E33" i="8" s="1" a="1"/>
  <c r="E33" i="8" s="1"/>
  <c r="E34" i="8" s="1" a="1"/>
  <c r="E34" i="8" s="1"/>
  <c r="E35" i="8" s="1" a="1"/>
  <c r="E35" i="8" s="1"/>
  <c r="E36" i="8" s="1" a="1"/>
  <c r="E36" i="8" s="1"/>
  <c r="E37" i="8" s="1" a="1"/>
  <c r="E37" i="8" s="1"/>
  <c r="E38" i="8" s="1" a="1"/>
  <c r="E38" i="8" s="1"/>
  <c r="E39" i="8" s="1" a="1"/>
  <c r="E39" i="8" s="1"/>
  <c r="E40" i="8" s="1" a="1"/>
  <c r="E40" i="8" s="1"/>
  <c r="I11" i="8" a="1"/>
  <c r="I11" i="8" s="1"/>
  <c r="H9" i="8"/>
  <c r="E41" i="8" l="1" a="1"/>
  <c r="E41" i="8" s="1"/>
  <c r="E42" i="8" s="1" a="1"/>
  <c r="E42" i="8" s="1"/>
  <c r="E43" i="8" s="1" a="1"/>
  <c r="E43" i="8" s="1"/>
  <c r="E44" i="8" s="1" a="1"/>
  <c r="E44" i="8" s="1"/>
  <c r="E45" i="8" s="1" a="1"/>
  <c r="E45" i="8" s="1"/>
  <c r="E46" i="8" s="1" a="1"/>
  <c r="E46" i="8" s="1"/>
  <c r="E47" i="8" s="1" a="1"/>
  <c r="E47" i="8" s="1"/>
  <c r="E48" i="8" s="1" a="1"/>
  <c r="E48" i="8" s="1"/>
  <c r="E49" i="8" s="1" a="1"/>
  <c r="E49" i="8" s="1"/>
  <c r="E50" i="8" s="1" a="1"/>
  <c r="E50" i="8" s="1"/>
  <c r="H40" i="8"/>
  <c r="I12" i="8" a="1"/>
  <c r="I12" i="8" s="1"/>
  <c r="J11" i="8"/>
  <c r="E51" i="8" l="1" a="1"/>
  <c r="E51" i="8" s="1"/>
  <c r="E52" i="8" s="1" a="1"/>
  <c r="E52" i="8" s="1"/>
  <c r="E53" i="8" s="1" a="1"/>
  <c r="E53" i="8" s="1"/>
  <c r="E54" i="8" s="1" a="1"/>
  <c r="E54" i="8" s="1"/>
  <c r="E55" i="8" s="1" a="1"/>
  <c r="E55" i="8" s="1"/>
  <c r="E56" i="8" s="1" a="1"/>
  <c r="E56" i="8" s="1"/>
  <c r="E57" i="8" s="1" a="1"/>
  <c r="E57" i="8" s="1"/>
  <c r="E58" i="8" s="1" a="1"/>
  <c r="E58" i="8" s="1"/>
  <c r="E59" i="8" s="1" a="1"/>
  <c r="E59" i="8" s="1"/>
  <c r="E60" i="8" s="1" a="1"/>
  <c r="E60" i="8" s="1"/>
  <c r="H50" i="8"/>
  <c r="H11" i="8"/>
  <c r="J12" i="8"/>
  <c r="I13" i="8" a="1"/>
  <c r="I13" i="8" s="1"/>
  <c r="E61" i="8" l="1" a="1"/>
  <c r="E61" i="8" s="1"/>
  <c r="E62" i="8" s="1" a="1"/>
  <c r="E62" i="8" s="1"/>
  <c r="E63" i="8" s="1" a="1"/>
  <c r="E63" i="8" s="1"/>
  <c r="E64" i="8" s="1" a="1"/>
  <c r="E64" i="8" s="1"/>
  <c r="E65" i="8" s="1" a="1"/>
  <c r="E65" i="8" s="1"/>
  <c r="E66" i="8" s="1" a="1"/>
  <c r="E66" i="8" s="1"/>
  <c r="E67" i="8" s="1" a="1"/>
  <c r="E67" i="8" s="1"/>
  <c r="E68" i="8" s="1" a="1"/>
  <c r="E68" i="8" s="1"/>
  <c r="E69" i="8" s="1" a="1"/>
  <c r="E69" i="8" s="1"/>
  <c r="E70" i="8" s="1" a="1"/>
  <c r="E70" i="8" s="1"/>
  <c r="H60" i="8"/>
  <c r="J13" i="8"/>
  <c r="I14" i="8" a="1"/>
  <c r="I14" i="8" s="1"/>
  <c r="H12" i="8"/>
  <c r="H70" i="8" l="1"/>
  <c r="E71" i="8" a="1"/>
  <c r="E71" i="8" s="1"/>
  <c r="E72" i="8" s="1" a="1"/>
  <c r="E72" i="8" s="1"/>
  <c r="E73" i="8" s="1" a="1"/>
  <c r="E73" i="8" s="1"/>
  <c r="E74" i="8" s="1" a="1"/>
  <c r="E74" i="8" s="1"/>
  <c r="E75" i="8" s="1" a="1"/>
  <c r="E75" i="8" s="1"/>
  <c r="E76" i="8" s="1" a="1"/>
  <c r="E76" i="8" s="1"/>
  <c r="E77" i="8" s="1" a="1"/>
  <c r="E77" i="8" s="1"/>
  <c r="E78" i="8" s="1" a="1"/>
  <c r="E78" i="8" s="1"/>
  <c r="E79" i="8" s="1" a="1"/>
  <c r="E79" i="8" s="1"/>
  <c r="E80" i="8" s="1" a="1"/>
  <c r="E80" i="8" s="1"/>
  <c r="I15" i="8" a="1"/>
  <c r="I15" i="8" s="1"/>
  <c r="J14" i="8"/>
  <c r="H13" i="8"/>
  <c r="E81" i="8" l="1" a="1"/>
  <c r="E81" i="8" s="1"/>
  <c r="E82" i="8" s="1" a="1"/>
  <c r="E82" i="8" s="1"/>
  <c r="E83" i="8" s="1" a="1"/>
  <c r="E83" i="8" s="1"/>
  <c r="E84" i="8" s="1" a="1"/>
  <c r="E84" i="8" s="1"/>
  <c r="E85" i="8" s="1" a="1"/>
  <c r="E85" i="8" s="1"/>
  <c r="E86" i="8" s="1" a="1"/>
  <c r="E86" i="8" s="1"/>
  <c r="E87" i="8" s="1" a="1"/>
  <c r="E87" i="8" s="1"/>
  <c r="E88" i="8" s="1" a="1"/>
  <c r="E88" i="8" s="1"/>
  <c r="E89" i="8" s="1" a="1"/>
  <c r="E89" i="8" s="1"/>
  <c r="E90" i="8" s="1" a="1"/>
  <c r="E90" i="8" s="1"/>
  <c r="H80" i="8"/>
  <c r="J15" i="8"/>
  <c r="I16" i="8" a="1"/>
  <c r="I16" i="8" s="1"/>
  <c r="H14" i="8"/>
  <c r="E91" i="8" l="1" a="1"/>
  <c r="E91" i="8" s="1"/>
  <c r="E92" i="8" s="1" a="1"/>
  <c r="E92" i="8" s="1"/>
  <c r="E93" i="8" s="1" a="1"/>
  <c r="E93" i="8" s="1"/>
  <c r="E94" i="8" s="1" a="1"/>
  <c r="E94" i="8" s="1"/>
  <c r="E95" i="8" s="1" a="1"/>
  <c r="E95" i="8" s="1"/>
  <c r="E96" i="8" s="1" a="1"/>
  <c r="E96" i="8" s="1"/>
  <c r="E97" i="8" s="1" a="1"/>
  <c r="E97" i="8" s="1"/>
  <c r="E98" i="8" s="1" a="1"/>
  <c r="E98" i="8" s="1"/>
  <c r="E99" i="8" s="1" a="1"/>
  <c r="E99" i="8" s="1"/>
  <c r="E100" i="8" s="1" a="1"/>
  <c r="E100" i="8" s="1"/>
  <c r="H90" i="8"/>
  <c r="H15" i="8"/>
  <c r="I17" i="8" a="1"/>
  <c r="I17" i="8" s="1"/>
  <c r="J16" i="8"/>
  <c r="H100" i="8" l="1"/>
  <c r="E101" i="8" a="1"/>
  <c r="E101" i="8" s="1"/>
  <c r="J17" i="8"/>
  <c r="I18" i="8" a="1"/>
  <c r="I18" i="8" s="1"/>
  <c r="H16" i="8"/>
  <c r="H101" i="8" l="1"/>
  <c r="E102" i="8" a="1"/>
  <c r="E102" i="8" s="1"/>
  <c r="H17" i="8"/>
  <c r="J18" i="8"/>
  <c r="I19" i="8" a="1"/>
  <c r="I19" i="8" s="1"/>
  <c r="H102" i="8" l="1"/>
  <c r="E103" i="8" a="1"/>
  <c r="E103" i="8" s="1"/>
  <c r="I20" i="8" a="1"/>
  <c r="I20" i="8" s="1"/>
  <c r="J20" i="8" s="1"/>
  <c r="J19" i="8"/>
  <c r="H18" i="8"/>
  <c r="H103" i="8" l="1"/>
  <c r="E104" i="8" a="1"/>
  <c r="E104" i="8" s="1"/>
  <c r="H19" i="8"/>
  <c r="I21" i="8" a="1"/>
  <c r="I21" i="8" s="1"/>
  <c r="E105" i="8" l="1" a="1"/>
  <c r="E105" i="8" s="1"/>
  <c r="H104" i="8"/>
  <c r="I22" i="8" a="1"/>
  <c r="I22" i="8" s="1"/>
  <c r="J21" i="8"/>
  <c r="H105" i="8" l="1"/>
  <c r="E106" i="8" a="1"/>
  <c r="E106" i="8" s="1"/>
  <c r="H21" i="8"/>
  <c r="J22" i="8"/>
  <c r="I23" i="8" a="1"/>
  <c r="I23" i="8" s="1"/>
  <c r="E107" i="8" l="1" a="1"/>
  <c r="E107" i="8" s="1"/>
  <c r="H106" i="8"/>
  <c r="I24" i="8" a="1"/>
  <c r="I24" i="8" s="1"/>
  <c r="J23" i="8"/>
  <c r="H22" i="8"/>
  <c r="E108" i="8" l="1" a="1"/>
  <c r="E108" i="8" s="1"/>
  <c r="H107" i="8"/>
  <c r="J24" i="8"/>
  <c r="I25" i="8" a="1"/>
  <c r="I25" i="8" s="1"/>
  <c r="H23" i="8"/>
  <c r="E109" i="8" l="1" a="1"/>
  <c r="E109" i="8" s="1"/>
  <c r="H108" i="8"/>
  <c r="H24" i="8"/>
  <c r="J25" i="8"/>
  <c r="I26" i="8" a="1"/>
  <c r="I26" i="8" s="1"/>
  <c r="E110" i="8" l="1" a="1"/>
  <c r="E110" i="8" s="1"/>
  <c r="H109" i="8"/>
  <c r="I27" i="8" a="1"/>
  <c r="I27" i="8" s="1"/>
  <c r="J26" i="8"/>
  <c r="H25" i="8"/>
  <c r="E111" i="8" l="1" a="1"/>
  <c r="E111" i="8" s="1"/>
  <c r="E112" i="8" s="1" a="1"/>
  <c r="E112" i="8" s="1"/>
  <c r="E113" i="8" s="1" a="1"/>
  <c r="E113" i="8" s="1"/>
  <c r="E114" i="8" s="1" a="1"/>
  <c r="E114" i="8" s="1"/>
  <c r="E115" i="8" s="1" a="1"/>
  <c r="E115" i="8" s="1"/>
  <c r="E116" i="8" s="1" a="1"/>
  <c r="E116" i="8" s="1"/>
  <c r="E117" i="8" s="1" a="1"/>
  <c r="E117" i="8" s="1"/>
  <c r="E118" i="8" s="1" a="1"/>
  <c r="E118" i="8" s="1"/>
  <c r="E119" i="8" s="1" a="1"/>
  <c r="E119" i="8" s="1"/>
  <c r="E120" i="8" s="1" a="1"/>
  <c r="E120" i="8" s="1"/>
  <c r="H110" i="8"/>
  <c r="H26" i="8"/>
  <c r="J27" i="8"/>
  <c r="I28" i="8" a="1"/>
  <c r="I28" i="8" s="1"/>
  <c r="E121" i="8" l="1" a="1"/>
  <c r="E121" i="8" s="1"/>
  <c r="E122" i="8" s="1" a="1"/>
  <c r="E122" i="8" s="1"/>
  <c r="E123" i="8" s="1" a="1"/>
  <c r="E123" i="8" s="1"/>
  <c r="E124" i="8" s="1" a="1"/>
  <c r="E124" i="8" s="1"/>
  <c r="E125" i="8" s="1" a="1"/>
  <c r="E125" i="8" s="1"/>
  <c r="E126" i="8" s="1" a="1"/>
  <c r="E126" i="8" s="1"/>
  <c r="E127" i="8" s="1" a="1"/>
  <c r="E127" i="8" s="1"/>
  <c r="E128" i="8" s="1" a="1"/>
  <c r="E128" i="8" s="1"/>
  <c r="E129" i="8" s="1" a="1"/>
  <c r="E129" i="8" s="1"/>
  <c r="E130" i="8" s="1" a="1"/>
  <c r="E130" i="8" s="1"/>
  <c r="H120" i="8"/>
  <c r="H27" i="8"/>
  <c r="I29" i="8" a="1"/>
  <c r="I29" i="8" s="1"/>
  <c r="J28" i="8"/>
  <c r="H130" i="8" l="1"/>
  <c r="E131" i="8" a="1"/>
  <c r="E131" i="8" s="1"/>
  <c r="E132" i="8" s="1" a="1"/>
  <c r="E132" i="8" s="1"/>
  <c r="E133" i="8" s="1" a="1"/>
  <c r="E133" i="8" s="1"/>
  <c r="E134" i="8" s="1" a="1"/>
  <c r="E134" i="8" s="1"/>
  <c r="E135" i="8" s="1" a="1"/>
  <c r="E135" i="8" s="1"/>
  <c r="E136" i="8" s="1" a="1"/>
  <c r="E136" i="8" s="1"/>
  <c r="E137" i="8" s="1" a="1"/>
  <c r="E137" i="8" s="1"/>
  <c r="E138" i="8" s="1" a="1"/>
  <c r="E138" i="8" s="1"/>
  <c r="E139" i="8" s="1" a="1"/>
  <c r="E139" i="8" s="1"/>
  <c r="E140" i="8" s="1" a="1"/>
  <c r="E140" i="8" s="1"/>
  <c r="H28" i="8"/>
  <c r="J29" i="8"/>
  <c r="I30" i="8" a="1"/>
  <c r="I30" i="8" s="1"/>
  <c r="J30" i="8" s="1"/>
  <c r="E141" i="8" l="1" a="1"/>
  <c r="E141" i="8" s="1"/>
  <c r="E142" i="8" s="1" a="1"/>
  <c r="E142" i="8" s="1"/>
  <c r="E143" i="8" s="1" a="1"/>
  <c r="E143" i="8" s="1"/>
  <c r="E144" i="8" s="1" a="1"/>
  <c r="E144" i="8" s="1"/>
  <c r="E145" i="8" s="1" a="1"/>
  <c r="E145" i="8" s="1"/>
  <c r="E146" i="8" s="1" a="1"/>
  <c r="E146" i="8" s="1"/>
  <c r="E147" i="8" s="1" a="1"/>
  <c r="E147" i="8" s="1"/>
  <c r="E148" i="8" s="1" a="1"/>
  <c r="E148" i="8" s="1"/>
  <c r="E149" i="8" s="1" a="1"/>
  <c r="E149" i="8" s="1"/>
  <c r="E150" i="8" s="1" a="1"/>
  <c r="E150" i="8" s="1"/>
  <c r="H140" i="8"/>
  <c r="I31" i="8" a="1"/>
  <c r="I31" i="8" s="1"/>
  <c r="H29" i="8"/>
  <c r="H150" i="8" l="1"/>
  <c r="E151" i="8" a="1"/>
  <c r="E151" i="8" s="1"/>
  <c r="E152" i="8" s="1" a="1"/>
  <c r="E152" i="8" s="1"/>
  <c r="E153" i="8" s="1" a="1"/>
  <c r="E153" i="8" s="1"/>
  <c r="E154" i="8" s="1" a="1"/>
  <c r="E154" i="8" s="1"/>
  <c r="E155" i="8" s="1" a="1"/>
  <c r="E155" i="8" s="1"/>
  <c r="E156" i="8" s="1" a="1"/>
  <c r="E156" i="8" s="1"/>
  <c r="E157" i="8" s="1" a="1"/>
  <c r="E157" i="8" s="1"/>
  <c r="E158" i="8" s="1" a="1"/>
  <c r="E158" i="8" s="1"/>
  <c r="E159" i="8" s="1" a="1"/>
  <c r="E159" i="8" s="1"/>
  <c r="E160" i="8" s="1" a="1"/>
  <c r="E160" i="8" s="1"/>
  <c r="I32" i="8" a="1"/>
  <c r="I32" i="8" s="1"/>
  <c r="J31" i="8"/>
  <c r="H160" i="8" l="1"/>
  <c r="E161" i="8" a="1"/>
  <c r="E161" i="8" s="1"/>
  <c r="E162" i="8" s="1" a="1"/>
  <c r="E162" i="8" s="1"/>
  <c r="E163" i="8" s="1" a="1"/>
  <c r="E163" i="8" s="1"/>
  <c r="E164" i="8" s="1" a="1"/>
  <c r="E164" i="8" s="1"/>
  <c r="E165" i="8" s="1" a="1"/>
  <c r="E165" i="8" s="1"/>
  <c r="E166" i="8" s="1" a="1"/>
  <c r="E166" i="8" s="1"/>
  <c r="E167" i="8" s="1" a="1"/>
  <c r="E167" i="8" s="1"/>
  <c r="E168" i="8" s="1" a="1"/>
  <c r="E168" i="8" s="1"/>
  <c r="E169" i="8" s="1" a="1"/>
  <c r="E169" i="8" s="1"/>
  <c r="E170" i="8" s="1" a="1"/>
  <c r="E170" i="8" s="1"/>
  <c r="J32" i="8"/>
  <c r="I33" i="8" a="1"/>
  <c r="I33" i="8" s="1"/>
  <c r="H31" i="8"/>
  <c r="E171" i="8" l="1" a="1"/>
  <c r="E171" i="8" s="1"/>
  <c r="E172" i="8" s="1" a="1"/>
  <c r="E172" i="8" s="1"/>
  <c r="E173" i="8" s="1" a="1"/>
  <c r="E173" i="8" s="1"/>
  <c r="E174" i="8" s="1" a="1"/>
  <c r="E174" i="8" s="1"/>
  <c r="E175" i="8" s="1" a="1"/>
  <c r="E175" i="8" s="1"/>
  <c r="E176" i="8" s="1" a="1"/>
  <c r="E176" i="8" s="1"/>
  <c r="E177" i="8" s="1" a="1"/>
  <c r="E177" i="8" s="1"/>
  <c r="E178" i="8" s="1" a="1"/>
  <c r="E178" i="8" s="1"/>
  <c r="E179" i="8" s="1" a="1"/>
  <c r="E179" i="8" s="1"/>
  <c r="E180" i="8" s="1" a="1"/>
  <c r="E180" i="8" s="1"/>
  <c r="H170" i="8"/>
  <c r="H32" i="8"/>
  <c r="I34" i="8" a="1"/>
  <c r="I34" i="8" s="1"/>
  <c r="J33" i="8"/>
  <c r="H180" i="8" l="1"/>
  <c r="E181" i="8" a="1"/>
  <c r="E181" i="8" s="1"/>
  <c r="E182" i="8" s="1" a="1"/>
  <c r="E182" i="8" s="1"/>
  <c r="E183" i="8" s="1" a="1"/>
  <c r="E183" i="8" s="1"/>
  <c r="E184" i="8" s="1" a="1"/>
  <c r="E184" i="8" s="1"/>
  <c r="E185" i="8" s="1" a="1"/>
  <c r="E185" i="8" s="1"/>
  <c r="E186" i="8" s="1" a="1"/>
  <c r="E186" i="8" s="1"/>
  <c r="E187" i="8" s="1" a="1"/>
  <c r="E187" i="8" s="1"/>
  <c r="E188" i="8" s="1" a="1"/>
  <c r="E188" i="8" s="1"/>
  <c r="E189" i="8" s="1" a="1"/>
  <c r="E189" i="8" s="1"/>
  <c r="E190" i="8" s="1" a="1"/>
  <c r="E190" i="8" s="1"/>
  <c r="H33" i="8"/>
  <c r="J34" i="8"/>
  <c r="I35" i="8" a="1"/>
  <c r="I35" i="8" s="1"/>
  <c r="E191" i="8" l="1" a="1"/>
  <c r="E191" i="8" s="1"/>
  <c r="E192" i="8" s="1" a="1"/>
  <c r="E192" i="8" s="1"/>
  <c r="E193" i="8" s="1" a="1"/>
  <c r="E193" i="8" s="1"/>
  <c r="E194" i="8" s="1" a="1"/>
  <c r="E194" i="8" s="1"/>
  <c r="E195" i="8" s="1" a="1"/>
  <c r="E195" i="8" s="1"/>
  <c r="E196" i="8" s="1" a="1"/>
  <c r="E196" i="8" s="1"/>
  <c r="E197" i="8" s="1" a="1"/>
  <c r="E197" i="8" s="1"/>
  <c r="E198" i="8" s="1" a="1"/>
  <c r="E198" i="8" s="1"/>
  <c r="E199" i="8" s="1" a="1"/>
  <c r="E199" i="8" s="1"/>
  <c r="E200" i="8" s="1" a="1"/>
  <c r="E200" i="8" s="1"/>
  <c r="H190" i="8"/>
  <c r="I36" i="8" a="1"/>
  <c r="I36" i="8" s="1"/>
  <c r="J35" i="8"/>
  <c r="H34" i="8"/>
  <c r="E201" i="8" l="1" a="1"/>
  <c r="E201" i="8" s="1"/>
  <c r="H200" i="8"/>
  <c r="J36" i="8"/>
  <c r="I37" i="8" a="1"/>
  <c r="I37" i="8" s="1"/>
  <c r="H35" i="8"/>
  <c r="H201" i="8" l="1"/>
  <c r="E202" i="8" a="1"/>
  <c r="E202" i="8" s="1"/>
  <c r="H36" i="8"/>
  <c r="J37" i="8"/>
  <c r="I38" i="8" a="1"/>
  <c r="I38" i="8" s="1"/>
  <c r="H202" i="8" l="1"/>
  <c r="E203" i="8" a="1"/>
  <c r="E203" i="8" s="1"/>
  <c r="I39" i="8" a="1"/>
  <c r="I39" i="8" s="1"/>
  <c r="J38" i="8"/>
  <c r="H37" i="8"/>
  <c r="E204" i="8" l="1" a="1"/>
  <c r="E204" i="8" s="1"/>
  <c r="H203" i="8"/>
  <c r="H38" i="8"/>
  <c r="J39" i="8"/>
  <c r="I40" i="8" a="1"/>
  <c r="I40" i="8" s="1"/>
  <c r="J40" i="8" s="1"/>
  <c r="E205" i="8" l="1" a="1"/>
  <c r="E205" i="8" s="1"/>
  <c r="H204" i="8"/>
  <c r="H39" i="8"/>
  <c r="I41" i="8" a="1"/>
  <c r="I41" i="8" s="1"/>
  <c r="E206" i="8" l="1" a="1"/>
  <c r="E206" i="8" s="1"/>
  <c r="H205" i="8"/>
  <c r="J41" i="8"/>
  <c r="I42" i="8" a="1"/>
  <c r="I42" i="8" s="1"/>
  <c r="E207" i="8" l="1" a="1"/>
  <c r="E207" i="8" s="1"/>
  <c r="H206" i="8"/>
  <c r="H41" i="8"/>
  <c r="J42" i="8"/>
  <c r="I43" i="8" a="1"/>
  <c r="I43" i="8" s="1"/>
  <c r="H207" i="8" l="1"/>
  <c r="E208" i="8" a="1"/>
  <c r="E208" i="8" s="1"/>
  <c r="I44" i="8" a="1"/>
  <c r="I44" i="8" s="1"/>
  <c r="J43" i="8"/>
  <c r="H42" i="8"/>
  <c r="H208" i="8" l="1"/>
  <c r="E209" i="8" a="1"/>
  <c r="E209" i="8" s="1"/>
  <c r="H43" i="8"/>
  <c r="J44" i="8"/>
  <c r="I45" i="8" a="1"/>
  <c r="I45" i="8" s="1"/>
  <c r="H209" i="8" l="1"/>
  <c r="E210" i="8" a="1"/>
  <c r="E210" i="8" s="1"/>
  <c r="I46" i="8" a="1"/>
  <c r="I46" i="8" s="1"/>
  <c r="J45" i="8"/>
  <c r="H44" i="8"/>
  <c r="H210" i="8" l="1"/>
  <c r="E211" i="8" a="1"/>
  <c r="E211" i="8" s="1"/>
  <c r="E212" i="8" s="1" a="1"/>
  <c r="E212" i="8" s="1"/>
  <c r="E213" i="8" s="1" a="1"/>
  <c r="E213" i="8" s="1"/>
  <c r="E214" i="8" s="1" a="1"/>
  <c r="E214" i="8" s="1"/>
  <c r="E215" i="8" s="1" a="1"/>
  <c r="E215" i="8" s="1"/>
  <c r="E216" i="8" s="1" a="1"/>
  <c r="E216" i="8" s="1"/>
  <c r="E217" i="8" s="1" a="1"/>
  <c r="E217" i="8" s="1"/>
  <c r="E218" i="8" s="1" a="1"/>
  <c r="E218" i="8" s="1"/>
  <c r="E219" i="8" s="1" a="1"/>
  <c r="E219" i="8" s="1"/>
  <c r="E220" i="8" s="1" a="1"/>
  <c r="E220" i="8" s="1"/>
  <c r="J46" i="8"/>
  <c r="I47" i="8" a="1"/>
  <c r="I47" i="8" s="1"/>
  <c r="H45" i="8"/>
  <c r="E221" i="8" l="1" a="1"/>
  <c r="E221" i="8" s="1"/>
  <c r="E222" i="8" s="1" a="1"/>
  <c r="E222" i="8" s="1"/>
  <c r="E223" i="8" s="1" a="1"/>
  <c r="E223" i="8" s="1"/>
  <c r="E224" i="8" s="1" a="1"/>
  <c r="E224" i="8" s="1"/>
  <c r="E225" i="8" s="1" a="1"/>
  <c r="E225" i="8" s="1"/>
  <c r="E226" i="8" s="1" a="1"/>
  <c r="E226" i="8" s="1"/>
  <c r="E227" i="8" s="1" a="1"/>
  <c r="E227" i="8" s="1"/>
  <c r="E228" i="8" s="1" a="1"/>
  <c r="E228" i="8" s="1"/>
  <c r="E229" i="8" s="1" a="1"/>
  <c r="E229" i="8" s="1"/>
  <c r="E230" i="8" s="1" a="1"/>
  <c r="E230" i="8" s="1"/>
  <c r="H220" i="8"/>
  <c r="H46" i="8"/>
  <c r="I48" i="8" a="1"/>
  <c r="I48" i="8" s="1"/>
  <c r="J47" i="8"/>
  <c r="E231" i="8" l="1" a="1"/>
  <c r="E231" i="8" s="1"/>
  <c r="E232" i="8" s="1" a="1"/>
  <c r="E232" i="8" s="1"/>
  <c r="E233" i="8" s="1" a="1"/>
  <c r="E233" i="8" s="1"/>
  <c r="E234" i="8" s="1" a="1"/>
  <c r="E234" i="8" s="1"/>
  <c r="E235" i="8" s="1" a="1"/>
  <c r="E235" i="8" s="1"/>
  <c r="E236" i="8" s="1" a="1"/>
  <c r="E236" i="8" s="1"/>
  <c r="E237" i="8" s="1" a="1"/>
  <c r="E237" i="8" s="1"/>
  <c r="E238" i="8" s="1" a="1"/>
  <c r="E238" i="8" s="1"/>
  <c r="E239" i="8" s="1" a="1"/>
  <c r="E239" i="8" s="1"/>
  <c r="E240" i="8" s="1" a="1"/>
  <c r="E240" i="8" s="1"/>
  <c r="H230" i="8"/>
  <c r="H47" i="8"/>
  <c r="J48" i="8"/>
  <c r="I49" i="8" a="1"/>
  <c r="I49" i="8" s="1"/>
  <c r="E241" i="8" l="1" a="1"/>
  <c r="E241" i="8" s="1"/>
  <c r="E242" i="8" s="1" a="1"/>
  <c r="E242" i="8" s="1"/>
  <c r="E243" i="8" s="1" a="1"/>
  <c r="E243" i="8" s="1"/>
  <c r="E244" i="8" s="1" a="1"/>
  <c r="E244" i="8" s="1"/>
  <c r="E245" i="8" s="1" a="1"/>
  <c r="E245" i="8" s="1"/>
  <c r="E246" i="8" s="1" a="1"/>
  <c r="E246" i="8" s="1"/>
  <c r="E247" i="8" s="1" a="1"/>
  <c r="E247" i="8" s="1"/>
  <c r="E248" i="8" s="1" a="1"/>
  <c r="E248" i="8" s="1"/>
  <c r="E249" i="8" s="1" a="1"/>
  <c r="E249" i="8" s="1"/>
  <c r="E250" i="8" s="1" a="1"/>
  <c r="E250" i="8" s="1"/>
  <c r="H240" i="8"/>
  <c r="H48" i="8"/>
  <c r="J49" i="8"/>
  <c r="I50" i="8" a="1"/>
  <c r="I50" i="8" s="1"/>
  <c r="J50" i="8" s="1"/>
  <c r="H250" i="8" l="1"/>
  <c r="E251" i="8" a="1"/>
  <c r="E251" i="8" s="1"/>
  <c r="E252" i="8" s="1" a="1"/>
  <c r="E252" i="8" s="1"/>
  <c r="E253" i="8" s="1" a="1"/>
  <c r="E253" i="8" s="1"/>
  <c r="E254" i="8" s="1" a="1"/>
  <c r="E254" i="8" s="1"/>
  <c r="E255" i="8" s="1" a="1"/>
  <c r="E255" i="8" s="1"/>
  <c r="E256" i="8" s="1" a="1"/>
  <c r="E256" i="8" s="1"/>
  <c r="E257" i="8" s="1" a="1"/>
  <c r="E257" i="8" s="1"/>
  <c r="E258" i="8" s="1" a="1"/>
  <c r="E258" i="8" s="1"/>
  <c r="E259" i="8" s="1" a="1"/>
  <c r="E259" i="8" s="1"/>
  <c r="E260" i="8" s="1" a="1"/>
  <c r="E260" i="8" s="1"/>
  <c r="I51" i="8" a="1"/>
  <c r="I51" i="8" s="1"/>
  <c r="H49" i="8"/>
  <c r="E261" i="8" l="1" a="1"/>
  <c r="E261" i="8" s="1"/>
  <c r="E262" i="8" s="1" a="1"/>
  <c r="E262" i="8" s="1"/>
  <c r="E263" i="8" s="1" a="1"/>
  <c r="E263" i="8" s="1"/>
  <c r="E264" i="8" s="1" a="1"/>
  <c r="E264" i="8" s="1"/>
  <c r="E265" i="8" s="1" a="1"/>
  <c r="E265" i="8" s="1"/>
  <c r="E266" i="8" s="1" a="1"/>
  <c r="E266" i="8" s="1"/>
  <c r="E267" i="8" s="1" a="1"/>
  <c r="E267" i="8" s="1"/>
  <c r="E268" i="8" s="1" a="1"/>
  <c r="E268" i="8" s="1"/>
  <c r="E269" i="8" s="1" a="1"/>
  <c r="E269" i="8" s="1"/>
  <c r="E270" i="8" s="1" a="1"/>
  <c r="E270" i="8" s="1"/>
  <c r="H260" i="8"/>
  <c r="J51" i="8"/>
  <c r="I52" i="8" a="1"/>
  <c r="I52" i="8" s="1"/>
  <c r="E271" i="8" l="1" a="1"/>
  <c r="E271" i="8" s="1"/>
  <c r="E272" i="8" s="1" a="1"/>
  <c r="E272" i="8" s="1"/>
  <c r="E273" i="8" s="1" a="1"/>
  <c r="E273" i="8" s="1"/>
  <c r="E274" i="8" s="1" a="1"/>
  <c r="E274" i="8" s="1"/>
  <c r="E275" i="8" s="1" a="1"/>
  <c r="E275" i="8" s="1"/>
  <c r="E276" i="8" s="1" a="1"/>
  <c r="E276" i="8" s="1"/>
  <c r="E277" i="8" s="1" a="1"/>
  <c r="E277" i="8" s="1"/>
  <c r="E278" i="8" s="1" a="1"/>
  <c r="E278" i="8" s="1"/>
  <c r="E279" i="8" s="1" a="1"/>
  <c r="E279" i="8" s="1"/>
  <c r="E280" i="8" s="1" a="1"/>
  <c r="E280" i="8" s="1"/>
  <c r="H270" i="8"/>
  <c r="H51" i="8"/>
  <c r="I53" i="8" a="1"/>
  <c r="I53" i="8" s="1"/>
  <c r="J52" i="8"/>
  <c r="H280" i="8" l="1"/>
  <c r="E281" i="8" a="1"/>
  <c r="E281" i="8" s="1"/>
  <c r="E282" i="8" s="1" a="1"/>
  <c r="E282" i="8" s="1"/>
  <c r="E283" i="8" s="1" a="1"/>
  <c r="E283" i="8" s="1"/>
  <c r="E284" i="8" s="1" a="1"/>
  <c r="E284" i="8" s="1"/>
  <c r="E285" i="8" s="1" a="1"/>
  <c r="E285" i="8" s="1"/>
  <c r="E286" i="8" s="1" a="1"/>
  <c r="E286" i="8" s="1"/>
  <c r="E287" i="8" s="1" a="1"/>
  <c r="E287" i="8" s="1"/>
  <c r="E288" i="8" s="1" a="1"/>
  <c r="E288" i="8" s="1"/>
  <c r="E289" i="8" s="1" a="1"/>
  <c r="E289" i="8" s="1"/>
  <c r="E290" i="8" s="1" a="1"/>
  <c r="E290" i="8" s="1"/>
  <c r="J53" i="8"/>
  <c r="I54" i="8" a="1"/>
  <c r="I54" i="8" s="1"/>
  <c r="H52" i="8"/>
  <c r="E291" i="8" l="1" a="1"/>
  <c r="E291" i="8" s="1"/>
  <c r="E292" i="8" s="1" a="1"/>
  <c r="E292" i="8" s="1"/>
  <c r="E293" i="8" s="1" a="1"/>
  <c r="E293" i="8" s="1"/>
  <c r="E294" i="8" s="1" a="1"/>
  <c r="E294" i="8" s="1"/>
  <c r="E295" i="8" s="1" a="1"/>
  <c r="E295" i="8" s="1"/>
  <c r="E296" i="8" s="1" a="1"/>
  <c r="E296" i="8" s="1"/>
  <c r="E297" i="8" s="1" a="1"/>
  <c r="E297" i="8" s="1"/>
  <c r="E298" i="8" s="1" a="1"/>
  <c r="E298" i="8" s="1"/>
  <c r="E299" i="8" s="1" a="1"/>
  <c r="E299" i="8" s="1"/>
  <c r="E300" i="8" s="1" a="1"/>
  <c r="E300" i="8" s="1"/>
  <c r="H290" i="8"/>
  <c r="H53" i="8"/>
  <c r="J54" i="8"/>
  <c r="I55" i="8" a="1"/>
  <c r="I55" i="8" s="1"/>
  <c r="H300" i="8" l="1"/>
  <c r="E301" i="8" a="1"/>
  <c r="E301" i="8" s="1"/>
  <c r="H301" i="8" s="1"/>
  <c r="I56" i="8" a="1"/>
  <c r="I56" i="8" s="1"/>
  <c r="J55" i="8"/>
  <c r="H54" i="8"/>
  <c r="H55" i="8" l="1"/>
  <c r="J56" i="8"/>
  <c r="I57" i="8" a="1"/>
  <c r="I57" i="8" s="1"/>
  <c r="I58" i="8" l="1" a="1"/>
  <c r="I58" i="8" s="1"/>
  <c r="J57" i="8"/>
  <c r="H56" i="8"/>
  <c r="J58" i="8" l="1"/>
  <c r="I59" i="8" a="1"/>
  <c r="I59" i="8" s="1"/>
  <c r="H57" i="8"/>
  <c r="H58" i="8" l="1"/>
  <c r="I60" i="8" a="1"/>
  <c r="I60" i="8" s="1"/>
  <c r="J60" i="8" s="1"/>
  <c r="J59" i="8"/>
  <c r="H59" i="8" l="1"/>
  <c r="I61" i="8" a="1"/>
  <c r="I61" i="8" s="1"/>
  <c r="J61" i="8" l="1"/>
  <c r="I62" i="8" a="1"/>
  <c r="I62" i="8" s="1"/>
  <c r="H61" i="8" l="1"/>
  <c r="I63" i="8" a="1"/>
  <c r="I63" i="8" s="1"/>
  <c r="J62" i="8"/>
  <c r="J63" i="8" l="1"/>
  <c r="I64" i="8" a="1"/>
  <c r="I64" i="8" s="1"/>
  <c r="H62" i="8"/>
  <c r="H63" i="8" l="1"/>
  <c r="I65" i="8" a="1"/>
  <c r="I65" i="8" s="1"/>
  <c r="J64" i="8"/>
  <c r="J65" i="8" l="1"/>
  <c r="I66" i="8" a="1"/>
  <c r="I66" i="8" s="1"/>
  <c r="H64" i="8"/>
  <c r="J66" i="8" l="1"/>
  <c r="I67" i="8" a="1"/>
  <c r="I67" i="8" s="1"/>
  <c r="H65" i="8"/>
  <c r="H66" i="8" l="1"/>
  <c r="I68" i="8" a="1"/>
  <c r="I68" i="8" s="1"/>
  <c r="J67" i="8"/>
  <c r="H67" i="8" l="1"/>
  <c r="J68" i="8"/>
  <c r="I69" i="8" a="1"/>
  <c r="I69" i="8" s="1"/>
  <c r="I70" i="8" l="1" a="1"/>
  <c r="I70" i="8" s="1"/>
  <c r="J70" i="8" s="1"/>
  <c r="J69" i="8"/>
  <c r="H68" i="8"/>
  <c r="I71" i="8" l="1" a="1"/>
  <c r="I71" i="8" s="1"/>
  <c r="H69" i="8"/>
  <c r="I72" i="8" l="1" a="1"/>
  <c r="I72" i="8" s="1"/>
  <c r="J71" i="8"/>
  <c r="J72" i="8" l="1"/>
  <c r="I73" i="8" a="1"/>
  <c r="I73" i="8" s="1"/>
  <c r="H71" i="8"/>
  <c r="J73" i="8" l="1"/>
  <c r="I74" i="8" a="1"/>
  <c r="I74" i="8" s="1"/>
  <c r="H72" i="8"/>
  <c r="I75" i="8" l="1" a="1"/>
  <c r="I75" i="8" s="1"/>
  <c r="J74" i="8"/>
  <c r="H73" i="8"/>
  <c r="H74" i="8" l="1"/>
  <c r="J75" i="8"/>
  <c r="I76" i="8" a="1"/>
  <c r="I76" i="8" s="1"/>
  <c r="H75" i="8" l="1"/>
  <c r="I77" i="8" a="1"/>
  <c r="I77" i="8" s="1"/>
  <c r="J76" i="8"/>
  <c r="J77" i="8" l="1"/>
  <c r="I78" i="8" a="1"/>
  <c r="I78" i="8" s="1"/>
  <c r="H76" i="8"/>
  <c r="H77" i="8" l="1"/>
  <c r="J78" i="8"/>
  <c r="I79" i="8" a="1"/>
  <c r="I79" i="8" s="1"/>
  <c r="I80" i="8" l="1" a="1"/>
  <c r="I80" i="8" s="1"/>
  <c r="J80" i="8" s="1"/>
  <c r="J79" i="8"/>
  <c r="H78" i="8"/>
  <c r="I81" i="8" l="1" a="1"/>
  <c r="I81" i="8" s="1"/>
  <c r="H79" i="8"/>
  <c r="I82" i="8" l="1" a="1"/>
  <c r="I82" i="8" s="1"/>
  <c r="J81" i="8"/>
  <c r="I83" i="8" l="1" a="1"/>
  <c r="I83" i="8" s="1"/>
  <c r="J82" i="8"/>
  <c r="H81" i="8"/>
  <c r="I84" i="8" l="1" a="1"/>
  <c r="I84" i="8" s="1"/>
  <c r="J83" i="8"/>
  <c r="H82" i="8"/>
  <c r="H83" i="8" l="1"/>
  <c r="J84" i="8"/>
  <c r="I85" i="8" a="1"/>
  <c r="I85" i="8" s="1"/>
  <c r="J85" i="8" l="1"/>
  <c r="I86" i="8" a="1"/>
  <c r="I86" i="8" s="1"/>
  <c r="H84" i="8"/>
  <c r="H85" i="8" l="1"/>
  <c r="I87" i="8" a="1"/>
  <c r="I87" i="8" s="1"/>
  <c r="J86" i="8"/>
  <c r="H86" i="8" l="1"/>
  <c r="J87" i="8"/>
  <c r="I88" i="8" a="1"/>
  <c r="I88" i="8" s="1"/>
  <c r="I89" i="8" l="1" a="1"/>
  <c r="I89" i="8" s="1"/>
  <c r="J88" i="8"/>
  <c r="H87" i="8"/>
  <c r="H88" i="8" l="1"/>
  <c r="J89" i="8"/>
  <c r="I90" i="8" a="1"/>
  <c r="I90" i="8" s="1"/>
  <c r="J90" i="8" s="1"/>
  <c r="I91" i="8" l="1" a="1"/>
  <c r="I91" i="8" s="1"/>
  <c r="H89" i="8"/>
  <c r="I92" i="8" l="1" a="1"/>
  <c r="I92" i="8" s="1"/>
  <c r="J91" i="8"/>
  <c r="J92" i="8" l="1"/>
  <c r="I93" i="8" a="1"/>
  <c r="I93" i="8" s="1"/>
  <c r="H91" i="8"/>
  <c r="I94" i="8" l="1" a="1"/>
  <c r="I94" i="8" s="1"/>
  <c r="J93" i="8"/>
  <c r="H92" i="8"/>
  <c r="I95" i="8" l="1" a="1"/>
  <c r="I95" i="8" s="1"/>
  <c r="J94" i="8"/>
  <c r="H93" i="8"/>
  <c r="H94" i="8" l="1"/>
  <c r="J95" i="8"/>
  <c r="I96" i="8" a="1"/>
  <c r="I96" i="8" s="1"/>
  <c r="J96" i="8" l="1"/>
  <c r="I97" i="8" a="1"/>
  <c r="I97" i="8" s="1"/>
  <c r="H95" i="8"/>
  <c r="J97" i="8" l="1"/>
  <c r="I98" i="8" a="1"/>
  <c r="I98" i="8" s="1"/>
  <c r="H96" i="8"/>
  <c r="H97" i="8" l="1"/>
  <c r="I99" i="8" a="1"/>
  <c r="I99" i="8" s="1"/>
  <c r="J98" i="8"/>
  <c r="J99" i="8" l="1"/>
  <c r="I100" i="8" a="1"/>
  <c r="I100" i="8" s="1"/>
  <c r="J100" i="8" s="1"/>
  <c r="H98" i="8"/>
  <c r="H99" i="8" l="1"/>
  <c r="I101" i="8" a="1"/>
  <c r="I101" i="8" s="1"/>
  <c r="J101" i="8" s="1"/>
  <c r="I102" i="8" l="1" a="1"/>
  <c r="I102" i="8" s="1"/>
  <c r="J102" i="8" s="1"/>
  <c r="I103" i="8" l="1" a="1"/>
  <c r="I103" i="8" s="1"/>
  <c r="J103" i="8" s="1"/>
  <c r="I104" i="8" l="1" a="1"/>
  <c r="I104" i="8" s="1"/>
  <c r="J104" i="8" s="1"/>
  <c r="I105" i="8" l="1" a="1"/>
  <c r="I105" i="8" s="1"/>
  <c r="J105" i="8" s="1"/>
  <c r="I106" i="8" l="1" a="1"/>
  <c r="I106" i="8" s="1"/>
  <c r="J106" i="8" s="1"/>
  <c r="I107" i="8" l="1" a="1"/>
  <c r="I107" i="8" s="1"/>
  <c r="J107" i="8" s="1"/>
  <c r="I108" i="8" l="1" a="1"/>
  <c r="I108" i="8" s="1"/>
  <c r="J108" i="8" s="1"/>
  <c r="I109" i="8" l="1" a="1"/>
  <c r="I109" i="8" s="1"/>
  <c r="J109" i="8" s="1"/>
  <c r="I110" i="8" l="1" a="1"/>
  <c r="I110" i="8" s="1"/>
  <c r="J110" i="8" s="1"/>
  <c r="I111" i="8" l="1" a="1"/>
  <c r="I111" i="8" s="1"/>
  <c r="J111" i="8" l="1"/>
  <c r="I112" i="8" a="1"/>
  <c r="I112" i="8" s="1"/>
  <c r="H111" i="8" l="1"/>
  <c r="I113" i="8" a="1"/>
  <c r="I113" i="8" s="1"/>
  <c r="J112" i="8"/>
  <c r="J113" i="8" l="1"/>
  <c r="I114" i="8" a="1"/>
  <c r="I114" i="8" s="1"/>
  <c r="H112" i="8"/>
  <c r="I115" i="8" l="1" a="1"/>
  <c r="I115" i="8" s="1"/>
  <c r="J114" i="8"/>
  <c r="H113" i="8"/>
  <c r="H114" i="8" l="1"/>
  <c r="J115" i="8"/>
  <c r="I116" i="8" a="1"/>
  <c r="I116" i="8" s="1"/>
  <c r="H115" i="8" l="1"/>
  <c r="J116" i="8"/>
  <c r="I117" i="8" a="1"/>
  <c r="I117" i="8" s="1"/>
  <c r="I118" i="8" l="1" a="1"/>
  <c r="I118" i="8" s="1"/>
  <c r="J117" i="8"/>
  <c r="H116" i="8"/>
  <c r="H117" i="8" l="1"/>
  <c r="I119" i="8" a="1"/>
  <c r="I119" i="8" s="1"/>
  <c r="J118" i="8"/>
  <c r="J119" i="8" l="1"/>
  <c r="I120" i="8" a="1"/>
  <c r="I120" i="8" s="1"/>
  <c r="J120" i="8" s="1"/>
  <c r="H118" i="8"/>
  <c r="H119" i="8" l="1"/>
  <c r="I121" i="8" a="1"/>
  <c r="I121" i="8" s="1"/>
  <c r="J121" i="8" l="1"/>
  <c r="I122" i="8" a="1"/>
  <c r="I122" i="8" s="1"/>
  <c r="H121" i="8" l="1"/>
  <c r="I123" i="8" a="1"/>
  <c r="I123" i="8" s="1"/>
  <c r="J122" i="8"/>
  <c r="H122" i="8" l="1"/>
  <c r="J123" i="8"/>
  <c r="I124" i="8" a="1"/>
  <c r="I124" i="8" s="1"/>
  <c r="H123" i="8" l="1"/>
  <c r="I125" i="8" a="1"/>
  <c r="I125" i="8" s="1"/>
  <c r="J124" i="8"/>
  <c r="H124" i="8" l="1"/>
  <c r="J125" i="8"/>
  <c r="I126" i="8" a="1"/>
  <c r="I126" i="8" s="1"/>
  <c r="H125" i="8" l="1"/>
  <c r="I127" i="8" a="1"/>
  <c r="I127" i="8" s="1"/>
  <c r="J126" i="8"/>
  <c r="J127" i="8" l="1"/>
  <c r="I128" i="8" a="1"/>
  <c r="I128" i="8" s="1"/>
  <c r="H126" i="8"/>
  <c r="J128" i="8" l="1"/>
  <c r="I129" i="8" a="1"/>
  <c r="I129" i="8" s="1"/>
  <c r="H127" i="8"/>
  <c r="H128" i="8" l="1"/>
  <c r="I130" i="8" a="1"/>
  <c r="I130" i="8" s="1"/>
  <c r="J130" i="8" s="1"/>
  <c r="J129" i="8"/>
  <c r="I131" i="8" l="1" a="1"/>
  <c r="I131" i="8" s="1"/>
  <c r="H129" i="8"/>
  <c r="J131" i="8" l="1"/>
  <c r="I132" i="8" a="1"/>
  <c r="I132" i="8" s="1"/>
  <c r="J132" i="8" l="1"/>
  <c r="I133" i="8" a="1"/>
  <c r="I133" i="8" s="1"/>
  <c r="H131" i="8"/>
  <c r="J133" i="8" l="1"/>
  <c r="I134" i="8" a="1"/>
  <c r="I134" i="8" s="1"/>
  <c r="H132" i="8"/>
  <c r="I135" i="8" l="1" a="1"/>
  <c r="I135" i="8" s="1"/>
  <c r="J134" i="8"/>
  <c r="H133" i="8"/>
  <c r="H134" i="8" l="1"/>
  <c r="J135" i="8"/>
  <c r="I136" i="8" a="1"/>
  <c r="I136" i="8" s="1"/>
  <c r="H135" i="8" l="1"/>
  <c r="I137" i="8" a="1"/>
  <c r="I137" i="8" s="1"/>
  <c r="J136" i="8"/>
  <c r="H136" i="8" l="1"/>
  <c r="J137" i="8"/>
  <c r="I138" i="8" a="1"/>
  <c r="I138" i="8" s="1"/>
  <c r="I139" i="8" l="1" a="1"/>
  <c r="I139" i="8" s="1"/>
  <c r="J138" i="8"/>
  <c r="H137" i="8"/>
  <c r="H138" i="8" l="1"/>
  <c r="J139" i="8"/>
  <c r="I140" i="8" a="1"/>
  <c r="I140" i="8" s="1"/>
  <c r="J140" i="8" s="1"/>
  <c r="I141" i="8" l="1" a="1"/>
  <c r="I141" i="8" s="1"/>
  <c r="H139" i="8"/>
  <c r="I142" i="8" l="1" a="1"/>
  <c r="I142" i="8" s="1"/>
  <c r="J141" i="8"/>
  <c r="H141" i="8" l="1"/>
  <c r="I143" i="8" a="1"/>
  <c r="I143" i="8" s="1"/>
  <c r="J142" i="8"/>
  <c r="J143" i="8" l="1"/>
  <c r="I144" i="8" a="1"/>
  <c r="I144" i="8" s="1"/>
  <c r="H142" i="8"/>
  <c r="J144" i="8" l="1"/>
  <c r="I145" i="8" a="1"/>
  <c r="I145" i="8" s="1"/>
  <c r="H143" i="8"/>
  <c r="H144" i="8" l="1"/>
  <c r="J145" i="8"/>
  <c r="I146" i="8" a="1"/>
  <c r="I146" i="8" s="1"/>
  <c r="I147" i="8" l="1" a="1"/>
  <c r="I147" i="8" s="1"/>
  <c r="J146" i="8"/>
  <c r="H145" i="8"/>
  <c r="H146" i="8" l="1"/>
  <c r="J147" i="8"/>
  <c r="I148" i="8" a="1"/>
  <c r="I148" i="8" s="1"/>
  <c r="I149" i="8" l="1" a="1"/>
  <c r="I149" i="8" s="1"/>
  <c r="J148" i="8"/>
  <c r="H147" i="8"/>
  <c r="H148" i="8" l="1"/>
  <c r="J149" i="8"/>
  <c r="I150" i="8" a="1"/>
  <c r="I150" i="8" s="1"/>
  <c r="J150" i="8" s="1"/>
  <c r="I151" i="8" l="1" a="1"/>
  <c r="I151" i="8" s="1"/>
  <c r="H149" i="8"/>
  <c r="J151" i="8" l="1"/>
  <c r="I152" i="8" a="1"/>
  <c r="I152" i="8" s="1"/>
  <c r="J152" i="8" l="1"/>
  <c r="I153" i="8" a="1"/>
  <c r="I153" i="8" s="1"/>
  <c r="H151" i="8"/>
  <c r="H152" i="8" l="1"/>
  <c r="I154" i="8" a="1"/>
  <c r="I154" i="8" s="1"/>
  <c r="J153" i="8"/>
  <c r="H153" i="8" l="1"/>
  <c r="I155" i="8" a="1"/>
  <c r="I155" i="8" s="1"/>
  <c r="J154" i="8"/>
  <c r="J155" i="8" l="1"/>
  <c r="I156" i="8" a="1"/>
  <c r="I156" i="8" s="1"/>
  <c r="H154" i="8"/>
  <c r="J156" i="8" l="1"/>
  <c r="I157" i="8" a="1"/>
  <c r="I157" i="8" s="1"/>
  <c r="H155" i="8"/>
  <c r="H156" i="8" l="1"/>
  <c r="J157" i="8"/>
  <c r="I158" i="8" a="1"/>
  <c r="I158" i="8" s="1"/>
  <c r="I159" i="8" l="1" a="1"/>
  <c r="I159" i="8" s="1"/>
  <c r="J158" i="8"/>
  <c r="H157" i="8"/>
  <c r="H158" i="8" l="1"/>
  <c r="J159" i="8"/>
  <c r="I160" i="8" a="1"/>
  <c r="I160" i="8" s="1"/>
  <c r="J160" i="8" s="1"/>
  <c r="I161" i="8" l="1" a="1"/>
  <c r="I161" i="8" s="1"/>
  <c r="H159" i="8"/>
  <c r="J161" i="8" l="1"/>
  <c r="I162" i="8" a="1"/>
  <c r="I162" i="8" s="1"/>
  <c r="H161" i="8" l="1"/>
  <c r="J162" i="8"/>
  <c r="I163" i="8" a="1"/>
  <c r="I163" i="8" s="1"/>
  <c r="J163" i="8" l="1"/>
  <c r="I164" i="8" a="1"/>
  <c r="I164" i="8" s="1"/>
  <c r="H162" i="8"/>
  <c r="H163" i="8" l="1"/>
  <c r="I165" i="8" a="1"/>
  <c r="I165" i="8" s="1"/>
  <c r="J164" i="8"/>
  <c r="H164" i="8" l="1"/>
  <c r="J165" i="8"/>
  <c r="I166" i="8" a="1"/>
  <c r="I166" i="8" s="1"/>
  <c r="I167" i="8" l="1" a="1"/>
  <c r="I167" i="8" s="1"/>
  <c r="J166" i="8"/>
  <c r="H165" i="8"/>
  <c r="H166" i="8" l="1"/>
  <c r="I168" i="8" a="1"/>
  <c r="I168" i="8" s="1"/>
  <c r="J167" i="8"/>
  <c r="J168" i="8" l="1"/>
  <c r="I169" i="8" a="1"/>
  <c r="I169" i="8" s="1"/>
  <c r="H167" i="8"/>
  <c r="H168" i="8" l="1"/>
  <c r="J169" i="8"/>
  <c r="I170" i="8" a="1"/>
  <c r="I170" i="8" s="1"/>
  <c r="J170" i="8" s="1"/>
  <c r="I171" i="8" l="1" a="1"/>
  <c r="I171" i="8" s="1"/>
  <c r="H169" i="8"/>
  <c r="J171" i="8" l="1"/>
  <c r="I172" i="8" a="1"/>
  <c r="I172" i="8" s="1"/>
  <c r="I173" i="8" l="1" a="1"/>
  <c r="I173" i="8" s="1"/>
  <c r="J172" i="8"/>
  <c r="H171" i="8"/>
  <c r="H172" i="8" l="1"/>
  <c r="J173" i="8"/>
  <c r="I174" i="8" a="1"/>
  <c r="I174" i="8" s="1"/>
  <c r="I175" i="8" l="1" a="1"/>
  <c r="I175" i="8" s="1"/>
  <c r="J174" i="8"/>
  <c r="H173" i="8"/>
  <c r="H174" i="8" l="1"/>
  <c r="J175" i="8"/>
  <c r="I176" i="8" a="1"/>
  <c r="I176" i="8" s="1"/>
  <c r="I177" i="8" l="1" a="1"/>
  <c r="I177" i="8" s="1"/>
  <c r="J176" i="8"/>
  <c r="H175" i="8"/>
  <c r="H176" i="8" l="1"/>
  <c r="J177" i="8"/>
  <c r="I178" i="8" a="1"/>
  <c r="I178" i="8" s="1"/>
  <c r="I179" i="8" l="1" a="1"/>
  <c r="I179" i="8" s="1"/>
  <c r="J178" i="8"/>
  <c r="H177" i="8"/>
  <c r="H178" i="8" l="1"/>
  <c r="J179" i="8"/>
  <c r="I180" i="8" a="1"/>
  <c r="I180" i="8" s="1"/>
  <c r="J180" i="8" s="1"/>
  <c r="I181" i="8" l="1" a="1"/>
  <c r="I181" i="8" s="1"/>
  <c r="H179" i="8"/>
  <c r="I182" i="8" l="1" a="1"/>
  <c r="I182" i="8" s="1"/>
  <c r="J181" i="8"/>
  <c r="J182" i="8" l="1"/>
  <c r="I183" i="8" a="1"/>
  <c r="I183" i="8" s="1"/>
  <c r="H181" i="8"/>
  <c r="H182" i="8" l="1"/>
  <c r="I184" i="8" a="1"/>
  <c r="I184" i="8" s="1"/>
  <c r="J183" i="8"/>
  <c r="J184" i="8" l="1"/>
  <c r="I185" i="8" a="1"/>
  <c r="I185" i="8" s="1"/>
  <c r="H183" i="8"/>
  <c r="J185" i="8" l="1"/>
  <c r="I186" i="8" a="1"/>
  <c r="I186" i="8" s="1"/>
  <c r="H184" i="8"/>
  <c r="H185" i="8" l="1"/>
  <c r="I187" i="8" a="1"/>
  <c r="I187" i="8" s="1"/>
  <c r="J186" i="8"/>
  <c r="J187" i="8" l="1"/>
  <c r="I188" i="8" a="1"/>
  <c r="I188" i="8" s="1"/>
  <c r="H186" i="8"/>
  <c r="H187" i="8" l="1"/>
  <c r="I189" i="8" a="1"/>
  <c r="I189" i="8" s="1"/>
  <c r="J188" i="8"/>
  <c r="J189" i="8" l="1"/>
  <c r="I190" i="8" a="1"/>
  <c r="I190" i="8" s="1"/>
  <c r="J190" i="8" s="1"/>
  <c r="H188" i="8"/>
  <c r="I191" i="8" l="1" a="1"/>
  <c r="I191" i="8" s="1"/>
  <c r="H189" i="8"/>
  <c r="J191" i="8" l="1"/>
  <c r="I192" i="8" a="1"/>
  <c r="I192" i="8" s="1"/>
  <c r="J192" i="8" l="1"/>
  <c r="I193" i="8" a="1"/>
  <c r="I193" i="8" s="1"/>
  <c r="H191" i="8"/>
  <c r="H192" i="8" l="1"/>
  <c r="I194" i="8" a="1"/>
  <c r="I194" i="8" s="1"/>
  <c r="J193" i="8"/>
  <c r="J194" i="8" l="1"/>
  <c r="I195" i="8" a="1"/>
  <c r="I195" i="8" s="1"/>
  <c r="H193" i="8"/>
  <c r="H194" i="8" l="1"/>
  <c r="I196" i="8" a="1"/>
  <c r="I196" i="8" s="1"/>
  <c r="J195" i="8"/>
  <c r="J196" i="8" l="1"/>
  <c r="I197" i="8" a="1"/>
  <c r="I197" i="8" s="1"/>
  <c r="H195" i="8"/>
  <c r="H196" i="8" l="1"/>
  <c r="J197" i="8"/>
  <c r="I198" i="8" a="1"/>
  <c r="I198" i="8" s="1"/>
  <c r="I199" i="8" l="1" a="1"/>
  <c r="I199" i="8" s="1"/>
  <c r="J198" i="8"/>
  <c r="H197" i="8"/>
  <c r="J199" i="8" l="1"/>
  <c r="I200" i="8" a="1"/>
  <c r="I200" i="8" s="1"/>
  <c r="J200" i="8" s="1"/>
  <c r="H198" i="8"/>
  <c r="I201" i="8" l="1" a="1"/>
  <c r="I201" i="8" s="1"/>
  <c r="J201" i="8" s="1"/>
  <c r="H199" i="8"/>
  <c r="I202" i="8" l="1" a="1"/>
  <c r="I202" i="8" s="1"/>
  <c r="J202" i="8" s="1"/>
  <c r="I203" i="8" l="1" a="1"/>
  <c r="I203" i="8" s="1"/>
  <c r="J203" i="8" s="1"/>
  <c r="I204" i="8" l="1" a="1"/>
  <c r="I204" i="8" s="1"/>
  <c r="J204" i="8" s="1"/>
  <c r="I205" i="8" l="1" a="1"/>
  <c r="I205" i="8" s="1"/>
  <c r="J205" i="8" s="1"/>
  <c r="I206" i="8" l="1" a="1"/>
  <c r="I206" i="8" s="1"/>
  <c r="J206" i="8" s="1"/>
  <c r="I207" i="8" l="1" a="1"/>
  <c r="I207" i="8" s="1"/>
  <c r="J207" i="8" s="1"/>
  <c r="I208" i="8" l="1" a="1"/>
  <c r="I208" i="8" s="1"/>
  <c r="J208" i="8" s="1"/>
  <c r="I209" i="8" l="1" a="1"/>
  <c r="I209" i="8" s="1"/>
  <c r="J209" i="8" s="1"/>
  <c r="I210" i="8" l="1" a="1"/>
  <c r="I210" i="8" s="1"/>
  <c r="J210" i="8" s="1"/>
  <c r="I211" i="8" l="1" a="1"/>
  <c r="I211" i="8" s="1"/>
  <c r="J211" i="8" l="1"/>
  <c r="I212" i="8" a="1"/>
  <c r="I212" i="8" s="1"/>
  <c r="H211" i="8" l="1"/>
  <c r="I213" i="8" a="1"/>
  <c r="I213" i="8" s="1"/>
  <c r="J212" i="8"/>
  <c r="J213" i="8" l="1"/>
  <c r="I214" i="8" a="1"/>
  <c r="I214" i="8" s="1"/>
  <c r="H212" i="8"/>
  <c r="H213" i="8" l="1"/>
  <c r="I215" i="8" a="1"/>
  <c r="I215" i="8" s="1"/>
  <c r="J214" i="8"/>
  <c r="J215" i="8" l="1"/>
  <c r="I216" i="8" a="1"/>
  <c r="I216" i="8" s="1"/>
  <c r="H214" i="8"/>
  <c r="H215" i="8" l="1"/>
  <c r="J216" i="8"/>
  <c r="I217" i="8" a="1"/>
  <c r="I217" i="8" s="1"/>
  <c r="I218" i="8" l="1" a="1"/>
  <c r="I218" i="8" s="1"/>
  <c r="J217" i="8"/>
  <c r="H216" i="8"/>
  <c r="J218" i="8" l="1"/>
  <c r="I219" i="8" a="1"/>
  <c r="I219" i="8" s="1"/>
  <c r="H217" i="8"/>
  <c r="H218" i="8" l="1"/>
  <c r="I220" i="8" a="1"/>
  <c r="I220" i="8" s="1"/>
  <c r="J220" i="8" s="1"/>
  <c r="J219" i="8"/>
  <c r="I221" i="8" l="1" a="1"/>
  <c r="I221" i="8" s="1"/>
  <c r="H219" i="8"/>
  <c r="J221" i="8" l="1"/>
  <c r="I222" i="8" a="1"/>
  <c r="I222" i="8" s="1"/>
  <c r="H221" i="8" l="1"/>
  <c r="I223" i="8" a="1"/>
  <c r="I223" i="8" s="1"/>
  <c r="J222" i="8"/>
  <c r="J223" i="8" l="1"/>
  <c r="I224" i="8" a="1"/>
  <c r="I224" i="8" s="1"/>
  <c r="H222" i="8"/>
  <c r="I225" i="8" l="1" a="1"/>
  <c r="I225" i="8" s="1"/>
  <c r="J224" i="8"/>
  <c r="H223" i="8"/>
  <c r="J225" i="8" l="1"/>
  <c r="I226" i="8" a="1"/>
  <c r="I226" i="8" s="1"/>
  <c r="H224" i="8"/>
  <c r="H225" i="8" l="1"/>
  <c r="I227" i="8" a="1"/>
  <c r="I227" i="8" s="1"/>
  <c r="J226" i="8"/>
  <c r="J227" i="8" l="1"/>
  <c r="I228" i="8" a="1"/>
  <c r="I228" i="8" s="1"/>
  <c r="H226" i="8"/>
  <c r="H227" i="8" l="1"/>
  <c r="J228" i="8"/>
  <c r="I229" i="8" a="1"/>
  <c r="I229" i="8" s="1"/>
  <c r="I230" i="8" l="1" a="1"/>
  <c r="I230" i="8" s="1"/>
  <c r="J230" i="8" s="1"/>
  <c r="J229" i="8"/>
  <c r="H228" i="8"/>
  <c r="I231" i="8" l="1" a="1"/>
  <c r="I231" i="8" s="1"/>
  <c r="H229" i="8"/>
  <c r="I232" i="8" l="1" a="1"/>
  <c r="I232" i="8" s="1"/>
  <c r="J231" i="8"/>
  <c r="H231" i="8" l="1"/>
  <c r="J232" i="8"/>
  <c r="I233" i="8" a="1"/>
  <c r="I233" i="8" s="1"/>
  <c r="J233" i="8" l="1"/>
  <c r="I234" i="8" a="1"/>
  <c r="I234" i="8" s="1"/>
  <c r="H232" i="8"/>
  <c r="H233" i="8" l="1"/>
  <c r="I235" i="8" a="1"/>
  <c r="I235" i="8" s="1"/>
  <c r="J234" i="8"/>
  <c r="J235" i="8" l="1"/>
  <c r="I236" i="8" a="1"/>
  <c r="I236" i="8" s="1"/>
  <c r="H234" i="8"/>
  <c r="H235" i="8" l="1"/>
  <c r="I237" i="8" a="1"/>
  <c r="I237" i="8" s="1"/>
  <c r="J236" i="8"/>
  <c r="H236" i="8" l="1"/>
  <c r="J237" i="8"/>
  <c r="I238" i="8" a="1"/>
  <c r="I238" i="8" s="1"/>
  <c r="I239" i="8" l="1" a="1"/>
  <c r="I239" i="8" s="1"/>
  <c r="J238" i="8"/>
  <c r="H237" i="8"/>
  <c r="H238" i="8" l="1"/>
  <c r="J239" i="8"/>
  <c r="I240" i="8" a="1"/>
  <c r="I240" i="8" s="1"/>
  <c r="J240" i="8" s="1"/>
  <c r="I241" i="8" l="1" a="1"/>
  <c r="I241" i="8" s="1"/>
  <c r="H239" i="8"/>
  <c r="I242" i="8" l="1" a="1"/>
  <c r="I242" i="8" s="1"/>
  <c r="J241" i="8"/>
  <c r="H241" i="8" l="1"/>
  <c r="J242" i="8"/>
  <c r="I243" i="8" a="1"/>
  <c r="I243" i="8" s="1"/>
  <c r="I244" i="8" l="1" a="1"/>
  <c r="I244" i="8" s="1"/>
  <c r="J243" i="8"/>
  <c r="H242" i="8"/>
  <c r="H243" i="8" l="1"/>
  <c r="J244" i="8"/>
  <c r="I245" i="8" a="1"/>
  <c r="I245" i="8" s="1"/>
  <c r="J245" i="8" l="1"/>
  <c r="I246" i="8" a="1"/>
  <c r="I246" i="8" s="1"/>
  <c r="H244" i="8"/>
  <c r="H245" i="8" l="1"/>
  <c r="I247" i="8" a="1"/>
  <c r="I247" i="8" s="1"/>
  <c r="J246" i="8"/>
  <c r="J247" i="8" l="1"/>
  <c r="I248" i="8" a="1"/>
  <c r="I248" i="8" s="1"/>
  <c r="H246" i="8"/>
  <c r="I249" i="8" l="1" a="1"/>
  <c r="I249" i="8" s="1"/>
  <c r="J248" i="8"/>
  <c r="H247" i="8"/>
  <c r="J249" i="8" l="1"/>
  <c r="I250" i="8" a="1"/>
  <c r="I250" i="8" s="1"/>
  <c r="J250" i="8" s="1"/>
  <c r="H248" i="8"/>
  <c r="I251" i="8" l="1" a="1"/>
  <c r="I251" i="8" s="1"/>
  <c r="H249" i="8"/>
  <c r="J251" i="8" l="1"/>
  <c r="I252" i="8" a="1"/>
  <c r="I252" i="8" s="1"/>
  <c r="H251" i="8" l="1"/>
  <c r="J252" i="8"/>
  <c r="I253" i="8" a="1"/>
  <c r="I253" i="8" s="1"/>
  <c r="I254" i="8" l="1" a="1"/>
  <c r="I254" i="8" s="1"/>
  <c r="J253" i="8"/>
  <c r="H252" i="8"/>
  <c r="H253" i="8" l="1"/>
  <c r="I255" i="8" a="1"/>
  <c r="I255" i="8" s="1"/>
  <c r="J254" i="8"/>
  <c r="H254" i="8" l="1"/>
  <c r="I256" i="8" a="1"/>
  <c r="I256" i="8" s="1"/>
  <c r="J255" i="8"/>
  <c r="J256" i="8" l="1"/>
  <c r="I257" i="8" a="1"/>
  <c r="I257" i="8" s="1"/>
  <c r="H255" i="8"/>
  <c r="J257" i="8" l="1"/>
  <c r="I258" i="8" a="1"/>
  <c r="I258" i="8" s="1"/>
  <c r="H256" i="8"/>
  <c r="H257" i="8" l="1"/>
  <c r="I259" i="8" a="1"/>
  <c r="I259" i="8" s="1"/>
  <c r="J258" i="8"/>
  <c r="J259" i="8" l="1"/>
  <c r="I260" i="8" a="1"/>
  <c r="I260" i="8" s="1"/>
  <c r="J260" i="8" s="1"/>
  <c r="H258" i="8"/>
  <c r="H259" i="8" l="1"/>
  <c r="I261" i="8" a="1"/>
  <c r="I261" i="8" s="1"/>
  <c r="J261" i="8" l="1"/>
  <c r="I262" i="8" a="1"/>
  <c r="I262" i="8" s="1"/>
  <c r="I263" i="8" l="1" a="1"/>
  <c r="I263" i="8" s="1"/>
  <c r="J262" i="8"/>
  <c r="H261" i="8"/>
  <c r="J263" i="8" l="1"/>
  <c r="I264" i="8" a="1"/>
  <c r="I264" i="8" s="1"/>
  <c r="H262" i="8"/>
  <c r="J264" i="8" l="1"/>
  <c r="I265" i="8" a="1"/>
  <c r="I265" i="8" s="1"/>
  <c r="H263" i="8"/>
  <c r="I266" i="8" l="1" a="1"/>
  <c r="I266" i="8" s="1"/>
  <c r="J265" i="8"/>
  <c r="H264" i="8"/>
  <c r="H265" i="8" l="1"/>
  <c r="I267" i="8" a="1"/>
  <c r="I267" i="8" s="1"/>
  <c r="J266" i="8"/>
  <c r="J267" i="8" l="1"/>
  <c r="I268" i="8" a="1"/>
  <c r="I268" i="8" s="1"/>
  <c r="H266" i="8"/>
  <c r="H267" i="8" l="1"/>
  <c r="I269" i="8" a="1"/>
  <c r="I269" i="8" s="1"/>
  <c r="J268" i="8"/>
  <c r="H268" i="8" l="1"/>
  <c r="J269" i="8"/>
  <c r="I270" i="8" a="1"/>
  <c r="I270" i="8" s="1"/>
  <c r="J270" i="8" s="1"/>
  <c r="I271" i="8" l="1" a="1"/>
  <c r="I271" i="8" s="1"/>
  <c r="H269" i="8"/>
  <c r="J271" i="8" l="1"/>
  <c r="I272" i="8" a="1"/>
  <c r="I272" i="8" s="1"/>
  <c r="H271" i="8" l="1"/>
  <c r="J272" i="8"/>
  <c r="I273" i="8" a="1"/>
  <c r="I273" i="8" s="1"/>
  <c r="H272" i="8" l="1"/>
  <c r="J273" i="8"/>
  <c r="I274" i="8" a="1"/>
  <c r="I274" i="8" s="1"/>
  <c r="I275" i="8" l="1" a="1"/>
  <c r="I275" i="8" s="1"/>
  <c r="J274" i="8"/>
  <c r="H273" i="8"/>
  <c r="I276" i="8" l="1" a="1"/>
  <c r="I276" i="8" s="1"/>
  <c r="J275" i="8"/>
  <c r="H274" i="8"/>
  <c r="H275" i="8" l="1"/>
  <c r="J276" i="8"/>
  <c r="I277" i="8" a="1"/>
  <c r="I277" i="8" s="1"/>
  <c r="H276" i="8" l="1"/>
  <c r="I278" i="8" a="1"/>
  <c r="I278" i="8" s="1"/>
  <c r="J277" i="8"/>
  <c r="J278" i="8" l="1"/>
  <c r="I279" i="8" a="1"/>
  <c r="I279" i="8" s="1"/>
  <c r="H277" i="8"/>
  <c r="H278" i="8" l="1"/>
  <c r="I280" i="8" a="1"/>
  <c r="I280" i="8" s="1"/>
  <c r="J280" i="8" s="1"/>
  <c r="J279" i="8"/>
  <c r="I281" i="8" l="1" a="1"/>
  <c r="I281" i="8" s="1"/>
  <c r="H279" i="8"/>
  <c r="J281" i="8" l="1"/>
  <c r="I282" i="8" a="1"/>
  <c r="I282" i="8" s="1"/>
  <c r="I283" i="8" l="1" a="1"/>
  <c r="I283" i="8" s="1"/>
  <c r="J282" i="8"/>
  <c r="H281" i="8"/>
  <c r="H282" i="8" l="1"/>
  <c r="J283" i="8"/>
  <c r="I284" i="8" a="1"/>
  <c r="I284" i="8" s="1"/>
  <c r="J284" i="8" l="1"/>
  <c r="I285" i="8" a="1"/>
  <c r="I285" i="8" s="1"/>
  <c r="H283" i="8"/>
  <c r="J285" i="8" l="1"/>
  <c r="I286" i="8" a="1"/>
  <c r="I286" i="8" s="1"/>
  <c r="H284" i="8"/>
  <c r="H285" i="8" l="1"/>
  <c r="I287" i="8" a="1"/>
  <c r="I287" i="8" s="1"/>
  <c r="J286" i="8"/>
  <c r="J287" i="8" l="1"/>
  <c r="I288" i="8" a="1"/>
  <c r="I288" i="8" s="1"/>
  <c r="H286" i="8"/>
  <c r="H287" i="8" l="1"/>
  <c r="J288" i="8"/>
  <c r="I289" i="8" a="1"/>
  <c r="I289" i="8" s="1"/>
  <c r="H288" i="8" l="1"/>
  <c r="I290" i="8" a="1"/>
  <c r="I290" i="8" s="1"/>
  <c r="J290" i="8" s="1"/>
  <c r="J289" i="8"/>
  <c r="I291" i="8" l="1" a="1"/>
  <c r="I291" i="8" s="1"/>
  <c r="H289" i="8"/>
  <c r="J291" i="8" l="1"/>
  <c r="I292" i="8" a="1"/>
  <c r="I292" i="8" s="1"/>
  <c r="H291" i="8" l="1"/>
  <c r="I293" i="8" a="1"/>
  <c r="I293" i="8" s="1"/>
  <c r="J292" i="8"/>
  <c r="J293" i="8" l="1"/>
  <c r="I294" i="8" a="1"/>
  <c r="I294" i="8" s="1"/>
  <c r="H292" i="8"/>
  <c r="H293" i="8" l="1"/>
  <c r="I295" i="8" a="1"/>
  <c r="I295" i="8" s="1"/>
  <c r="J294" i="8"/>
  <c r="J295" i="8" l="1"/>
  <c r="I296" i="8" a="1"/>
  <c r="I296" i="8" s="1"/>
  <c r="H294" i="8"/>
  <c r="H295" i="8" l="1"/>
  <c r="I297" i="8" a="1"/>
  <c r="I297" i="8" s="1"/>
  <c r="J296" i="8"/>
  <c r="J297" i="8" l="1"/>
  <c r="I298" i="8" a="1"/>
  <c r="I298" i="8" s="1"/>
  <c r="H296" i="8"/>
  <c r="I299" i="8" l="1" a="1"/>
  <c r="I299" i="8" s="1"/>
  <c r="J298" i="8"/>
  <c r="H297" i="8"/>
  <c r="H298" i="8" l="1"/>
  <c r="J299" i="8"/>
  <c r="I300" i="8" a="1"/>
  <c r="I300" i="8" s="1"/>
  <c r="J300" i="8" s="1"/>
  <c r="I301" i="8" l="1" a="1"/>
  <c r="I301" i="8" s="1"/>
  <c r="J301" i="8" s="1"/>
  <c r="H299" i="8"/>
  <c r="Q2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5E3AFB-A007-4C31-9FF1-93BB9B294C11}" keepAlive="1" name="Zapytanie — pogoda" description="Połączenie z zapytaniem „pogoda” w skoroszycie." type="5" refreshedVersion="8" background="1" saveData="1">
    <dbPr connection="Provider=Microsoft.Mashup.OleDb.1;Data Source=$Workbook$;Location=pogoda;Extended Properties=&quot;&quot;" command="SELECT * FROM [pogod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<sst xmlns="http://schemas.openxmlformats.org/spreadsheetml/2006/main" count="2178" uniqueCount="41">
  <si>
    <t>Dzien</t>
  </si>
  <si>
    <t>Temperatura</t>
  </si>
  <si>
    <t>Opad</t>
  </si>
  <si>
    <t>Kategoria_chmur</t>
  </si>
  <si>
    <t>Wielkosc_chmur</t>
  </si>
  <si>
    <t>0</t>
  </si>
  <si>
    <t>C</t>
  </si>
  <si>
    <t>S</t>
  </si>
  <si>
    <t>czy temp &gt;</t>
  </si>
  <si>
    <t>TAK</t>
  </si>
  <si>
    <t>licz</t>
  </si>
  <si>
    <t>max</t>
  </si>
  <si>
    <t>Etykiety wierszy</t>
  </si>
  <si>
    <t>Suma końcowa</t>
  </si>
  <si>
    <t>Średnia z Opad</t>
  </si>
  <si>
    <t>średnia zaokrąglona</t>
  </si>
  <si>
    <t>C1</t>
  </si>
  <si>
    <t>C2</t>
  </si>
  <si>
    <t>C3</t>
  </si>
  <si>
    <t>C4</t>
  </si>
  <si>
    <t>C5</t>
  </si>
  <si>
    <t>S1</t>
  </si>
  <si>
    <t>S2</t>
  </si>
  <si>
    <t>S3</t>
  </si>
  <si>
    <t>S4</t>
  </si>
  <si>
    <t>S5</t>
  </si>
  <si>
    <t>3,45</t>
  </si>
  <si>
    <t>7,28</t>
  </si>
  <si>
    <t>9,05</t>
  </si>
  <si>
    <t>11,58</t>
  </si>
  <si>
    <t>19,40</t>
  </si>
  <si>
    <t>3,73</t>
  </si>
  <si>
    <t>6,52</t>
  </si>
  <si>
    <t>10,29</t>
  </si>
  <si>
    <t>15,00</t>
  </si>
  <si>
    <t>19,64</t>
  </si>
  <si>
    <t>rodzaj chmury</t>
  </si>
  <si>
    <t>średnia z opad</t>
  </si>
  <si>
    <t>Wielkosc_chmur_symulacja</t>
  </si>
  <si>
    <t>kategoria_symulacja</t>
  </si>
  <si>
    <t>teoria_wielkosc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</si>
</sst>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49" fontId="0" fillId="0" borderId="0" xfId="0" applyNumberFormat="1"/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opad dla każdego rodzaju chmur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15782407407407409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'5.3 - tabela'!$J$22</c:f>
              <c:strCache>
                <c:ptCount val="1"/>
                <c:pt idx="0">
                  <c:v>średnia z opad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'5.3 - tabela'!$I$23:$I$32</c:f>
              <c:strCache>
                <c:ptCount val="10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S1</c:v>
                </c:pt>
                <c:pt idx="6">
                  <c:v>S2</c:v>
                </c:pt>
                <c:pt idx="7">
                  <c:v>S3</c:v>
                </c:pt>
                <c:pt idx="8">
                  <c:v>S4</c:v>
                </c:pt>
                <c:pt idx="9">
                  <c:v>S5</c:v>
                </c:pt>
              </c:strCache>
            </c:strRef>
          </c:cat>
          <c:val>
            <c:numRef>
              <c:f>'5.3 - tabela'!$J$23:$J$32</c:f>
              <c:numCache>
                <c:formatCode>General</c:formatCode>
                <c:ptCount val="10"/>
                <c:pt idx="0">
                  <c:v>3.45</c:v>
                </c:pt>
                <c:pt idx="1">
                  <c:v>7.28</c:v>
                </c:pt>
                <c:pt idx="2">
                  <c:v>9.0500000000000007</c:v>
                </c:pt>
                <c:pt idx="3">
                  <c:v>11.58</c:v>
                </c:pt>
                <c:pt idx="4">
                  <c:v>19.399999999999999</c:v>
                </c:pt>
                <c:pt idx="5">
                  <c:v>3.73</c:v>
                </c:pt>
                <c:pt idx="6">
                  <c:v>6.52</c:v>
                </c:pt>
                <c:pt idx="7">
                  <c:v>10.29</c:v>
                </c:pt>
                <c:pt idx="8">
                  <c:v>15</c:v>
                </c:pt>
                <c:pt idx="9">
                  <c:v>19.64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2-4A16-B1F4-F2D4F7735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9214192"/>
        <c:axId val="499215152"/>
      </c:barChart>
      <c:catAx>
        <c:axId val="499214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rodzaj chmur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9215152"/>
        <c:crosses val="autoZero"/>
        <c:auto val="1"/>
        <c:lblAlgn val="ctr"/>
        <c:lblOffset val="100"/>
        <c:noMultiLvlLbl val="0"/>
      </c:catAx>
      <c:valAx>
        <c:axId val="4992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opad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921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2</xdr:row>
      <xdr:rowOff>185737</xdr:rowOff>
    </xdr:from>
    <xdr:to>
      <xdr:col>13</xdr:col>
      <xdr:colOff>571500</xdr:colOff>
      <xdr:row>17</xdr:row>
      <xdr:rowOff>71437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69DF06E-50BE-B6A0-E453-D8EC9C549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Marasek" refreshedDate="45998.956284490741" createdVersion="8" refreshedVersion="8" minRefreshableVersion="3" recordCount="300" xr:uid="{6DA254B3-25C1-453D-8322-0AE48140B84B}">
  <cacheSource type="worksheet">
    <worksheetSource ref="A1:E301" sheet="5.3"/>
  </cacheSource>
  <cacheFields count="5">
    <cacheField name="Dzien" numFmtId="0">
      <sharedItems containsSemiMixedTypes="0" containsString="0" containsNumber="1" containsInteger="1" minValue="1" maxValue="300"/>
    </cacheField>
    <cacheField name="Temperatura" numFmtId="0">
      <sharedItems containsSemiMixedTypes="0" containsString="0" containsNumber="1" minValue="0.2" maxValue="29.9"/>
    </cacheField>
    <cacheField name="Opad" numFmtId="0">
      <sharedItems containsSemiMixedTypes="0" containsString="0" containsNumber="1" containsInteger="1" minValue="0" maxValue="29"/>
    </cacheField>
    <cacheField name="Kategoria_chmur" numFmtId="0">
      <sharedItems count="3">
        <s v="0"/>
        <s v="C"/>
        <s v="S"/>
      </sharedItems>
    </cacheField>
    <cacheField name="Wielkosc_chmur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n v="19"/>
    <n v="0"/>
    <x v="0"/>
    <x v="0"/>
  </r>
  <r>
    <n v="2"/>
    <n v="22"/>
    <n v="1"/>
    <x v="1"/>
    <x v="1"/>
  </r>
  <r>
    <n v="3"/>
    <n v="23.6"/>
    <n v="4"/>
    <x v="1"/>
    <x v="1"/>
  </r>
  <r>
    <n v="4"/>
    <n v="23.6"/>
    <n v="4"/>
    <x v="1"/>
    <x v="1"/>
  </r>
  <r>
    <n v="5"/>
    <n v="22.3"/>
    <n v="10"/>
    <x v="1"/>
    <x v="2"/>
  </r>
  <r>
    <n v="6"/>
    <n v="20.399999999999999"/>
    <n v="8"/>
    <x v="1"/>
    <x v="2"/>
  </r>
  <r>
    <n v="7"/>
    <n v="18.899999999999999"/>
    <n v="10"/>
    <x v="1"/>
    <x v="2"/>
  </r>
  <r>
    <n v="8"/>
    <n v="18.5"/>
    <n v="11"/>
    <x v="1"/>
    <x v="3"/>
  </r>
  <r>
    <n v="9"/>
    <n v="19.5"/>
    <n v="14"/>
    <x v="1"/>
    <x v="3"/>
  </r>
  <r>
    <n v="10"/>
    <n v="21.8"/>
    <n v="15"/>
    <x v="1"/>
    <x v="3"/>
  </r>
  <r>
    <n v="11"/>
    <n v="24.8"/>
    <n v="3"/>
    <x v="1"/>
    <x v="4"/>
  </r>
  <r>
    <n v="12"/>
    <n v="27.7"/>
    <n v="23"/>
    <x v="1"/>
    <x v="4"/>
  </r>
  <r>
    <n v="13"/>
    <n v="29.5"/>
    <n v="17"/>
    <x v="1"/>
    <x v="4"/>
  </r>
  <r>
    <n v="14"/>
    <n v="29.8"/>
    <n v="15"/>
    <x v="1"/>
    <x v="5"/>
  </r>
  <r>
    <n v="15"/>
    <n v="28.3"/>
    <n v="22"/>
    <x v="1"/>
    <x v="5"/>
  </r>
  <r>
    <n v="16"/>
    <n v="25.5"/>
    <n v="0"/>
    <x v="0"/>
    <x v="0"/>
  </r>
  <r>
    <n v="17"/>
    <n v="22"/>
    <n v="2"/>
    <x v="1"/>
    <x v="1"/>
  </r>
  <r>
    <n v="18"/>
    <n v="18.899999999999999"/>
    <n v="1"/>
    <x v="1"/>
    <x v="1"/>
  </r>
  <r>
    <n v="19"/>
    <n v="16.899999999999999"/>
    <n v="1"/>
    <x v="1"/>
    <x v="1"/>
  </r>
  <r>
    <n v="20"/>
    <n v="16.3"/>
    <n v="12"/>
    <x v="1"/>
    <x v="2"/>
  </r>
  <r>
    <n v="21"/>
    <n v="17.100000000000001"/>
    <n v="11"/>
    <x v="1"/>
    <x v="2"/>
  </r>
  <r>
    <n v="22"/>
    <n v="18.7"/>
    <n v="6"/>
    <x v="1"/>
    <x v="2"/>
  </r>
  <r>
    <n v="23"/>
    <n v="20.2"/>
    <n v="18"/>
    <x v="1"/>
    <x v="2"/>
  </r>
  <r>
    <n v="24"/>
    <n v="20.8"/>
    <n v="15"/>
    <x v="1"/>
    <x v="3"/>
  </r>
  <r>
    <n v="25"/>
    <n v="19.899999999999999"/>
    <n v="5"/>
    <x v="1"/>
    <x v="3"/>
  </r>
  <r>
    <n v="26"/>
    <n v="17.5"/>
    <n v="19"/>
    <x v="1"/>
    <x v="4"/>
  </r>
  <r>
    <n v="27"/>
    <n v="13.9"/>
    <n v="18"/>
    <x v="1"/>
    <x v="4"/>
  </r>
  <r>
    <n v="28"/>
    <n v="9.9"/>
    <n v="4"/>
    <x v="1"/>
    <x v="4"/>
  </r>
  <r>
    <n v="29"/>
    <n v="6.4"/>
    <n v="17"/>
    <x v="1"/>
    <x v="5"/>
  </r>
  <r>
    <n v="30"/>
    <n v="4.2"/>
    <n v="14"/>
    <x v="1"/>
    <x v="5"/>
  </r>
  <r>
    <n v="31"/>
    <n v="3.6"/>
    <n v="12"/>
    <x v="1"/>
    <x v="5"/>
  </r>
  <r>
    <n v="32"/>
    <n v="4.5999999999999996"/>
    <n v="11"/>
    <x v="1"/>
    <x v="5"/>
  </r>
  <r>
    <n v="33"/>
    <n v="6.6"/>
    <n v="17"/>
    <x v="1"/>
    <x v="5"/>
  </r>
  <r>
    <n v="34"/>
    <n v="8.6999999999999993"/>
    <n v="26"/>
    <x v="1"/>
    <x v="5"/>
  </r>
  <r>
    <n v="35"/>
    <n v="10"/>
    <n v="0"/>
    <x v="0"/>
    <x v="0"/>
  </r>
  <r>
    <n v="36"/>
    <n v="10.1"/>
    <n v="3"/>
    <x v="1"/>
    <x v="1"/>
  </r>
  <r>
    <n v="37"/>
    <n v="8.8000000000000007"/>
    <n v="3"/>
    <x v="1"/>
    <x v="1"/>
  </r>
  <r>
    <n v="38"/>
    <n v="6.4"/>
    <n v="5"/>
    <x v="1"/>
    <x v="1"/>
  </r>
  <r>
    <n v="39"/>
    <n v="3.8"/>
    <n v="11"/>
    <x v="1"/>
    <x v="2"/>
  </r>
  <r>
    <n v="40"/>
    <n v="1.7"/>
    <n v="6"/>
    <x v="1"/>
    <x v="2"/>
  </r>
  <r>
    <n v="41"/>
    <n v="1"/>
    <n v="3"/>
    <x v="1"/>
    <x v="2"/>
  </r>
  <r>
    <n v="42"/>
    <n v="2"/>
    <n v="17"/>
    <x v="1"/>
    <x v="3"/>
  </r>
  <r>
    <n v="43"/>
    <n v="4.5999999999999996"/>
    <n v="5"/>
    <x v="1"/>
    <x v="3"/>
  </r>
  <r>
    <n v="44"/>
    <n v="8.1999999999999993"/>
    <n v="8"/>
    <x v="1"/>
    <x v="3"/>
  </r>
  <r>
    <n v="45"/>
    <n v="11.8"/>
    <n v="2"/>
    <x v="1"/>
    <x v="4"/>
  </r>
  <r>
    <n v="46"/>
    <n v="14.7"/>
    <n v="1"/>
    <x v="1"/>
    <x v="4"/>
  </r>
  <r>
    <n v="47"/>
    <n v="16.3"/>
    <n v="11"/>
    <x v="1"/>
    <x v="4"/>
  </r>
  <r>
    <n v="48"/>
    <n v="16.3"/>
    <n v="25"/>
    <x v="1"/>
    <x v="5"/>
  </r>
  <r>
    <n v="49"/>
    <n v="15.2"/>
    <n v="0"/>
    <x v="0"/>
    <x v="0"/>
  </r>
  <r>
    <n v="50"/>
    <n v="13.6"/>
    <n v="2"/>
    <x v="1"/>
    <x v="1"/>
  </r>
  <r>
    <n v="51"/>
    <n v="12.5"/>
    <n v="3"/>
    <x v="1"/>
    <x v="1"/>
  </r>
  <r>
    <n v="52"/>
    <n v="12.5"/>
    <n v="2"/>
    <x v="1"/>
    <x v="1"/>
  </r>
  <r>
    <n v="53"/>
    <n v="14.1"/>
    <n v="4"/>
    <x v="1"/>
    <x v="2"/>
  </r>
  <r>
    <n v="54"/>
    <n v="17.100000000000001"/>
    <n v="5"/>
    <x v="1"/>
    <x v="2"/>
  </r>
  <r>
    <n v="55"/>
    <n v="20.9"/>
    <n v="9"/>
    <x v="1"/>
    <x v="2"/>
  </r>
  <r>
    <n v="56"/>
    <n v="24.5"/>
    <n v="2"/>
    <x v="1"/>
    <x v="3"/>
  </r>
  <r>
    <n v="57"/>
    <n v="27.3"/>
    <n v="16"/>
    <x v="1"/>
    <x v="3"/>
  </r>
  <r>
    <n v="58"/>
    <n v="28.4"/>
    <n v="14"/>
    <x v="1"/>
    <x v="3"/>
  </r>
  <r>
    <n v="59"/>
    <n v="27.8"/>
    <n v="14"/>
    <x v="1"/>
    <x v="3"/>
  </r>
  <r>
    <n v="60"/>
    <n v="25.9"/>
    <n v="6"/>
    <x v="1"/>
    <x v="4"/>
  </r>
  <r>
    <n v="61"/>
    <n v="23.4"/>
    <n v="21"/>
    <x v="1"/>
    <x v="4"/>
  </r>
  <r>
    <n v="62"/>
    <n v="21.2"/>
    <n v="21"/>
    <x v="1"/>
    <x v="5"/>
  </r>
  <r>
    <n v="63"/>
    <n v="20"/>
    <n v="0"/>
    <x v="0"/>
    <x v="0"/>
  </r>
  <r>
    <n v="64"/>
    <n v="20.3"/>
    <n v="4"/>
    <x v="1"/>
    <x v="1"/>
  </r>
  <r>
    <n v="65"/>
    <n v="21.8"/>
    <n v="6"/>
    <x v="1"/>
    <x v="1"/>
  </r>
  <r>
    <n v="66"/>
    <n v="24"/>
    <n v="3"/>
    <x v="1"/>
    <x v="1"/>
  </r>
  <r>
    <n v="67"/>
    <n v="26.1"/>
    <n v="7"/>
    <x v="1"/>
    <x v="2"/>
  </r>
  <r>
    <n v="68"/>
    <n v="27.3"/>
    <n v="6"/>
    <x v="1"/>
    <x v="2"/>
  </r>
  <r>
    <n v="69"/>
    <n v="26.8"/>
    <n v="8"/>
    <x v="1"/>
    <x v="2"/>
  </r>
  <r>
    <n v="70"/>
    <n v="24.7"/>
    <n v="3"/>
    <x v="1"/>
    <x v="3"/>
  </r>
  <r>
    <n v="71"/>
    <n v="21.2"/>
    <n v="16"/>
    <x v="1"/>
    <x v="3"/>
  </r>
  <r>
    <n v="72"/>
    <n v="17.3"/>
    <n v="8"/>
    <x v="1"/>
    <x v="3"/>
  </r>
  <r>
    <n v="73"/>
    <n v="13.7"/>
    <n v="19"/>
    <x v="1"/>
    <x v="4"/>
  </r>
  <r>
    <n v="74"/>
    <n v="11.3"/>
    <n v="5"/>
    <x v="1"/>
    <x v="4"/>
  </r>
  <r>
    <n v="75"/>
    <n v="10.5"/>
    <n v="2"/>
    <x v="1"/>
    <x v="4"/>
  </r>
  <r>
    <n v="76"/>
    <n v="11"/>
    <n v="22"/>
    <x v="1"/>
    <x v="5"/>
  </r>
  <r>
    <n v="77"/>
    <n v="12.5"/>
    <n v="0"/>
    <x v="0"/>
    <x v="0"/>
  </r>
  <r>
    <n v="78"/>
    <n v="14"/>
    <n v="2"/>
    <x v="1"/>
    <x v="1"/>
  </r>
  <r>
    <n v="79"/>
    <n v="14.7"/>
    <n v="4"/>
    <x v="1"/>
    <x v="1"/>
  </r>
  <r>
    <n v="80"/>
    <n v="14.1"/>
    <n v="5"/>
    <x v="2"/>
    <x v="1"/>
  </r>
  <r>
    <n v="81"/>
    <n v="11.9"/>
    <n v="8"/>
    <x v="1"/>
    <x v="2"/>
  </r>
  <r>
    <n v="82"/>
    <n v="8.6999999999999993"/>
    <n v="6"/>
    <x v="1"/>
    <x v="2"/>
  </r>
  <r>
    <n v="83"/>
    <n v="5.0999999999999996"/>
    <n v="3"/>
    <x v="1"/>
    <x v="2"/>
  </r>
  <r>
    <n v="84"/>
    <n v="2.2000000000000002"/>
    <n v="1"/>
    <x v="1"/>
    <x v="3"/>
  </r>
  <r>
    <n v="85"/>
    <n v="0.5"/>
    <n v="5"/>
    <x v="1"/>
    <x v="3"/>
  </r>
  <r>
    <n v="86"/>
    <n v="0.6"/>
    <n v="13"/>
    <x v="1"/>
    <x v="3"/>
  </r>
  <r>
    <n v="87"/>
    <n v="2.2999999999999998"/>
    <n v="4"/>
    <x v="1"/>
    <x v="4"/>
  </r>
  <r>
    <n v="88"/>
    <n v="5"/>
    <n v="9"/>
    <x v="1"/>
    <x v="4"/>
  </r>
  <r>
    <n v="89"/>
    <n v="7.9"/>
    <n v="24"/>
    <x v="1"/>
    <x v="4"/>
  </r>
  <r>
    <n v="90"/>
    <n v="10"/>
    <n v="15"/>
    <x v="1"/>
    <x v="5"/>
  </r>
  <r>
    <n v="91"/>
    <n v="10.9"/>
    <n v="29"/>
    <x v="1"/>
    <x v="5"/>
  </r>
  <r>
    <n v="92"/>
    <n v="10.3"/>
    <n v="0"/>
    <x v="0"/>
    <x v="0"/>
  </r>
  <r>
    <n v="93"/>
    <n v="8.6999999999999993"/>
    <n v="1"/>
    <x v="2"/>
    <x v="1"/>
  </r>
  <r>
    <n v="94"/>
    <n v="6.7"/>
    <n v="3"/>
    <x v="2"/>
    <x v="1"/>
  </r>
  <r>
    <n v="95"/>
    <n v="5.3"/>
    <n v="6"/>
    <x v="2"/>
    <x v="1"/>
  </r>
  <r>
    <n v="96"/>
    <n v="5.2"/>
    <n v="3"/>
    <x v="2"/>
    <x v="2"/>
  </r>
  <r>
    <n v="97"/>
    <n v="6.8"/>
    <n v="2"/>
    <x v="2"/>
    <x v="2"/>
  </r>
  <r>
    <n v="98"/>
    <n v="9.8000000000000007"/>
    <n v="11"/>
    <x v="2"/>
    <x v="2"/>
  </r>
  <r>
    <n v="99"/>
    <n v="13.7"/>
    <n v="8"/>
    <x v="2"/>
    <x v="3"/>
  </r>
  <r>
    <n v="100"/>
    <n v="17.7"/>
    <n v="6"/>
    <x v="2"/>
    <x v="3"/>
  </r>
  <r>
    <n v="101"/>
    <n v="20.8"/>
    <n v="5"/>
    <x v="2"/>
    <x v="3"/>
  </r>
  <r>
    <n v="102"/>
    <n v="22.4"/>
    <n v="20"/>
    <x v="2"/>
    <x v="4"/>
  </r>
  <r>
    <n v="103"/>
    <n v="22.5"/>
    <n v="17"/>
    <x v="2"/>
    <x v="4"/>
  </r>
  <r>
    <n v="104"/>
    <n v="21.2"/>
    <n v="11"/>
    <x v="2"/>
    <x v="4"/>
  </r>
  <r>
    <n v="105"/>
    <n v="19.5"/>
    <n v="27"/>
    <x v="2"/>
    <x v="5"/>
  </r>
  <r>
    <n v="106"/>
    <n v="18.100000000000001"/>
    <n v="0"/>
    <x v="0"/>
    <x v="0"/>
  </r>
  <r>
    <n v="107"/>
    <n v="17.8"/>
    <n v="5"/>
    <x v="1"/>
    <x v="1"/>
  </r>
  <r>
    <n v="108"/>
    <n v="18.899999999999999"/>
    <n v="3"/>
    <x v="1"/>
    <x v="1"/>
  </r>
  <r>
    <n v="109"/>
    <n v="21.3"/>
    <n v="1"/>
    <x v="1"/>
    <x v="1"/>
  </r>
  <r>
    <n v="110"/>
    <n v="24.5"/>
    <n v="7"/>
    <x v="1"/>
    <x v="2"/>
  </r>
  <r>
    <n v="111"/>
    <n v="27.5"/>
    <n v="12"/>
    <x v="1"/>
    <x v="2"/>
  </r>
  <r>
    <n v="112"/>
    <n v="29.5"/>
    <n v="6"/>
    <x v="1"/>
    <x v="2"/>
  </r>
  <r>
    <n v="113"/>
    <n v="29.9"/>
    <n v="5"/>
    <x v="1"/>
    <x v="3"/>
  </r>
  <r>
    <n v="114"/>
    <n v="28.6"/>
    <n v="6"/>
    <x v="1"/>
    <x v="3"/>
  </r>
  <r>
    <n v="115"/>
    <n v="25.9"/>
    <n v="6"/>
    <x v="1"/>
    <x v="3"/>
  </r>
  <r>
    <n v="116"/>
    <n v="22.6"/>
    <n v="23"/>
    <x v="1"/>
    <x v="4"/>
  </r>
  <r>
    <n v="117"/>
    <n v="19.7"/>
    <n v="16"/>
    <x v="1"/>
    <x v="4"/>
  </r>
  <r>
    <n v="118"/>
    <n v="17.8"/>
    <n v="1"/>
    <x v="1"/>
    <x v="4"/>
  </r>
  <r>
    <n v="119"/>
    <n v="17.3"/>
    <n v="27"/>
    <x v="1"/>
    <x v="5"/>
  </r>
  <r>
    <n v="120"/>
    <n v="18.2"/>
    <n v="0"/>
    <x v="0"/>
    <x v="0"/>
  </r>
  <r>
    <n v="121"/>
    <n v="19.8"/>
    <n v="1"/>
    <x v="1"/>
    <x v="1"/>
  </r>
  <r>
    <n v="122"/>
    <n v="21.4"/>
    <n v="1"/>
    <x v="1"/>
    <x v="1"/>
  </r>
  <r>
    <n v="123"/>
    <n v="22"/>
    <n v="6"/>
    <x v="1"/>
    <x v="1"/>
  </r>
  <r>
    <n v="124"/>
    <n v="21.2"/>
    <n v="9"/>
    <x v="1"/>
    <x v="2"/>
  </r>
  <r>
    <n v="125"/>
    <n v="18.8"/>
    <n v="7"/>
    <x v="1"/>
    <x v="2"/>
  </r>
  <r>
    <n v="126"/>
    <n v="15.2"/>
    <n v="12"/>
    <x v="1"/>
    <x v="2"/>
  </r>
  <r>
    <n v="127"/>
    <n v="11.1"/>
    <n v="15"/>
    <x v="1"/>
    <x v="3"/>
  </r>
  <r>
    <n v="128"/>
    <n v="7.5"/>
    <n v="10"/>
    <x v="1"/>
    <x v="3"/>
  </r>
  <r>
    <n v="129"/>
    <n v="5.2"/>
    <n v="5"/>
    <x v="1"/>
    <x v="3"/>
  </r>
  <r>
    <n v="130"/>
    <n v="4.5999999999999996"/>
    <n v="23"/>
    <x v="1"/>
    <x v="4"/>
  </r>
  <r>
    <n v="131"/>
    <n v="5.5"/>
    <n v="11"/>
    <x v="1"/>
    <x v="4"/>
  </r>
  <r>
    <n v="132"/>
    <n v="7.3"/>
    <n v="23"/>
    <x v="1"/>
    <x v="4"/>
  </r>
  <r>
    <n v="133"/>
    <n v="9.3000000000000007"/>
    <n v="16"/>
    <x v="1"/>
    <x v="5"/>
  </r>
  <r>
    <n v="134"/>
    <n v="10.5"/>
    <n v="21"/>
    <x v="1"/>
    <x v="5"/>
  </r>
  <r>
    <n v="135"/>
    <n v="10.4"/>
    <n v="0"/>
    <x v="0"/>
    <x v="0"/>
  </r>
  <r>
    <n v="136"/>
    <n v="9"/>
    <n v="4"/>
    <x v="2"/>
    <x v="1"/>
  </r>
  <r>
    <n v="137"/>
    <n v="6.4"/>
    <n v="3"/>
    <x v="2"/>
    <x v="1"/>
  </r>
  <r>
    <n v="138"/>
    <n v="3.6"/>
    <n v="3"/>
    <x v="2"/>
    <x v="1"/>
  </r>
  <r>
    <n v="139"/>
    <n v="1.4"/>
    <n v="4"/>
    <x v="2"/>
    <x v="2"/>
  </r>
  <r>
    <n v="140"/>
    <n v="0.5"/>
    <n v="5"/>
    <x v="2"/>
    <x v="2"/>
  </r>
  <r>
    <n v="141"/>
    <n v="1.4"/>
    <n v="1"/>
    <x v="2"/>
    <x v="2"/>
  </r>
  <r>
    <n v="142"/>
    <n v="3.9"/>
    <n v="3"/>
    <x v="2"/>
    <x v="3"/>
  </r>
  <r>
    <n v="143"/>
    <n v="7.3"/>
    <n v="13"/>
    <x v="2"/>
    <x v="3"/>
  </r>
  <r>
    <n v="144"/>
    <n v="10.9"/>
    <n v="12"/>
    <x v="2"/>
    <x v="3"/>
  </r>
  <r>
    <n v="145"/>
    <n v="13.7"/>
    <n v="9"/>
    <x v="2"/>
    <x v="4"/>
  </r>
  <r>
    <n v="146"/>
    <n v="15.1"/>
    <n v="21"/>
    <x v="2"/>
    <x v="4"/>
  </r>
  <r>
    <n v="147"/>
    <n v="15.1"/>
    <n v="14"/>
    <x v="2"/>
    <x v="4"/>
  </r>
  <r>
    <n v="148"/>
    <n v="13.9"/>
    <n v="11"/>
    <x v="2"/>
    <x v="5"/>
  </r>
  <r>
    <n v="149"/>
    <n v="12.3"/>
    <n v="20"/>
    <x v="2"/>
    <x v="5"/>
  </r>
  <r>
    <n v="150"/>
    <n v="11.2"/>
    <n v="0"/>
    <x v="0"/>
    <x v="0"/>
  </r>
  <r>
    <n v="151"/>
    <n v="11.3"/>
    <n v="6"/>
    <x v="1"/>
    <x v="1"/>
  </r>
  <r>
    <n v="152"/>
    <n v="12.9"/>
    <n v="3"/>
    <x v="1"/>
    <x v="1"/>
  </r>
  <r>
    <n v="153"/>
    <n v="16"/>
    <n v="6"/>
    <x v="1"/>
    <x v="1"/>
  </r>
  <r>
    <n v="154"/>
    <n v="19.8"/>
    <n v="2"/>
    <x v="1"/>
    <x v="2"/>
  </r>
  <r>
    <n v="155"/>
    <n v="23.6"/>
    <n v="11"/>
    <x v="1"/>
    <x v="2"/>
  </r>
  <r>
    <n v="156"/>
    <n v="26.4"/>
    <n v="11"/>
    <x v="1"/>
    <x v="2"/>
  </r>
  <r>
    <n v="157"/>
    <n v="27.7"/>
    <n v="5"/>
    <x v="1"/>
    <x v="3"/>
  </r>
  <r>
    <n v="158"/>
    <n v="27.2"/>
    <n v="18"/>
    <x v="1"/>
    <x v="3"/>
  </r>
  <r>
    <n v="159"/>
    <n v="25.5"/>
    <n v="5"/>
    <x v="1"/>
    <x v="3"/>
  </r>
  <r>
    <n v="160"/>
    <n v="23.1"/>
    <n v="8"/>
    <x v="1"/>
    <x v="4"/>
  </r>
  <r>
    <n v="161"/>
    <n v="21"/>
    <n v="22"/>
    <x v="1"/>
    <x v="4"/>
  </r>
  <r>
    <n v="162"/>
    <n v="20"/>
    <n v="19"/>
    <x v="1"/>
    <x v="4"/>
  </r>
  <r>
    <n v="163"/>
    <n v="20.399999999999999"/>
    <n v="23"/>
    <x v="1"/>
    <x v="5"/>
  </r>
  <r>
    <n v="164"/>
    <n v="22.1"/>
    <n v="0"/>
    <x v="0"/>
    <x v="0"/>
  </r>
  <r>
    <n v="165"/>
    <n v="24.5"/>
    <n v="1"/>
    <x v="2"/>
    <x v="1"/>
  </r>
  <r>
    <n v="166"/>
    <n v="26.8"/>
    <n v="2"/>
    <x v="2"/>
    <x v="1"/>
  </r>
  <r>
    <n v="167"/>
    <n v="28"/>
    <n v="4"/>
    <x v="2"/>
    <x v="1"/>
  </r>
  <r>
    <n v="168"/>
    <n v="27.7"/>
    <n v="8"/>
    <x v="2"/>
    <x v="2"/>
  </r>
  <r>
    <n v="169"/>
    <n v="25.6"/>
    <n v="4"/>
    <x v="2"/>
    <x v="2"/>
  </r>
  <r>
    <n v="170"/>
    <n v="22.3"/>
    <n v="7"/>
    <x v="2"/>
    <x v="2"/>
  </r>
  <r>
    <n v="171"/>
    <n v="18.399999999999999"/>
    <n v="6"/>
    <x v="2"/>
    <x v="3"/>
  </r>
  <r>
    <n v="172"/>
    <n v="14.9"/>
    <n v="18"/>
    <x v="2"/>
    <x v="3"/>
  </r>
  <r>
    <n v="173"/>
    <n v="12.5"/>
    <n v="6"/>
    <x v="2"/>
    <x v="3"/>
  </r>
  <r>
    <n v="174"/>
    <n v="11.7"/>
    <n v="20"/>
    <x v="2"/>
    <x v="4"/>
  </r>
  <r>
    <n v="175"/>
    <n v="12.3"/>
    <n v="14"/>
    <x v="2"/>
    <x v="4"/>
  </r>
  <r>
    <n v="176"/>
    <n v="13.7"/>
    <n v="22"/>
    <x v="2"/>
    <x v="4"/>
  </r>
  <r>
    <n v="177"/>
    <n v="15.2"/>
    <n v="23"/>
    <x v="2"/>
    <x v="5"/>
  </r>
  <r>
    <n v="178"/>
    <n v="15.9"/>
    <n v="0"/>
    <x v="0"/>
    <x v="0"/>
  </r>
  <r>
    <n v="179"/>
    <n v="15.1"/>
    <n v="1"/>
    <x v="1"/>
    <x v="1"/>
  </r>
  <r>
    <n v="180"/>
    <n v="12.9"/>
    <n v="1"/>
    <x v="1"/>
    <x v="1"/>
  </r>
  <r>
    <n v="181"/>
    <n v="9.6"/>
    <n v="1"/>
    <x v="1"/>
    <x v="1"/>
  </r>
  <r>
    <n v="182"/>
    <n v="5.9"/>
    <n v="2"/>
    <x v="1"/>
    <x v="2"/>
  </r>
  <r>
    <n v="183"/>
    <n v="2.8"/>
    <n v="6"/>
    <x v="1"/>
    <x v="2"/>
  </r>
  <r>
    <n v="184"/>
    <n v="1"/>
    <n v="9"/>
    <x v="1"/>
    <x v="2"/>
  </r>
  <r>
    <n v="185"/>
    <n v="0.9"/>
    <n v="6"/>
    <x v="1"/>
    <x v="3"/>
  </r>
  <r>
    <n v="186"/>
    <n v="2.5"/>
    <n v="1"/>
    <x v="1"/>
    <x v="3"/>
  </r>
  <r>
    <n v="187"/>
    <n v="5"/>
    <n v="3"/>
    <x v="1"/>
    <x v="3"/>
  </r>
  <r>
    <n v="188"/>
    <n v="7.7"/>
    <n v="7"/>
    <x v="1"/>
    <x v="4"/>
  </r>
  <r>
    <n v="189"/>
    <n v="9.6999999999999993"/>
    <n v="6"/>
    <x v="1"/>
    <x v="4"/>
  </r>
  <r>
    <n v="190"/>
    <n v="10.4"/>
    <n v="3"/>
    <x v="1"/>
    <x v="4"/>
  </r>
  <r>
    <n v="191"/>
    <n v="9.6999999999999993"/>
    <n v="22"/>
    <x v="1"/>
    <x v="5"/>
  </r>
  <r>
    <n v="192"/>
    <n v="8"/>
    <n v="0"/>
    <x v="0"/>
    <x v="0"/>
  </r>
  <r>
    <n v="193"/>
    <n v="5.9"/>
    <n v="3"/>
    <x v="2"/>
    <x v="1"/>
  </r>
  <r>
    <n v="194"/>
    <n v="4.4000000000000004"/>
    <n v="4"/>
    <x v="2"/>
    <x v="1"/>
  </r>
  <r>
    <n v="195"/>
    <n v="4.2"/>
    <n v="6"/>
    <x v="2"/>
    <x v="1"/>
  </r>
  <r>
    <n v="196"/>
    <n v="5.6"/>
    <n v="8"/>
    <x v="2"/>
    <x v="2"/>
  </r>
  <r>
    <n v="197"/>
    <n v="8.6"/>
    <n v="12"/>
    <x v="2"/>
    <x v="2"/>
  </r>
  <r>
    <n v="198"/>
    <n v="12.5"/>
    <n v="9"/>
    <x v="2"/>
    <x v="2"/>
  </r>
  <r>
    <n v="199"/>
    <n v="16.399999999999999"/>
    <n v="14"/>
    <x v="2"/>
    <x v="3"/>
  </r>
  <r>
    <n v="200"/>
    <n v="19.5"/>
    <n v="12"/>
    <x v="2"/>
    <x v="3"/>
  </r>
  <r>
    <n v="201"/>
    <n v="21.2"/>
    <n v="1"/>
    <x v="2"/>
    <x v="3"/>
  </r>
  <r>
    <n v="202"/>
    <n v="21.3"/>
    <n v="11"/>
    <x v="2"/>
    <x v="4"/>
  </r>
  <r>
    <n v="203"/>
    <n v="20.100000000000001"/>
    <n v="6"/>
    <x v="2"/>
    <x v="4"/>
  </r>
  <r>
    <n v="204"/>
    <n v="18.399999999999999"/>
    <n v="3"/>
    <x v="2"/>
    <x v="4"/>
  </r>
  <r>
    <n v="205"/>
    <n v="17.100000000000001"/>
    <n v="15"/>
    <x v="2"/>
    <x v="5"/>
  </r>
  <r>
    <n v="206"/>
    <n v="16.899999999999999"/>
    <n v="16"/>
    <x v="2"/>
    <x v="5"/>
  </r>
  <r>
    <n v="207"/>
    <n v="18.2"/>
    <n v="17"/>
    <x v="2"/>
    <x v="5"/>
  </r>
  <r>
    <n v="208"/>
    <n v="20.7"/>
    <n v="18"/>
    <x v="2"/>
    <x v="5"/>
  </r>
  <r>
    <n v="209"/>
    <n v="24"/>
    <n v="13"/>
    <x v="2"/>
    <x v="5"/>
  </r>
  <r>
    <n v="210"/>
    <n v="27.2"/>
    <n v="27"/>
    <x v="2"/>
    <x v="5"/>
  </r>
  <r>
    <n v="211"/>
    <n v="29.4"/>
    <n v="0"/>
    <x v="0"/>
    <x v="0"/>
  </r>
  <r>
    <n v="212"/>
    <n v="29.9"/>
    <n v="2"/>
    <x v="1"/>
    <x v="1"/>
  </r>
  <r>
    <n v="213"/>
    <n v="28.8"/>
    <n v="4"/>
    <x v="1"/>
    <x v="1"/>
  </r>
  <r>
    <n v="214"/>
    <n v="26.2"/>
    <n v="2"/>
    <x v="1"/>
    <x v="1"/>
  </r>
  <r>
    <n v="215"/>
    <n v="23.1"/>
    <n v="11"/>
    <x v="1"/>
    <x v="1"/>
  </r>
  <r>
    <n v="216"/>
    <n v="20.3"/>
    <n v="1"/>
    <x v="1"/>
    <x v="2"/>
  </r>
  <r>
    <n v="217"/>
    <n v="18.5"/>
    <n v="7"/>
    <x v="1"/>
    <x v="2"/>
  </r>
  <r>
    <n v="218"/>
    <n v="18.2"/>
    <n v="10"/>
    <x v="1"/>
    <x v="3"/>
  </r>
  <r>
    <n v="219"/>
    <n v="19.100000000000001"/>
    <n v="10"/>
    <x v="1"/>
    <x v="3"/>
  </r>
  <r>
    <n v="220"/>
    <n v="20.9"/>
    <n v="1"/>
    <x v="1"/>
    <x v="3"/>
  </r>
  <r>
    <n v="221"/>
    <n v="22.5"/>
    <n v="4"/>
    <x v="1"/>
    <x v="4"/>
  </r>
  <r>
    <n v="222"/>
    <n v="23.2"/>
    <n v="12"/>
    <x v="1"/>
    <x v="4"/>
  </r>
  <r>
    <n v="223"/>
    <n v="22.4"/>
    <n v="7"/>
    <x v="1"/>
    <x v="4"/>
  </r>
  <r>
    <n v="224"/>
    <n v="20"/>
    <n v="16"/>
    <x v="1"/>
    <x v="5"/>
  </r>
  <r>
    <n v="225"/>
    <n v="16.399999999999999"/>
    <n v="24"/>
    <x v="1"/>
    <x v="5"/>
  </r>
  <r>
    <n v="226"/>
    <n v="12.3"/>
    <n v="0"/>
    <x v="0"/>
    <x v="0"/>
  </r>
  <r>
    <n v="227"/>
    <n v="8.6999999999999993"/>
    <n v="5"/>
    <x v="2"/>
    <x v="1"/>
  </r>
  <r>
    <n v="228"/>
    <n v="6.4"/>
    <n v="1"/>
    <x v="2"/>
    <x v="1"/>
  </r>
  <r>
    <n v="229"/>
    <n v="5.6"/>
    <n v="6"/>
    <x v="2"/>
    <x v="1"/>
  </r>
  <r>
    <n v="230"/>
    <n v="6.4"/>
    <n v="12"/>
    <x v="2"/>
    <x v="2"/>
  </r>
  <r>
    <n v="231"/>
    <n v="8.1999999999999993"/>
    <n v="3"/>
    <x v="2"/>
    <x v="2"/>
  </r>
  <r>
    <n v="232"/>
    <n v="10"/>
    <n v="12"/>
    <x v="2"/>
    <x v="2"/>
  </r>
  <r>
    <n v="233"/>
    <n v="11.1"/>
    <n v="17"/>
    <x v="2"/>
    <x v="3"/>
  </r>
  <r>
    <n v="234"/>
    <n v="10.9"/>
    <n v="16"/>
    <x v="2"/>
    <x v="3"/>
  </r>
  <r>
    <n v="235"/>
    <n v="9.3000000000000007"/>
    <n v="3"/>
    <x v="2"/>
    <x v="3"/>
  </r>
  <r>
    <n v="236"/>
    <n v="6.6"/>
    <n v="21"/>
    <x v="2"/>
    <x v="4"/>
  </r>
  <r>
    <n v="237"/>
    <n v="3.6"/>
    <n v="18"/>
    <x v="2"/>
    <x v="4"/>
  </r>
  <r>
    <n v="238"/>
    <n v="1.2"/>
    <n v="13"/>
    <x v="2"/>
    <x v="4"/>
  </r>
  <r>
    <n v="239"/>
    <n v="0.2"/>
    <n v="29"/>
    <x v="2"/>
    <x v="5"/>
  </r>
  <r>
    <n v="240"/>
    <n v="0.9"/>
    <n v="0"/>
    <x v="0"/>
    <x v="0"/>
  </r>
  <r>
    <n v="241"/>
    <n v="3.2"/>
    <n v="6"/>
    <x v="2"/>
    <x v="1"/>
  </r>
  <r>
    <n v="242"/>
    <n v="6.6"/>
    <n v="5"/>
    <x v="2"/>
    <x v="1"/>
  </r>
  <r>
    <n v="243"/>
    <n v="10"/>
    <n v="2"/>
    <x v="2"/>
    <x v="1"/>
  </r>
  <r>
    <n v="244"/>
    <n v="12.7"/>
    <n v="8"/>
    <x v="2"/>
    <x v="2"/>
  </r>
  <r>
    <n v="245"/>
    <n v="14.1"/>
    <n v="1"/>
    <x v="2"/>
    <x v="2"/>
  </r>
  <r>
    <n v="246"/>
    <n v="14"/>
    <n v="11"/>
    <x v="2"/>
    <x v="2"/>
  </r>
  <r>
    <n v="247"/>
    <n v="12.7"/>
    <n v="13"/>
    <x v="2"/>
    <x v="3"/>
  </r>
  <r>
    <n v="248"/>
    <n v="11.1"/>
    <n v="18"/>
    <x v="2"/>
    <x v="3"/>
  </r>
  <r>
    <n v="249"/>
    <n v="10"/>
    <n v="15"/>
    <x v="2"/>
    <x v="3"/>
  </r>
  <r>
    <n v="250"/>
    <n v="10.1"/>
    <n v="12"/>
    <x v="2"/>
    <x v="4"/>
  </r>
  <r>
    <n v="251"/>
    <n v="11.7"/>
    <n v="2"/>
    <x v="2"/>
    <x v="4"/>
  </r>
  <r>
    <n v="252"/>
    <n v="14.8"/>
    <n v="21"/>
    <x v="2"/>
    <x v="4"/>
  </r>
  <r>
    <n v="253"/>
    <n v="18.7"/>
    <n v="28"/>
    <x v="2"/>
    <x v="5"/>
  </r>
  <r>
    <n v="254"/>
    <n v="22.5"/>
    <n v="0"/>
    <x v="0"/>
    <x v="0"/>
  </r>
  <r>
    <n v="255"/>
    <n v="25.4"/>
    <n v="3"/>
    <x v="1"/>
    <x v="1"/>
  </r>
  <r>
    <n v="256"/>
    <n v="26.8"/>
    <n v="5"/>
    <x v="1"/>
    <x v="1"/>
  </r>
  <r>
    <n v="257"/>
    <n v="26.5"/>
    <n v="5"/>
    <x v="1"/>
    <x v="1"/>
  </r>
  <r>
    <n v="258"/>
    <n v="24.9"/>
    <n v="7"/>
    <x v="1"/>
    <x v="2"/>
  </r>
  <r>
    <n v="259"/>
    <n v="22.6"/>
    <n v="1"/>
    <x v="1"/>
    <x v="2"/>
  </r>
  <r>
    <n v="260"/>
    <n v="20.7"/>
    <n v="6"/>
    <x v="1"/>
    <x v="2"/>
  </r>
  <r>
    <n v="261"/>
    <n v="19.899999999999999"/>
    <n v="6"/>
    <x v="1"/>
    <x v="3"/>
  </r>
  <r>
    <n v="262"/>
    <n v="20.399999999999999"/>
    <n v="10"/>
    <x v="1"/>
    <x v="3"/>
  </r>
  <r>
    <n v="263"/>
    <n v="22.3"/>
    <n v="16"/>
    <x v="1"/>
    <x v="3"/>
  </r>
  <r>
    <n v="264"/>
    <n v="24.8"/>
    <n v="9"/>
    <x v="1"/>
    <x v="4"/>
  </r>
  <r>
    <n v="265"/>
    <n v="27.2"/>
    <n v="18"/>
    <x v="1"/>
    <x v="4"/>
  </r>
  <r>
    <n v="266"/>
    <n v="28.6"/>
    <n v="4"/>
    <x v="1"/>
    <x v="4"/>
  </r>
  <r>
    <n v="267"/>
    <n v="28.4"/>
    <n v="22"/>
    <x v="1"/>
    <x v="5"/>
  </r>
  <r>
    <n v="268"/>
    <n v="26.5"/>
    <n v="0"/>
    <x v="0"/>
    <x v="0"/>
  </r>
  <r>
    <n v="269"/>
    <n v="23.3"/>
    <n v="4"/>
    <x v="1"/>
    <x v="1"/>
  </r>
  <r>
    <n v="270"/>
    <n v="19.5"/>
    <n v="6"/>
    <x v="1"/>
    <x v="1"/>
  </r>
  <r>
    <n v="271"/>
    <n v="16"/>
    <n v="6"/>
    <x v="1"/>
    <x v="1"/>
  </r>
  <r>
    <n v="272"/>
    <n v="13.7"/>
    <n v="9"/>
    <x v="1"/>
    <x v="2"/>
  </r>
  <r>
    <n v="273"/>
    <n v="12.9"/>
    <n v="7"/>
    <x v="1"/>
    <x v="2"/>
  </r>
  <r>
    <n v="274"/>
    <n v="13.5"/>
    <n v="1"/>
    <x v="1"/>
    <x v="2"/>
  </r>
  <r>
    <n v="275"/>
    <n v="15"/>
    <n v="18"/>
    <x v="1"/>
    <x v="3"/>
  </r>
  <r>
    <n v="276"/>
    <n v="16.399999999999999"/>
    <n v="13"/>
    <x v="1"/>
    <x v="3"/>
  </r>
  <r>
    <n v="277"/>
    <n v="17.100000000000001"/>
    <n v="2"/>
    <x v="1"/>
    <x v="3"/>
  </r>
  <r>
    <n v="278"/>
    <n v="16.3"/>
    <n v="10"/>
    <x v="1"/>
    <x v="4"/>
  </r>
  <r>
    <n v="279"/>
    <n v="14"/>
    <n v="6"/>
    <x v="1"/>
    <x v="4"/>
  </r>
  <r>
    <n v="280"/>
    <n v="10.5"/>
    <n v="20"/>
    <x v="1"/>
    <x v="4"/>
  </r>
  <r>
    <n v="281"/>
    <n v="6.7"/>
    <n v="17"/>
    <x v="1"/>
    <x v="5"/>
  </r>
  <r>
    <n v="282"/>
    <n v="3.5"/>
    <n v="13"/>
    <x v="1"/>
    <x v="5"/>
  </r>
  <r>
    <n v="283"/>
    <n v="1.6"/>
    <n v="18"/>
    <x v="1"/>
    <x v="5"/>
  </r>
  <r>
    <n v="284"/>
    <n v="1.4"/>
    <n v="20"/>
    <x v="1"/>
    <x v="5"/>
  </r>
  <r>
    <n v="285"/>
    <n v="2.8"/>
    <n v="0"/>
    <x v="0"/>
    <x v="0"/>
  </r>
  <r>
    <n v="286"/>
    <n v="5.2"/>
    <n v="6"/>
    <x v="2"/>
    <x v="1"/>
  </r>
  <r>
    <n v="287"/>
    <n v="7.7"/>
    <n v="5"/>
    <x v="2"/>
    <x v="1"/>
  </r>
  <r>
    <n v="288"/>
    <n v="9.6"/>
    <n v="1"/>
    <x v="2"/>
    <x v="1"/>
  </r>
  <r>
    <n v="289"/>
    <n v="10.1"/>
    <n v="8"/>
    <x v="2"/>
    <x v="2"/>
  </r>
  <r>
    <n v="290"/>
    <n v="9.3000000000000007"/>
    <n v="3"/>
    <x v="2"/>
    <x v="2"/>
  </r>
  <r>
    <n v="291"/>
    <n v="7.4"/>
    <n v="5"/>
    <x v="2"/>
    <x v="2"/>
  </r>
  <r>
    <n v="292"/>
    <n v="5.0999999999999996"/>
    <n v="17"/>
    <x v="2"/>
    <x v="3"/>
  </r>
  <r>
    <n v="293"/>
    <n v="3.5"/>
    <n v="9"/>
    <x v="2"/>
    <x v="3"/>
  </r>
  <r>
    <n v="294"/>
    <n v="3.2"/>
    <n v="4"/>
    <x v="2"/>
    <x v="3"/>
  </r>
  <r>
    <n v="295"/>
    <n v="4.5999999999999996"/>
    <n v="24"/>
    <x v="2"/>
    <x v="4"/>
  </r>
  <r>
    <n v="296"/>
    <n v="7.5"/>
    <n v="21"/>
    <x v="2"/>
    <x v="4"/>
  </r>
  <r>
    <n v="297"/>
    <n v="11.3"/>
    <n v="8"/>
    <x v="2"/>
    <x v="5"/>
  </r>
  <r>
    <n v="298"/>
    <n v="15.2"/>
    <n v="23"/>
    <x v="2"/>
    <x v="5"/>
  </r>
  <r>
    <n v="299"/>
    <n v="18.3"/>
    <n v="0"/>
    <x v="0"/>
    <x v="0"/>
  </r>
  <r>
    <n v="300"/>
    <n v="19.899999999999999"/>
    <n v="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4CB41-BE43-4AAA-97E7-733A90931C71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18" firstHeaderRow="1" firstDataRow="1" firstDataCol="1"/>
  <pivotFields count="5"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3"/>
    <field x="4"/>
  </rowFields>
  <rowItems count="15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 v="5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Średnia z Opad" fld="2" subtotal="average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B9D997-2C75-4E7C-A5E5-33F320885E6E}" autoFormatId="16" applyNumberFormats="0" applyBorderFormats="0" applyFontFormats="0" applyPatternFormats="0" applyAlignmentFormats="0" applyWidthHeightFormats="0">
  <queryTableRefresh nextId="6">
    <queryTableFields count="5">
      <queryTableField id="1" name="Dzien" tableColumnId="1"/>
      <queryTableField id="2" name="Temperatura" tableColumnId="2"/>
      <queryTableField id="3" name="Opad" tableColumnId="3"/>
      <queryTableField id="4" name="Kategoria_chmur" tableColumnId="4"/>
      <queryTableField id="5" name="Wielkosc_chmu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99F8C4-4E57-4D91-85A1-68F5E876E836}" name="pogoda" displayName="pogoda" ref="A1:E501" tableType="queryTable" totalsRowShown="0">
  <autoFilter ref="A1:E501" xr:uid="{8499F8C4-4E57-4D91-85A1-68F5E876E836}"/>
  <tableColumns count="5">
    <tableColumn id="1" xr3:uid="{3B1C33A5-B747-4C5E-8944-07017536A3CB}" uniqueName="1" name="Dzien" queryTableFieldId="1"/>
    <tableColumn id="2" xr3:uid="{95BA0803-A2CF-4F97-B855-0689B4F3EE23}" uniqueName="2" name="Temperatura" queryTableFieldId="2"/>
    <tableColumn id="3" xr3:uid="{D476322A-A97D-4047-A2DA-2E4CB1085604}" uniqueName="3" name="Opad" queryTableFieldId="3"/>
    <tableColumn id="4" xr3:uid="{B8CD3CF0-65DB-4AD6-B51C-3A6367127241}" uniqueName="4" name="Kategoria_chmur" queryTableFieldId="4" dataDxfId="1"/>
    <tableColumn id="5" xr3:uid="{3F08194E-74EF-41F0-A09F-562EC016657B}" uniqueName="5" name="Wielkosc_chmu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4E81-57CE-4A1C-9DE3-40364B5E8962}">
  <dimension ref="A1:E501"/>
  <sheetViews>
    <sheetView workbookViewId="0">
      <selection activeCell="D8" sqref="D8"/>
    </sheetView>
  </sheetViews>
  <sheetFormatPr defaultRowHeight="15" x14ac:dyDescent="0.25"/>
  <cols>
    <col min="1" max="1" width="8.42578125" bestFit="1" customWidth="1"/>
    <col min="2" max="2" width="14.7109375" bestFit="1" customWidth="1"/>
    <col min="3" max="3" width="8" bestFit="1" customWidth="1"/>
    <col min="4" max="4" width="18.42578125" bestFit="1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19</v>
      </c>
      <c r="C2">
        <v>0</v>
      </c>
      <c r="D2" t="s">
        <v>5</v>
      </c>
      <c r="E2">
        <v>0</v>
      </c>
    </row>
    <row r="3" spans="1:5" x14ac:dyDescent="0.25">
      <c r="A3">
        <v>2</v>
      </c>
      <c r="B3">
        <v>22</v>
      </c>
      <c r="C3">
        <v>1</v>
      </c>
      <c r="D3" t="s">
        <v>6</v>
      </c>
      <c r="E3">
        <v>1</v>
      </c>
    </row>
    <row r="4" spans="1:5" x14ac:dyDescent="0.25">
      <c r="A4">
        <v>3</v>
      </c>
      <c r="B4">
        <v>23.6</v>
      </c>
      <c r="C4">
        <v>4</v>
      </c>
      <c r="D4" t="s">
        <v>6</v>
      </c>
      <c r="E4">
        <v>1</v>
      </c>
    </row>
    <row r="5" spans="1:5" x14ac:dyDescent="0.25">
      <c r="A5">
        <v>4</v>
      </c>
      <c r="B5">
        <v>23.6</v>
      </c>
      <c r="C5">
        <v>4</v>
      </c>
      <c r="D5" t="s">
        <v>6</v>
      </c>
      <c r="E5">
        <v>1</v>
      </c>
    </row>
    <row r="6" spans="1:5" x14ac:dyDescent="0.25">
      <c r="A6">
        <v>5</v>
      </c>
      <c r="B6">
        <v>22.3</v>
      </c>
      <c r="C6">
        <v>10</v>
      </c>
      <c r="D6" t="s">
        <v>6</v>
      </c>
      <c r="E6">
        <v>2</v>
      </c>
    </row>
    <row r="7" spans="1:5" x14ac:dyDescent="0.25">
      <c r="A7">
        <v>6</v>
      </c>
      <c r="B7">
        <v>20.399999999999999</v>
      </c>
      <c r="C7">
        <v>8</v>
      </c>
      <c r="D7" t="s">
        <v>6</v>
      </c>
      <c r="E7">
        <v>2</v>
      </c>
    </row>
    <row r="8" spans="1:5" x14ac:dyDescent="0.25">
      <c r="A8">
        <v>7</v>
      </c>
      <c r="B8">
        <v>18.899999999999999</v>
      </c>
      <c r="C8">
        <v>10</v>
      </c>
      <c r="D8" t="s">
        <v>6</v>
      </c>
      <c r="E8">
        <v>2</v>
      </c>
    </row>
    <row r="9" spans="1:5" x14ac:dyDescent="0.25">
      <c r="A9">
        <v>8</v>
      </c>
      <c r="B9">
        <v>18.5</v>
      </c>
      <c r="C9">
        <v>11</v>
      </c>
      <c r="D9" t="s">
        <v>6</v>
      </c>
      <c r="E9">
        <v>3</v>
      </c>
    </row>
    <row r="10" spans="1:5" x14ac:dyDescent="0.25">
      <c r="A10">
        <v>9</v>
      </c>
      <c r="B10">
        <v>19.5</v>
      </c>
      <c r="C10">
        <v>14</v>
      </c>
      <c r="D10" t="s">
        <v>6</v>
      </c>
      <c r="E10">
        <v>3</v>
      </c>
    </row>
    <row r="11" spans="1:5" x14ac:dyDescent="0.25">
      <c r="A11">
        <v>10</v>
      </c>
      <c r="B11">
        <v>21.8</v>
      </c>
      <c r="C11">
        <v>15</v>
      </c>
      <c r="D11" t="s">
        <v>6</v>
      </c>
      <c r="E11">
        <v>3</v>
      </c>
    </row>
    <row r="12" spans="1:5" x14ac:dyDescent="0.25">
      <c r="A12">
        <v>11</v>
      </c>
      <c r="B12">
        <v>24.8</v>
      </c>
      <c r="C12">
        <v>3</v>
      </c>
      <c r="D12" t="s">
        <v>6</v>
      </c>
      <c r="E12">
        <v>4</v>
      </c>
    </row>
    <row r="13" spans="1:5" x14ac:dyDescent="0.25">
      <c r="A13">
        <v>12</v>
      </c>
      <c r="B13">
        <v>27.7</v>
      </c>
      <c r="C13">
        <v>23</v>
      </c>
      <c r="D13" t="s">
        <v>6</v>
      </c>
      <c r="E13">
        <v>4</v>
      </c>
    </row>
    <row r="14" spans="1:5" x14ac:dyDescent="0.25">
      <c r="A14">
        <v>13</v>
      </c>
      <c r="B14">
        <v>29.5</v>
      </c>
      <c r="C14">
        <v>17</v>
      </c>
      <c r="D14" t="s">
        <v>6</v>
      </c>
      <c r="E14">
        <v>4</v>
      </c>
    </row>
    <row r="15" spans="1:5" x14ac:dyDescent="0.25">
      <c r="A15">
        <v>14</v>
      </c>
      <c r="B15">
        <v>29.8</v>
      </c>
      <c r="C15">
        <v>15</v>
      </c>
      <c r="D15" t="s">
        <v>6</v>
      </c>
      <c r="E15">
        <v>5</v>
      </c>
    </row>
    <row r="16" spans="1:5" x14ac:dyDescent="0.25">
      <c r="A16">
        <v>15</v>
      </c>
      <c r="B16">
        <v>28.3</v>
      </c>
      <c r="C16">
        <v>22</v>
      </c>
      <c r="D16" t="s">
        <v>6</v>
      </c>
      <c r="E16">
        <v>5</v>
      </c>
    </row>
    <row r="17" spans="1:5" x14ac:dyDescent="0.25">
      <c r="A17">
        <v>16</v>
      </c>
      <c r="B17">
        <v>25.5</v>
      </c>
      <c r="C17">
        <v>0</v>
      </c>
      <c r="D17" t="s">
        <v>5</v>
      </c>
      <c r="E17">
        <v>0</v>
      </c>
    </row>
    <row r="18" spans="1:5" x14ac:dyDescent="0.25">
      <c r="A18">
        <v>17</v>
      </c>
      <c r="B18">
        <v>22</v>
      </c>
      <c r="C18">
        <v>2</v>
      </c>
      <c r="D18" t="s">
        <v>6</v>
      </c>
      <c r="E18">
        <v>1</v>
      </c>
    </row>
    <row r="19" spans="1:5" x14ac:dyDescent="0.25">
      <c r="A19">
        <v>18</v>
      </c>
      <c r="B19">
        <v>18.899999999999999</v>
      </c>
      <c r="C19">
        <v>1</v>
      </c>
      <c r="D19" t="s">
        <v>6</v>
      </c>
      <c r="E19">
        <v>1</v>
      </c>
    </row>
    <row r="20" spans="1:5" x14ac:dyDescent="0.25">
      <c r="A20">
        <v>19</v>
      </c>
      <c r="B20">
        <v>16.899999999999999</v>
      </c>
      <c r="C20">
        <v>1</v>
      </c>
      <c r="D20" t="s">
        <v>6</v>
      </c>
      <c r="E20">
        <v>1</v>
      </c>
    </row>
    <row r="21" spans="1:5" x14ac:dyDescent="0.25">
      <c r="A21">
        <v>20</v>
      </c>
      <c r="B21">
        <v>16.3</v>
      </c>
      <c r="C21">
        <v>12</v>
      </c>
      <c r="D21" t="s">
        <v>6</v>
      </c>
      <c r="E21">
        <v>2</v>
      </c>
    </row>
    <row r="22" spans="1:5" x14ac:dyDescent="0.25">
      <c r="A22">
        <v>21</v>
      </c>
      <c r="B22">
        <v>17.100000000000001</v>
      </c>
      <c r="C22">
        <v>11</v>
      </c>
      <c r="D22" t="s">
        <v>6</v>
      </c>
      <c r="E22">
        <v>2</v>
      </c>
    </row>
    <row r="23" spans="1:5" x14ac:dyDescent="0.25">
      <c r="A23">
        <v>22</v>
      </c>
      <c r="B23">
        <v>18.7</v>
      </c>
      <c r="C23">
        <v>6</v>
      </c>
      <c r="D23" t="s">
        <v>6</v>
      </c>
      <c r="E23">
        <v>2</v>
      </c>
    </row>
    <row r="24" spans="1:5" x14ac:dyDescent="0.25">
      <c r="A24">
        <v>23</v>
      </c>
      <c r="B24">
        <v>20.2</v>
      </c>
      <c r="C24">
        <v>18</v>
      </c>
      <c r="D24" t="s">
        <v>6</v>
      </c>
      <c r="E24">
        <v>2</v>
      </c>
    </row>
    <row r="25" spans="1:5" x14ac:dyDescent="0.25">
      <c r="A25">
        <v>24</v>
      </c>
      <c r="B25">
        <v>20.8</v>
      </c>
      <c r="C25">
        <v>15</v>
      </c>
      <c r="D25" t="s">
        <v>6</v>
      </c>
      <c r="E25">
        <v>3</v>
      </c>
    </row>
    <row r="26" spans="1:5" x14ac:dyDescent="0.25">
      <c r="A26">
        <v>25</v>
      </c>
      <c r="B26">
        <v>19.899999999999999</v>
      </c>
      <c r="C26">
        <v>5</v>
      </c>
      <c r="D26" t="s">
        <v>6</v>
      </c>
      <c r="E26">
        <v>3</v>
      </c>
    </row>
    <row r="27" spans="1:5" x14ac:dyDescent="0.25">
      <c r="A27">
        <v>26</v>
      </c>
      <c r="B27">
        <v>17.5</v>
      </c>
      <c r="C27">
        <v>19</v>
      </c>
      <c r="D27" t="s">
        <v>6</v>
      </c>
      <c r="E27">
        <v>4</v>
      </c>
    </row>
    <row r="28" spans="1:5" x14ac:dyDescent="0.25">
      <c r="A28">
        <v>27</v>
      </c>
      <c r="B28">
        <v>13.9</v>
      </c>
      <c r="C28">
        <v>18</v>
      </c>
      <c r="D28" t="s">
        <v>6</v>
      </c>
      <c r="E28">
        <v>4</v>
      </c>
    </row>
    <row r="29" spans="1:5" x14ac:dyDescent="0.25">
      <c r="A29">
        <v>28</v>
      </c>
      <c r="B29">
        <v>9.9</v>
      </c>
      <c r="C29">
        <v>4</v>
      </c>
      <c r="D29" t="s">
        <v>6</v>
      </c>
      <c r="E29">
        <v>4</v>
      </c>
    </row>
    <row r="30" spans="1:5" x14ac:dyDescent="0.25">
      <c r="A30">
        <v>29</v>
      </c>
      <c r="B30">
        <v>6.4</v>
      </c>
      <c r="C30">
        <v>17</v>
      </c>
      <c r="D30" t="s">
        <v>6</v>
      </c>
      <c r="E30">
        <v>5</v>
      </c>
    </row>
    <row r="31" spans="1:5" x14ac:dyDescent="0.25">
      <c r="A31">
        <v>30</v>
      </c>
      <c r="B31">
        <v>4.2</v>
      </c>
      <c r="C31">
        <v>14</v>
      </c>
      <c r="D31" t="s">
        <v>6</v>
      </c>
      <c r="E31">
        <v>5</v>
      </c>
    </row>
    <row r="32" spans="1:5" x14ac:dyDescent="0.25">
      <c r="A32">
        <v>31</v>
      </c>
      <c r="B32">
        <v>3.6</v>
      </c>
      <c r="C32">
        <v>12</v>
      </c>
      <c r="D32" t="s">
        <v>6</v>
      </c>
      <c r="E32">
        <v>5</v>
      </c>
    </row>
    <row r="33" spans="1:5" x14ac:dyDescent="0.25">
      <c r="A33">
        <v>32</v>
      </c>
      <c r="B33">
        <v>4.5999999999999996</v>
      </c>
      <c r="C33">
        <v>11</v>
      </c>
      <c r="D33" t="s">
        <v>6</v>
      </c>
      <c r="E33">
        <v>5</v>
      </c>
    </row>
    <row r="34" spans="1:5" x14ac:dyDescent="0.25">
      <c r="A34">
        <v>33</v>
      </c>
      <c r="B34">
        <v>6.6</v>
      </c>
      <c r="C34">
        <v>17</v>
      </c>
      <c r="D34" t="s">
        <v>6</v>
      </c>
      <c r="E34">
        <v>5</v>
      </c>
    </row>
    <row r="35" spans="1:5" x14ac:dyDescent="0.25">
      <c r="A35">
        <v>34</v>
      </c>
      <c r="B35">
        <v>8.6999999999999993</v>
      </c>
      <c r="C35">
        <v>26</v>
      </c>
      <c r="D35" t="s">
        <v>6</v>
      </c>
      <c r="E35">
        <v>5</v>
      </c>
    </row>
    <row r="36" spans="1:5" x14ac:dyDescent="0.25">
      <c r="A36">
        <v>35</v>
      </c>
      <c r="B36">
        <v>10</v>
      </c>
      <c r="C36">
        <v>0</v>
      </c>
      <c r="D36" t="s">
        <v>5</v>
      </c>
      <c r="E36">
        <v>0</v>
      </c>
    </row>
    <row r="37" spans="1:5" x14ac:dyDescent="0.25">
      <c r="A37">
        <v>36</v>
      </c>
      <c r="B37">
        <v>10.1</v>
      </c>
      <c r="C37">
        <v>3</v>
      </c>
      <c r="D37" t="s">
        <v>6</v>
      </c>
      <c r="E37">
        <v>1</v>
      </c>
    </row>
    <row r="38" spans="1:5" x14ac:dyDescent="0.25">
      <c r="A38">
        <v>37</v>
      </c>
      <c r="B38">
        <v>8.8000000000000007</v>
      </c>
      <c r="C38">
        <v>3</v>
      </c>
      <c r="D38" t="s">
        <v>6</v>
      </c>
      <c r="E38">
        <v>1</v>
      </c>
    </row>
    <row r="39" spans="1:5" x14ac:dyDescent="0.25">
      <c r="A39">
        <v>38</v>
      </c>
      <c r="B39">
        <v>6.4</v>
      </c>
      <c r="C39">
        <v>5</v>
      </c>
      <c r="D39" t="s">
        <v>6</v>
      </c>
      <c r="E39">
        <v>1</v>
      </c>
    </row>
    <row r="40" spans="1:5" x14ac:dyDescent="0.25">
      <c r="A40">
        <v>39</v>
      </c>
      <c r="B40">
        <v>3.8</v>
      </c>
      <c r="C40">
        <v>11</v>
      </c>
      <c r="D40" t="s">
        <v>6</v>
      </c>
      <c r="E40">
        <v>2</v>
      </c>
    </row>
    <row r="41" spans="1:5" x14ac:dyDescent="0.25">
      <c r="A41">
        <v>40</v>
      </c>
      <c r="B41">
        <v>1.7</v>
      </c>
      <c r="C41">
        <v>6</v>
      </c>
      <c r="D41" t="s">
        <v>6</v>
      </c>
      <c r="E41">
        <v>2</v>
      </c>
    </row>
    <row r="42" spans="1:5" x14ac:dyDescent="0.25">
      <c r="A42">
        <v>41</v>
      </c>
      <c r="B42">
        <v>1</v>
      </c>
      <c r="C42">
        <v>3</v>
      </c>
      <c r="D42" t="s">
        <v>6</v>
      </c>
      <c r="E42">
        <v>2</v>
      </c>
    </row>
    <row r="43" spans="1:5" x14ac:dyDescent="0.25">
      <c r="A43">
        <v>42</v>
      </c>
      <c r="B43">
        <v>2</v>
      </c>
      <c r="C43">
        <v>17</v>
      </c>
      <c r="D43" t="s">
        <v>6</v>
      </c>
      <c r="E43">
        <v>3</v>
      </c>
    </row>
    <row r="44" spans="1:5" x14ac:dyDescent="0.25">
      <c r="A44">
        <v>43</v>
      </c>
      <c r="B44">
        <v>4.5999999999999996</v>
      </c>
      <c r="C44">
        <v>5</v>
      </c>
      <c r="D44" t="s">
        <v>6</v>
      </c>
      <c r="E44">
        <v>3</v>
      </c>
    </row>
    <row r="45" spans="1:5" x14ac:dyDescent="0.25">
      <c r="A45">
        <v>44</v>
      </c>
      <c r="B45">
        <v>8.1999999999999993</v>
      </c>
      <c r="C45">
        <v>8</v>
      </c>
      <c r="D45" t="s">
        <v>6</v>
      </c>
      <c r="E45">
        <v>3</v>
      </c>
    </row>
    <row r="46" spans="1:5" x14ac:dyDescent="0.25">
      <c r="A46">
        <v>45</v>
      </c>
      <c r="B46">
        <v>11.8</v>
      </c>
      <c r="C46">
        <v>2</v>
      </c>
      <c r="D46" t="s">
        <v>6</v>
      </c>
      <c r="E46">
        <v>4</v>
      </c>
    </row>
    <row r="47" spans="1:5" x14ac:dyDescent="0.25">
      <c r="A47">
        <v>46</v>
      </c>
      <c r="B47">
        <v>14.7</v>
      </c>
      <c r="C47">
        <v>1</v>
      </c>
      <c r="D47" t="s">
        <v>6</v>
      </c>
      <c r="E47">
        <v>4</v>
      </c>
    </row>
    <row r="48" spans="1:5" x14ac:dyDescent="0.25">
      <c r="A48">
        <v>47</v>
      </c>
      <c r="B48">
        <v>16.3</v>
      </c>
      <c r="C48">
        <v>11</v>
      </c>
      <c r="D48" t="s">
        <v>6</v>
      </c>
      <c r="E48">
        <v>4</v>
      </c>
    </row>
    <row r="49" spans="1:5" x14ac:dyDescent="0.25">
      <c r="A49">
        <v>48</v>
      </c>
      <c r="B49">
        <v>16.3</v>
      </c>
      <c r="C49">
        <v>25</v>
      </c>
      <c r="D49" t="s">
        <v>6</v>
      </c>
      <c r="E49">
        <v>5</v>
      </c>
    </row>
    <row r="50" spans="1:5" x14ac:dyDescent="0.25">
      <c r="A50">
        <v>49</v>
      </c>
      <c r="B50">
        <v>15.2</v>
      </c>
      <c r="C50">
        <v>0</v>
      </c>
      <c r="D50" t="s">
        <v>5</v>
      </c>
      <c r="E50">
        <v>0</v>
      </c>
    </row>
    <row r="51" spans="1:5" x14ac:dyDescent="0.25">
      <c r="A51">
        <v>50</v>
      </c>
      <c r="B51">
        <v>13.6</v>
      </c>
      <c r="C51">
        <v>2</v>
      </c>
      <c r="D51" t="s">
        <v>6</v>
      </c>
      <c r="E51">
        <v>1</v>
      </c>
    </row>
    <row r="52" spans="1:5" x14ac:dyDescent="0.25">
      <c r="A52">
        <v>51</v>
      </c>
      <c r="B52">
        <v>12.5</v>
      </c>
      <c r="C52">
        <v>3</v>
      </c>
      <c r="D52" t="s">
        <v>6</v>
      </c>
      <c r="E52">
        <v>1</v>
      </c>
    </row>
    <row r="53" spans="1:5" x14ac:dyDescent="0.25">
      <c r="A53">
        <v>52</v>
      </c>
      <c r="B53">
        <v>12.5</v>
      </c>
      <c r="C53">
        <v>2</v>
      </c>
      <c r="D53" t="s">
        <v>6</v>
      </c>
      <c r="E53">
        <v>1</v>
      </c>
    </row>
    <row r="54" spans="1:5" x14ac:dyDescent="0.25">
      <c r="A54">
        <v>53</v>
      </c>
      <c r="B54">
        <v>14.1</v>
      </c>
      <c r="C54">
        <v>4</v>
      </c>
      <c r="D54" t="s">
        <v>6</v>
      </c>
      <c r="E54">
        <v>2</v>
      </c>
    </row>
    <row r="55" spans="1:5" x14ac:dyDescent="0.25">
      <c r="A55">
        <v>54</v>
      </c>
      <c r="B55">
        <v>17.100000000000001</v>
      </c>
      <c r="C55">
        <v>5</v>
      </c>
      <c r="D55" t="s">
        <v>6</v>
      </c>
      <c r="E55">
        <v>2</v>
      </c>
    </row>
    <row r="56" spans="1:5" x14ac:dyDescent="0.25">
      <c r="A56">
        <v>55</v>
      </c>
      <c r="B56">
        <v>20.9</v>
      </c>
      <c r="C56">
        <v>9</v>
      </c>
      <c r="D56" t="s">
        <v>6</v>
      </c>
      <c r="E56">
        <v>2</v>
      </c>
    </row>
    <row r="57" spans="1:5" x14ac:dyDescent="0.25">
      <c r="A57">
        <v>56</v>
      </c>
      <c r="B57">
        <v>24.5</v>
      </c>
      <c r="C57">
        <v>2</v>
      </c>
      <c r="D57" t="s">
        <v>6</v>
      </c>
      <c r="E57">
        <v>3</v>
      </c>
    </row>
    <row r="58" spans="1:5" x14ac:dyDescent="0.25">
      <c r="A58">
        <v>57</v>
      </c>
      <c r="B58">
        <v>27.3</v>
      </c>
      <c r="C58">
        <v>16</v>
      </c>
      <c r="D58" t="s">
        <v>6</v>
      </c>
      <c r="E58">
        <v>3</v>
      </c>
    </row>
    <row r="59" spans="1:5" x14ac:dyDescent="0.25">
      <c r="A59">
        <v>58</v>
      </c>
      <c r="B59">
        <v>28.4</v>
      </c>
      <c r="C59">
        <v>14</v>
      </c>
      <c r="D59" t="s">
        <v>6</v>
      </c>
      <c r="E59">
        <v>3</v>
      </c>
    </row>
    <row r="60" spans="1:5" x14ac:dyDescent="0.25">
      <c r="A60">
        <v>59</v>
      </c>
      <c r="B60">
        <v>27.8</v>
      </c>
      <c r="C60">
        <v>14</v>
      </c>
      <c r="D60" t="s">
        <v>6</v>
      </c>
      <c r="E60">
        <v>3</v>
      </c>
    </row>
    <row r="61" spans="1:5" x14ac:dyDescent="0.25">
      <c r="A61">
        <v>60</v>
      </c>
      <c r="B61">
        <v>25.9</v>
      </c>
      <c r="C61">
        <v>6</v>
      </c>
      <c r="D61" t="s">
        <v>6</v>
      </c>
      <c r="E61">
        <v>4</v>
      </c>
    </row>
    <row r="62" spans="1:5" x14ac:dyDescent="0.25">
      <c r="A62">
        <v>61</v>
      </c>
      <c r="B62">
        <v>23.4</v>
      </c>
      <c r="C62">
        <v>21</v>
      </c>
      <c r="D62" t="s">
        <v>6</v>
      </c>
      <c r="E62">
        <v>4</v>
      </c>
    </row>
    <row r="63" spans="1:5" x14ac:dyDescent="0.25">
      <c r="A63">
        <v>62</v>
      </c>
      <c r="B63">
        <v>21.2</v>
      </c>
      <c r="C63">
        <v>21</v>
      </c>
      <c r="D63" t="s">
        <v>6</v>
      </c>
      <c r="E63">
        <v>5</v>
      </c>
    </row>
    <row r="64" spans="1:5" x14ac:dyDescent="0.25">
      <c r="A64">
        <v>63</v>
      </c>
      <c r="B64">
        <v>20</v>
      </c>
      <c r="C64">
        <v>0</v>
      </c>
      <c r="D64" t="s">
        <v>5</v>
      </c>
      <c r="E64">
        <v>0</v>
      </c>
    </row>
    <row r="65" spans="1:5" x14ac:dyDescent="0.25">
      <c r="A65">
        <v>64</v>
      </c>
      <c r="B65">
        <v>20.3</v>
      </c>
      <c r="C65">
        <v>4</v>
      </c>
      <c r="D65" t="s">
        <v>6</v>
      </c>
      <c r="E65">
        <v>1</v>
      </c>
    </row>
    <row r="66" spans="1:5" x14ac:dyDescent="0.25">
      <c r="A66">
        <v>65</v>
      </c>
      <c r="B66">
        <v>21.8</v>
      </c>
      <c r="C66">
        <v>6</v>
      </c>
      <c r="D66" t="s">
        <v>6</v>
      </c>
      <c r="E66">
        <v>1</v>
      </c>
    </row>
    <row r="67" spans="1:5" x14ac:dyDescent="0.25">
      <c r="A67">
        <v>66</v>
      </c>
      <c r="B67">
        <v>24</v>
      </c>
      <c r="C67">
        <v>3</v>
      </c>
      <c r="D67" t="s">
        <v>6</v>
      </c>
      <c r="E67">
        <v>1</v>
      </c>
    </row>
    <row r="68" spans="1:5" x14ac:dyDescent="0.25">
      <c r="A68">
        <v>67</v>
      </c>
      <c r="B68">
        <v>26.1</v>
      </c>
      <c r="C68">
        <v>7</v>
      </c>
      <c r="D68" t="s">
        <v>6</v>
      </c>
      <c r="E68">
        <v>2</v>
      </c>
    </row>
    <row r="69" spans="1:5" x14ac:dyDescent="0.25">
      <c r="A69">
        <v>68</v>
      </c>
      <c r="B69">
        <v>27.3</v>
      </c>
      <c r="C69">
        <v>6</v>
      </c>
      <c r="D69" t="s">
        <v>6</v>
      </c>
      <c r="E69">
        <v>2</v>
      </c>
    </row>
    <row r="70" spans="1:5" x14ac:dyDescent="0.25">
      <c r="A70">
        <v>69</v>
      </c>
      <c r="B70">
        <v>26.8</v>
      </c>
      <c r="C70">
        <v>8</v>
      </c>
      <c r="D70" t="s">
        <v>6</v>
      </c>
      <c r="E70">
        <v>2</v>
      </c>
    </row>
    <row r="71" spans="1:5" x14ac:dyDescent="0.25">
      <c r="A71">
        <v>70</v>
      </c>
      <c r="B71">
        <v>24.7</v>
      </c>
      <c r="C71">
        <v>3</v>
      </c>
      <c r="D71" t="s">
        <v>6</v>
      </c>
      <c r="E71">
        <v>3</v>
      </c>
    </row>
    <row r="72" spans="1:5" x14ac:dyDescent="0.25">
      <c r="A72">
        <v>71</v>
      </c>
      <c r="B72">
        <v>21.2</v>
      </c>
      <c r="C72">
        <v>16</v>
      </c>
      <c r="D72" t="s">
        <v>6</v>
      </c>
      <c r="E72">
        <v>3</v>
      </c>
    </row>
    <row r="73" spans="1:5" x14ac:dyDescent="0.25">
      <c r="A73">
        <v>72</v>
      </c>
      <c r="B73">
        <v>17.3</v>
      </c>
      <c r="C73">
        <v>8</v>
      </c>
      <c r="D73" t="s">
        <v>6</v>
      </c>
      <c r="E73">
        <v>3</v>
      </c>
    </row>
    <row r="74" spans="1:5" x14ac:dyDescent="0.25">
      <c r="A74">
        <v>73</v>
      </c>
      <c r="B74">
        <v>13.7</v>
      </c>
      <c r="C74">
        <v>19</v>
      </c>
      <c r="D74" t="s">
        <v>6</v>
      </c>
      <c r="E74">
        <v>4</v>
      </c>
    </row>
    <row r="75" spans="1:5" x14ac:dyDescent="0.25">
      <c r="A75">
        <v>74</v>
      </c>
      <c r="B75">
        <v>11.3</v>
      </c>
      <c r="C75">
        <v>5</v>
      </c>
      <c r="D75" t="s">
        <v>6</v>
      </c>
      <c r="E75">
        <v>4</v>
      </c>
    </row>
    <row r="76" spans="1:5" x14ac:dyDescent="0.25">
      <c r="A76">
        <v>75</v>
      </c>
      <c r="B76">
        <v>10.5</v>
      </c>
      <c r="C76">
        <v>2</v>
      </c>
      <c r="D76" t="s">
        <v>6</v>
      </c>
      <c r="E76">
        <v>4</v>
      </c>
    </row>
    <row r="77" spans="1:5" x14ac:dyDescent="0.25">
      <c r="A77">
        <v>76</v>
      </c>
      <c r="B77">
        <v>11</v>
      </c>
      <c r="C77">
        <v>22</v>
      </c>
      <c r="D77" t="s">
        <v>6</v>
      </c>
      <c r="E77">
        <v>5</v>
      </c>
    </row>
    <row r="78" spans="1:5" x14ac:dyDescent="0.25">
      <c r="A78">
        <v>77</v>
      </c>
      <c r="B78">
        <v>12.5</v>
      </c>
      <c r="C78">
        <v>0</v>
      </c>
      <c r="D78" t="s">
        <v>5</v>
      </c>
      <c r="E78">
        <v>0</v>
      </c>
    </row>
    <row r="79" spans="1:5" x14ac:dyDescent="0.25">
      <c r="A79">
        <v>78</v>
      </c>
      <c r="B79">
        <v>14</v>
      </c>
      <c r="C79">
        <v>2</v>
      </c>
      <c r="D79" t="s">
        <v>6</v>
      </c>
      <c r="E79">
        <v>1</v>
      </c>
    </row>
    <row r="80" spans="1:5" x14ac:dyDescent="0.25">
      <c r="A80">
        <v>79</v>
      </c>
      <c r="B80">
        <v>14.7</v>
      </c>
      <c r="C80">
        <v>4</v>
      </c>
      <c r="D80" t="s">
        <v>6</v>
      </c>
      <c r="E80">
        <v>1</v>
      </c>
    </row>
    <row r="81" spans="1:5" x14ac:dyDescent="0.25">
      <c r="A81">
        <v>80</v>
      </c>
      <c r="B81">
        <v>14.1</v>
      </c>
      <c r="C81">
        <v>5</v>
      </c>
      <c r="D81" t="s">
        <v>7</v>
      </c>
      <c r="E81">
        <v>1</v>
      </c>
    </row>
    <row r="82" spans="1:5" x14ac:dyDescent="0.25">
      <c r="A82">
        <v>81</v>
      </c>
      <c r="B82">
        <v>11.9</v>
      </c>
      <c r="C82">
        <v>8</v>
      </c>
      <c r="D82" t="s">
        <v>6</v>
      </c>
      <c r="E82">
        <v>2</v>
      </c>
    </row>
    <row r="83" spans="1:5" x14ac:dyDescent="0.25">
      <c r="A83">
        <v>82</v>
      </c>
      <c r="B83">
        <v>8.6999999999999993</v>
      </c>
      <c r="C83">
        <v>6</v>
      </c>
      <c r="D83" t="s">
        <v>6</v>
      </c>
      <c r="E83">
        <v>2</v>
      </c>
    </row>
    <row r="84" spans="1:5" x14ac:dyDescent="0.25">
      <c r="A84">
        <v>83</v>
      </c>
      <c r="B84">
        <v>5.0999999999999996</v>
      </c>
      <c r="C84">
        <v>3</v>
      </c>
      <c r="D84" t="s">
        <v>6</v>
      </c>
      <c r="E84">
        <v>2</v>
      </c>
    </row>
    <row r="85" spans="1:5" x14ac:dyDescent="0.25">
      <c r="A85">
        <v>84</v>
      </c>
      <c r="B85">
        <v>2.2000000000000002</v>
      </c>
      <c r="C85">
        <v>1</v>
      </c>
      <c r="D85" t="s">
        <v>6</v>
      </c>
      <c r="E85">
        <v>3</v>
      </c>
    </row>
    <row r="86" spans="1:5" x14ac:dyDescent="0.25">
      <c r="A86">
        <v>85</v>
      </c>
      <c r="B86">
        <v>0.5</v>
      </c>
      <c r="C86">
        <v>5</v>
      </c>
      <c r="D86" t="s">
        <v>6</v>
      </c>
      <c r="E86">
        <v>3</v>
      </c>
    </row>
    <row r="87" spans="1:5" x14ac:dyDescent="0.25">
      <c r="A87">
        <v>86</v>
      </c>
      <c r="B87">
        <v>0.6</v>
      </c>
      <c r="C87">
        <v>13</v>
      </c>
      <c r="D87" t="s">
        <v>6</v>
      </c>
      <c r="E87">
        <v>3</v>
      </c>
    </row>
    <row r="88" spans="1:5" x14ac:dyDescent="0.25">
      <c r="A88">
        <v>87</v>
      </c>
      <c r="B88">
        <v>2.2999999999999998</v>
      </c>
      <c r="C88">
        <v>4</v>
      </c>
      <c r="D88" t="s">
        <v>6</v>
      </c>
      <c r="E88">
        <v>4</v>
      </c>
    </row>
    <row r="89" spans="1:5" x14ac:dyDescent="0.25">
      <c r="A89">
        <v>88</v>
      </c>
      <c r="B89">
        <v>5</v>
      </c>
      <c r="C89">
        <v>9</v>
      </c>
      <c r="D89" t="s">
        <v>6</v>
      </c>
      <c r="E89">
        <v>4</v>
      </c>
    </row>
    <row r="90" spans="1:5" x14ac:dyDescent="0.25">
      <c r="A90">
        <v>89</v>
      </c>
      <c r="B90">
        <v>7.9</v>
      </c>
      <c r="C90">
        <v>24</v>
      </c>
      <c r="D90" t="s">
        <v>6</v>
      </c>
      <c r="E90">
        <v>4</v>
      </c>
    </row>
    <row r="91" spans="1:5" x14ac:dyDescent="0.25">
      <c r="A91">
        <v>90</v>
      </c>
      <c r="B91">
        <v>10</v>
      </c>
      <c r="C91">
        <v>15</v>
      </c>
      <c r="D91" t="s">
        <v>6</v>
      </c>
      <c r="E91">
        <v>5</v>
      </c>
    </row>
    <row r="92" spans="1:5" x14ac:dyDescent="0.25">
      <c r="A92">
        <v>91</v>
      </c>
      <c r="B92">
        <v>10.9</v>
      </c>
      <c r="C92">
        <v>29</v>
      </c>
      <c r="D92" t="s">
        <v>6</v>
      </c>
      <c r="E92">
        <v>5</v>
      </c>
    </row>
    <row r="93" spans="1:5" x14ac:dyDescent="0.25">
      <c r="A93">
        <v>92</v>
      </c>
      <c r="B93">
        <v>10.3</v>
      </c>
      <c r="C93">
        <v>0</v>
      </c>
      <c r="D93" t="s">
        <v>5</v>
      </c>
      <c r="E93">
        <v>0</v>
      </c>
    </row>
    <row r="94" spans="1:5" x14ac:dyDescent="0.25">
      <c r="A94">
        <v>93</v>
      </c>
      <c r="B94">
        <v>8.6999999999999993</v>
      </c>
      <c r="C94">
        <v>1</v>
      </c>
      <c r="D94" t="s">
        <v>7</v>
      </c>
      <c r="E94">
        <v>1</v>
      </c>
    </row>
    <row r="95" spans="1:5" x14ac:dyDescent="0.25">
      <c r="A95">
        <v>94</v>
      </c>
      <c r="B95">
        <v>6.7</v>
      </c>
      <c r="C95">
        <v>3</v>
      </c>
      <c r="D95" t="s">
        <v>7</v>
      </c>
      <c r="E95">
        <v>1</v>
      </c>
    </row>
    <row r="96" spans="1:5" x14ac:dyDescent="0.25">
      <c r="A96">
        <v>95</v>
      </c>
      <c r="B96">
        <v>5.3</v>
      </c>
      <c r="C96">
        <v>6</v>
      </c>
      <c r="D96" t="s">
        <v>7</v>
      </c>
      <c r="E96">
        <v>1</v>
      </c>
    </row>
    <row r="97" spans="1:5" x14ac:dyDescent="0.25">
      <c r="A97">
        <v>96</v>
      </c>
      <c r="B97">
        <v>5.2</v>
      </c>
      <c r="C97">
        <v>3</v>
      </c>
      <c r="D97" t="s">
        <v>7</v>
      </c>
      <c r="E97">
        <v>2</v>
      </c>
    </row>
    <row r="98" spans="1:5" x14ac:dyDescent="0.25">
      <c r="A98">
        <v>97</v>
      </c>
      <c r="B98">
        <v>6.8</v>
      </c>
      <c r="C98">
        <v>2</v>
      </c>
      <c r="D98" t="s">
        <v>7</v>
      </c>
      <c r="E98">
        <v>2</v>
      </c>
    </row>
    <row r="99" spans="1:5" x14ac:dyDescent="0.25">
      <c r="A99">
        <v>98</v>
      </c>
      <c r="B99">
        <v>9.8000000000000007</v>
      </c>
      <c r="C99">
        <v>11</v>
      </c>
      <c r="D99" t="s">
        <v>7</v>
      </c>
      <c r="E99">
        <v>2</v>
      </c>
    </row>
    <row r="100" spans="1:5" x14ac:dyDescent="0.25">
      <c r="A100">
        <v>99</v>
      </c>
      <c r="B100">
        <v>13.7</v>
      </c>
      <c r="C100">
        <v>8</v>
      </c>
      <c r="D100" t="s">
        <v>7</v>
      </c>
      <c r="E100">
        <v>3</v>
      </c>
    </row>
    <row r="101" spans="1:5" x14ac:dyDescent="0.25">
      <c r="A101">
        <v>100</v>
      </c>
      <c r="B101">
        <v>17.7</v>
      </c>
      <c r="C101">
        <v>6</v>
      </c>
      <c r="D101" t="s">
        <v>7</v>
      </c>
      <c r="E101">
        <v>3</v>
      </c>
    </row>
    <row r="102" spans="1:5" x14ac:dyDescent="0.25">
      <c r="A102">
        <v>101</v>
      </c>
      <c r="B102">
        <v>20.8</v>
      </c>
      <c r="C102">
        <v>5</v>
      </c>
      <c r="D102" t="s">
        <v>7</v>
      </c>
      <c r="E102">
        <v>3</v>
      </c>
    </row>
    <row r="103" spans="1:5" x14ac:dyDescent="0.25">
      <c r="A103">
        <v>102</v>
      </c>
      <c r="B103">
        <v>22.4</v>
      </c>
      <c r="C103">
        <v>20</v>
      </c>
      <c r="D103" t="s">
        <v>7</v>
      </c>
      <c r="E103">
        <v>4</v>
      </c>
    </row>
    <row r="104" spans="1:5" x14ac:dyDescent="0.25">
      <c r="A104">
        <v>103</v>
      </c>
      <c r="B104">
        <v>22.5</v>
      </c>
      <c r="C104">
        <v>17</v>
      </c>
      <c r="D104" t="s">
        <v>7</v>
      </c>
      <c r="E104">
        <v>4</v>
      </c>
    </row>
    <row r="105" spans="1:5" x14ac:dyDescent="0.25">
      <c r="A105">
        <v>104</v>
      </c>
      <c r="B105">
        <v>21.2</v>
      </c>
      <c r="C105">
        <v>11</v>
      </c>
      <c r="D105" t="s">
        <v>7</v>
      </c>
      <c r="E105">
        <v>4</v>
      </c>
    </row>
    <row r="106" spans="1:5" x14ac:dyDescent="0.25">
      <c r="A106">
        <v>105</v>
      </c>
      <c r="B106">
        <v>19.5</v>
      </c>
      <c r="C106">
        <v>27</v>
      </c>
      <c r="D106" t="s">
        <v>7</v>
      </c>
      <c r="E106">
        <v>5</v>
      </c>
    </row>
    <row r="107" spans="1:5" x14ac:dyDescent="0.25">
      <c r="A107">
        <v>106</v>
      </c>
      <c r="B107">
        <v>18.100000000000001</v>
      </c>
      <c r="C107">
        <v>0</v>
      </c>
      <c r="D107" t="s">
        <v>5</v>
      </c>
      <c r="E107">
        <v>0</v>
      </c>
    </row>
    <row r="108" spans="1:5" x14ac:dyDescent="0.25">
      <c r="A108">
        <v>107</v>
      </c>
      <c r="B108">
        <v>17.8</v>
      </c>
      <c r="C108">
        <v>5</v>
      </c>
      <c r="D108" t="s">
        <v>6</v>
      </c>
      <c r="E108">
        <v>1</v>
      </c>
    </row>
    <row r="109" spans="1:5" x14ac:dyDescent="0.25">
      <c r="A109">
        <v>108</v>
      </c>
      <c r="B109">
        <v>18.899999999999999</v>
      </c>
      <c r="C109">
        <v>3</v>
      </c>
      <c r="D109" t="s">
        <v>6</v>
      </c>
      <c r="E109">
        <v>1</v>
      </c>
    </row>
    <row r="110" spans="1:5" x14ac:dyDescent="0.25">
      <c r="A110">
        <v>109</v>
      </c>
      <c r="B110">
        <v>21.3</v>
      </c>
      <c r="C110">
        <v>1</v>
      </c>
      <c r="D110" t="s">
        <v>6</v>
      </c>
      <c r="E110">
        <v>1</v>
      </c>
    </row>
    <row r="111" spans="1:5" x14ac:dyDescent="0.25">
      <c r="A111">
        <v>110</v>
      </c>
      <c r="B111">
        <v>24.5</v>
      </c>
      <c r="C111">
        <v>7</v>
      </c>
      <c r="D111" t="s">
        <v>6</v>
      </c>
      <c r="E111">
        <v>2</v>
      </c>
    </row>
    <row r="112" spans="1:5" x14ac:dyDescent="0.25">
      <c r="A112">
        <v>111</v>
      </c>
      <c r="B112">
        <v>27.5</v>
      </c>
      <c r="C112">
        <v>12</v>
      </c>
      <c r="D112" t="s">
        <v>6</v>
      </c>
      <c r="E112">
        <v>2</v>
      </c>
    </row>
    <row r="113" spans="1:5" x14ac:dyDescent="0.25">
      <c r="A113">
        <v>112</v>
      </c>
      <c r="B113">
        <v>29.5</v>
      </c>
      <c r="C113">
        <v>6</v>
      </c>
      <c r="D113" t="s">
        <v>6</v>
      </c>
      <c r="E113">
        <v>2</v>
      </c>
    </row>
    <row r="114" spans="1:5" x14ac:dyDescent="0.25">
      <c r="A114">
        <v>113</v>
      </c>
      <c r="B114">
        <v>29.9</v>
      </c>
      <c r="C114">
        <v>5</v>
      </c>
      <c r="D114" t="s">
        <v>6</v>
      </c>
      <c r="E114">
        <v>3</v>
      </c>
    </row>
    <row r="115" spans="1:5" x14ac:dyDescent="0.25">
      <c r="A115">
        <v>114</v>
      </c>
      <c r="B115">
        <v>28.6</v>
      </c>
      <c r="C115">
        <v>6</v>
      </c>
      <c r="D115" t="s">
        <v>6</v>
      </c>
      <c r="E115">
        <v>3</v>
      </c>
    </row>
    <row r="116" spans="1:5" x14ac:dyDescent="0.25">
      <c r="A116">
        <v>115</v>
      </c>
      <c r="B116">
        <v>25.9</v>
      </c>
      <c r="C116">
        <v>6</v>
      </c>
      <c r="D116" t="s">
        <v>6</v>
      </c>
      <c r="E116">
        <v>3</v>
      </c>
    </row>
    <row r="117" spans="1:5" x14ac:dyDescent="0.25">
      <c r="A117">
        <v>116</v>
      </c>
      <c r="B117">
        <v>22.6</v>
      </c>
      <c r="C117">
        <v>23</v>
      </c>
      <c r="D117" t="s">
        <v>6</v>
      </c>
      <c r="E117">
        <v>4</v>
      </c>
    </row>
    <row r="118" spans="1:5" x14ac:dyDescent="0.25">
      <c r="A118">
        <v>117</v>
      </c>
      <c r="B118">
        <v>19.7</v>
      </c>
      <c r="C118">
        <v>16</v>
      </c>
      <c r="D118" t="s">
        <v>6</v>
      </c>
      <c r="E118">
        <v>4</v>
      </c>
    </row>
    <row r="119" spans="1:5" x14ac:dyDescent="0.25">
      <c r="A119">
        <v>118</v>
      </c>
      <c r="B119">
        <v>17.8</v>
      </c>
      <c r="C119">
        <v>1</v>
      </c>
      <c r="D119" t="s">
        <v>6</v>
      </c>
      <c r="E119">
        <v>4</v>
      </c>
    </row>
    <row r="120" spans="1:5" x14ac:dyDescent="0.25">
      <c r="A120">
        <v>119</v>
      </c>
      <c r="B120">
        <v>17.3</v>
      </c>
      <c r="C120">
        <v>27</v>
      </c>
      <c r="D120" t="s">
        <v>6</v>
      </c>
      <c r="E120">
        <v>5</v>
      </c>
    </row>
    <row r="121" spans="1:5" x14ac:dyDescent="0.25">
      <c r="A121">
        <v>120</v>
      </c>
      <c r="B121">
        <v>18.2</v>
      </c>
      <c r="C121">
        <v>0</v>
      </c>
      <c r="D121" t="s">
        <v>5</v>
      </c>
      <c r="E121">
        <v>0</v>
      </c>
    </row>
    <row r="122" spans="1:5" x14ac:dyDescent="0.25">
      <c r="A122">
        <v>121</v>
      </c>
      <c r="B122">
        <v>19.8</v>
      </c>
      <c r="C122">
        <v>1</v>
      </c>
      <c r="D122" t="s">
        <v>6</v>
      </c>
      <c r="E122">
        <v>1</v>
      </c>
    </row>
    <row r="123" spans="1:5" x14ac:dyDescent="0.25">
      <c r="A123">
        <v>122</v>
      </c>
      <c r="B123">
        <v>21.4</v>
      </c>
      <c r="C123">
        <v>1</v>
      </c>
      <c r="D123" t="s">
        <v>6</v>
      </c>
      <c r="E123">
        <v>1</v>
      </c>
    </row>
    <row r="124" spans="1:5" x14ac:dyDescent="0.25">
      <c r="A124">
        <v>123</v>
      </c>
      <c r="B124">
        <v>22</v>
      </c>
      <c r="C124">
        <v>6</v>
      </c>
      <c r="D124" t="s">
        <v>6</v>
      </c>
      <c r="E124">
        <v>1</v>
      </c>
    </row>
    <row r="125" spans="1:5" x14ac:dyDescent="0.25">
      <c r="A125">
        <v>124</v>
      </c>
      <c r="B125">
        <v>21.2</v>
      </c>
      <c r="C125">
        <v>9</v>
      </c>
      <c r="D125" t="s">
        <v>6</v>
      </c>
      <c r="E125">
        <v>2</v>
      </c>
    </row>
    <row r="126" spans="1:5" x14ac:dyDescent="0.25">
      <c r="A126">
        <v>125</v>
      </c>
      <c r="B126">
        <v>18.8</v>
      </c>
      <c r="C126">
        <v>7</v>
      </c>
      <c r="D126" t="s">
        <v>6</v>
      </c>
      <c r="E126">
        <v>2</v>
      </c>
    </row>
    <row r="127" spans="1:5" x14ac:dyDescent="0.25">
      <c r="A127">
        <v>126</v>
      </c>
      <c r="B127">
        <v>15.2</v>
      </c>
      <c r="C127">
        <v>12</v>
      </c>
      <c r="D127" t="s">
        <v>6</v>
      </c>
      <c r="E127">
        <v>2</v>
      </c>
    </row>
    <row r="128" spans="1:5" x14ac:dyDescent="0.25">
      <c r="A128">
        <v>127</v>
      </c>
      <c r="B128">
        <v>11.1</v>
      </c>
      <c r="C128">
        <v>15</v>
      </c>
      <c r="D128" t="s">
        <v>6</v>
      </c>
      <c r="E128">
        <v>3</v>
      </c>
    </row>
    <row r="129" spans="1:5" x14ac:dyDescent="0.25">
      <c r="A129">
        <v>128</v>
      </c>
      <c r="B129">
        <v>7.5</v>
      </c>
      <c r="C129">
        <v>10</v>
      </c>
      <c r="D129" t="s">
        <v>6</v>
      </c>
      <c r="E129">
        <v>3</v>
      </c>
    </row>
    <row r="130" spans="1:5" x14ac:dyDescent="0.25">
      <c r="A130">
        <v>129</v>
      </c>
      <c r="B130">
        <v>5.2</v>
      </c>
      <c r="C130">
        <v>5</v>
      </c>
      <c r="D130" t="s">
        <v>6</v>
      </c>
      <c r="E130">
        <v>3</v>
      </c>
    </row>
    <row r="131" spans="1:5" x14ac:dyDescent="0.25">
      <c r="A131">
        <v>130</v>
      </c>
      <c r="B131">
        <v>4.5999999999999996</v>
      </c>
      <c r="C131">
        <v>23</v>
      </c>
      <c r="D131" t="s">
        <v>6</v>
      </c>
      <c r="E131">
        <v>4</v>
      </c>
    </row>
    <row r="132" spans="1:5" x14ac:dyDescent="0.25">
      <c r="A132">
        <v>131</v>
      </c>
      <c r="B132">
        <v>5.5</v>
      </c>
      <c r="C132">
        <v>11</v>
      </c>
      <c r="D132" t="s">
        <v>6</v>
      </c>
      <c r="E132">
        <v>4</v>
      </c>
    </row>
    <row r="133" spans="1:5" x14ac:dyDescent="0.25">
      <c r="A133">
        <v>132</v>
      </c>
      <c r="B133">
        <v>7.3</v>
      </c>
      <c r="C133">
        <v>23</v>
      </c>
      <c r="D133" t="s">
        <v>6</v>
      </c>
      <c r="E133">
        <v>4</v>
      </c>
    </row>
    <row r="134" spans="1:5" x14ac:dyDescent="0.25">
      <c r="A134">
        <v>133</v>
      </c>
      <c r="B134">
        <v>9.3000000000000007</v>
      </c>
      <c r="C134">
        <v>16</v>
      </c>
      <c r="D134" t="s">
        <v>6</v>
      </c>
      <c r="E134">
        <v>5</v>
      </c>
    </row>
    <row r="135" spans="1:5" x14ac:dyDescent="0.25">
      <c r="A135">
        <v>134</v>
      </c>
      <c r="B135">
        <v>10.5</v>
      </c>
      <c r="C135">
        <v>21</v>
      </c>
      <c r="D135" t="s">
        <v>6</v>
      </c>
      <c r="E135">
        <v>5</v>
      </c>
    </row>
    <row r="136" spans="1:5" x14ac:dyDescent="0.25">
      <c r="A136">
        <v>135</v>
      </c>
      <c r="B136">
        <v>10.4</v>
      </c>
      <c r="C136">
        <v>0</v>
      </c>
      <c r="D136" t="s">
        <v>5</v>
      </c>
      <c r="E136">
        <v>0</v>
      </c>
    </row>
    <row r="137" spans="1:5" x14ac:dyDescent="0.25">
      <c r="A137">
        <v>136</v>
      </c>
      <c r="B137">
        <v>9</v>
      </c>
      <c r="C137">
        <v>4</v>
      </c>
      <c r="D137" t="s">
        <v>7</v>
      </c>
      <c r="E137">
        <v>1</v>
      </c>
    </row>
    <row r="138" spans="1:5" x14ac:dyDescent="0.25">
      <c r="A138">
        <v>137</v>
      </c>
      <c r="B138">
        <v>6.4</v>
      </c>
      <c r="C138">
        <v>3</v>
      </c>
      <c r="D138" t="s">
        <v>7</v>
      </c>
      <c r="E138">
        <v>1</v>
      </c>
    </row>
    <row r="139" spans="1:5" x14ac:dyDescent="0.25">
      <c r="A139">
        <v>138</v>
      </c>
      <c r="B139">
        <v>3.6</v>
      </c>
      <c r="C139">
        <v>3</v>
      </c>
      <c r="D139" t="s">
        <v>7</v>
      </c>
      <c r="E139">
        <v>1</v>
      </c>
    </row>
    <row r="140" spans="1:5" x14ac:dyDescent="0.25">
      <c r="A140">
        <v>139</v>
      </c>
      <c r="B140">
        <v>1.4</v>
      </c>
      <c r="C140">
        <v>4</v>
      </c>
      <c r="D140" t="s">
        <v>7</v>
      </c>
      <c r="E140">
        <v>2</v>
      </c>
    </row>
    <row r="141" spans="1:5" x14ac:dyDescent="0.25">
      <c r="A141">
        <v>140</v>
      </c>
      <c r="B141">
        <v>0.5</v>
      </c>
      <c r="C141">
        <v>5</v>
      </c>
      <c r="D141" t="s">
        <v>7</v>
      </c>
      <c r="E141">
        <v>2</v>
      </c>
    </row>
    <row r="142" spans="1:5" x14ac:dyDescent="0.25">
      <c r="A142">
        <v>141</v>
      </c>
      <c r="B142">
        <v>1.4</v>
      </c>
      <c r="C142">
        <v>1</v>
      </c>
      <c r="D142" t="s">
        <v>7</v>
      </c>
      <c r="E142">
        <v>2</v>
      </c>
    </row>
    <row r="143" spans="1:5" x14ac:dyDescent="0.25">
      <c r="A143">
        <v>142</v>
      </c>
      <c r="B143">
        <v>3.9</v>
      </c>
      <c r="C143">
        <v>3</v>
      </c>
      <c r="D143" t="s">
        <v>7</v>
      </c>
      <c r="E143">
        <v>3</v>
      </c>
    </row>
    <row r="144" spans="1:5" x14ac:dyDescent="0.25">
      <c r="A144">
        <v>143</v>
      </c>
      <c r="B144">
        <v>7.3</v>
      </c>
      <c r="C144">
        <v>13</v>
      </c>
      <c r="D144" t="s">
        <v>7</v>
      </c>
      <c r="E144">
        <v>3</v>
      </c>
    </row>
    <row r="145" spans="1:5" x14ac:dyDescent="0.25">
      <c r="A145">
        <v>144</v>
      </c>
      <c r="B145">
        <v>10.9</v>
      </c>
      <c r="C145">
        <v>12</v>
      </c>
      <c r="D145" t="s">
        <v>7</v>
      </c>
      <c r="E145">
        <v>3</v>
      </c>
    </row>
    <row r="146" spans="1:5" x14ac:dyDescent="0.25">
      <c r="A146">
        <v>145</v>
      </c>
      <c r="B146">
        <v>13.7</v>
      </c>
      <c r="C146">
        <v>9</v>
      </c>
      <c r="D146" t="s">
        <v>7</v>
      </c>
      <c r="E146">
        <v>4</v>
      </c>
    </row>
    <row r="147" spans="1:5" x14ac:dyDescent="0.25">
      <c r="A147">
        <v>146</v>
      </c>
      <c r="B147">
        <v>15.1</v>
      </c>
      <c r="C147">
        <v>21</v>
      </c>
      <c r="D147" t="s">
        <v>7</v>
      </c>
      <c r="E147">
        <v>4</v>
      </c>
    </row>
    <row r="148" spans="1:5" x14ac:dyDescent="0.25">
      <c r="A148">
        <v>147</v>
      </c>
      <c r="B148">
        <v>15.1</v>
      </c>
      <c r="C148">
        <v>14</v>
      </c>
      <c r="D148" t="s">
        <v>7</v>
      </c>
      <c r="E148">
        <v>4</v>
      </c>
    </row>
    <row r="149" spans="1:5" x14ac:dyDescent="0.25">
      <c r="A149">
        <v>148</v>
      </c>
      <c r="B149">
        <v>13.9</v>
      </c>
      <c r="C149">
        <v>11</v>
      </c>
      <c r="D149" t="s">
        <v>7</v>
      </c>
      <c r="E149">
        <v>5</v>
      </c>
    </row>
    <row r="150" spans="1:5" x14ac:dyDescent="0.25">
      <c r="A150">
        <v>149</v>
      </c>
      <c r="B150">
        <v>12.3</v>
      </c>
      <c r="C150">
        <v>20</v>
      </c>
      <c r="D150" t="s">
        <v>7</v>
      </c>
      <c r="E150">
        <v>5</v>
      </c>
    </row>
    <row r="151" spans="1:5" x14ac:dyDescent="0.25">
      <c r="A151">
        <v>150</v>
      </c>
      <c r="B151">
        <v>11.2</v>
      </c>
      <c r="C151">
        <v>0</v>
      </c>
      <c r="D151" t="s">
        <v>5</v>
      </c>
      <c r="E151">
        <v>0</v>
      </c>
    </row>
    <row r="152" spans="1:5" x14ac:dyDescent="0.25">
      <c r="A152">
        <v>151</v>
      </c>
      <c r="B152">
        <v>11.3</v>
      </c>
      <c r="C152">
        <v>6</v>
      </c>
      <c r="D152" t="s">
        <v>6</v>
      </c>
      <c r="E152">
        <v>1</v>
      </c>
    </row>
    <row r="153" spans="1:5" x14ac:dyDescent="0.25">
      <c r="A153">
        <v>152</v>
      </c>
      <c r="B153">
        <v>12.9</v>
      </c>
      <c r="C153">
        <v>3</v>
      </c>
      <c r="D153" t="s">
        <v>6</v>
      </c>
      <c r="E153">
        <v>1</v>
      </c>
    </row>
    <row r="154" spans="1:5" x14ac:dyDescent="0.25">
      <c r="A154">
        <v>153</v>
      </c>
      <c r="B154">
        <v>16</v>
      </c>
      <c r="C154">
        <v>6</v>
      </c>
      <c r="D154" t="s">
        <v>6</v>
      </c>
      <c r="E154">
        <v>1</v>
      </c>
    </row>
    <row r="155" spans="1:5" x14ac:dyDescent="0.25">
      <c r="A155">
        <v>154</v>
      </c>
      <c r="B155">
        <v>19.8</v>
      </c>
      <c r="C155">
        <v>2</v>
      </c>
      <c r="D155" t="s">
        <v>6</v>
      </c>
      <c r="E155">
        <v>2</v>
      </c>
    </row>
    <row r="156" spans="1:5" x14ac:dyDescent="0.25">
      <c r="A156">
        <v>155</v>
      </c>
      <c r="B156">
        <v>23.6</v>
      </c>
      <c r="C156">
        <v>11</v>
      </c>
      <c r="D156" t="s">
        <v>6</v>
      </c>
      <c r="E156">
        <v>2</v>
      </c>
    </row>
    <row r="157" spans="1:5" x14ac:dyDescent="0.25">
      <c r="A157">
        <v>156</v>
      </c>
      <c r="B157">
        <v>26.4</v>
      </c>
      <c r="C157">
        <v>11</v>
      </c>
      <c r="D157" t="s">
        <v>6</v>
      </c>
      <c r="E157">
        <v>2</v>
      </c>
    </row>
    <row r="158" spans="1:5" x14ac:dyDescent="0.25">
      <c r="A158">
        <v>157</v>
      </c>
      <c r="B158">
        <v>27.7</v>
      </c>
      <c r="C158">
        <v>5</v>
      </c>
      <c r="D158" t="s">
        <v>6</v>
      </c>
      <c r="E158">
        <v>3</v>
      </c>
    </row>
    <row r="159" spans="1:5" x14ac:dyDescent="0.25">
      <c r="A159">
        <v>158</v>
      </c>
      <c r="B159">
        <v>27.2</v>
      </c>
      <c r="C159">
        <v>18</v>
      </c>
      <c r="D159" t="s">
        <v>6</v>
      </c>
      <c r="E159">
        <v>3</v>
      </c>
    </row>
    <row r="160" spans="1:5" x14ac:dyDescent="0.25">
      <c r="A160">
        <v>159</v>
      </c>
      <c r="B160">
        <v>25.5</v>
      </c>
      <c r="C160">
        <v>5</v>
      </c>
      <c r="D160" t="s">
        <v>6</v>
      </c>
      <c r="E160">
        <v>3</v>
      </c>
    </row>
    <row r="161" spans="1:5" x14ac:dyDescent="0.25">
      <c r="A161">
        <v>160</v>
      </c>
      <c r="B161">
        <v>23.1</v>
      </c>
      <c r="C161">
        <v>8</v>
      </c>
      <c r="D161" t="s">
        <v>6</v>
      </c>
      <c r="E161">
        <v>4</v>
      </c>
    </row>
    <row r="162" spans="1:5" x14ac:dyDescent="0.25">
      <c r="A162">
        <v>161</v>
      </c>
      <c r="B162">
        <v>21</v>
      </c>
      <c r="C162">
        <v>22</v>
      </c>
      <c r="D162" t="s">
        <v>6</v>
      </c>
      <c r="E162">
        <v>4</v>
      </c>
    </row>
    <row r="163" spans="1:5" x14ac:dyDescent="0.25">
      <c r="A163">
        <v>162</v>
      </c>
      <c r="B163">
        <v>20</v>
      </c>
      <c r="C163">
        <v>19</v>
      </c>
      <c r="D163" t="s">
        <v>6</v>
      </c>
      <c r="E163">
        <v>4</v>
      </c>
    </row>
    <row r="164" spans="1:5" x14ac:dyDescent="0.25">
      <c r="A164">
        <v>163</v>
      </c>
      <c r="B164">
        <v>20.399999999999999</v>
      </c>
      <c r="C164">
        <v>23</v>
      </c>
      <c r="D164" t="s">
        <v>6</v>
      </c>
      <c r="E164">
        <v>5</v>
      </c>
    </row>
    <row r="165" spans="1:5" x14ac:dyDescent="0.25">
      <c r="A165">
        <v>164</v>
      </c>
      <c r="B165">
        <v>22.1</v>
      </c>
      <c r="C165">
        <v>0</v>
      </c>
      <c r="D165" t="s">
        <v>5</v>
      </c>
      <c r="E165">
        <v>0</v>
      </c>
    </row>
    <row r="166" spans="1:5" x14ac:dyDescent="0.25">
      <c r="A166">
        <v>165</v>
      </c>
      <c r="B166">
        <v>24.5</v>
      </c>
      <c r="C166">
        <v>1</v>
      </c>
      <c r="D166" t="s">
        <v>7</v>
      </c>
      <c r="E166">
        <v>1</v>
      </c>
    </row>
    <row r="167" spans="1:5" x14ac:dyDescent="0.25">
      <c r="A167">
        <v>166</v>
      </c>
      <c r="B167">
        <v>26.8</v>
      </c>
      <c r="C167">
        <v>2</v>
      </c>
      <c r="D167" t="s">
        <v>7</v>
      </c>
      <c r="E167">
        <v>1</v>
      </c>
    </row>
    <row r="168" spans="1:5" x14ac:dyDescent="0.25">
      <c r="A168">
        <v>167</v>
      </c>
      <c r="B168">
        <v>28</v>
      </c>
      <c r="C168">
        <v>4</v>
      </c>
      <c r="D168" t="s">
        <v>7</v>
      </c>
      <c r="E168">
        <v>1</v>
      </c>
    </row>
    <row r="169" spans="1:5" x14ac:dyDescent="0.25">
      <c r="A169">
        <v>168</v>
      </c>
      <c r="B169">
        <v>27.7</v>
      </c>
      <c r="C169">
        <v>8</v>
      </c>
      <c r="D169" t="s">
        <v>7</v>
      </c>
      <c r="E169">
        <v>2</v>
      </c>
    </row>
    <row r="170" spans="1:5" x14ac:dyDescent="0.25">
      <c r="A170">
        <v>169</v>
      </c>
      <c r="B170">
        <v>25.6</v>
      </c>
      <c r="C170">
        <v>4</v>
      </c>
      <c r="D170" t="s">
        <v>7</v>
      </c>
      <c r="E170">
        <v>2</v>
      </c>
    </row>
    <row r="171" spans="1:5" x14ac:dyDescent="0.25">
      <c r="A171">
        <v>170</v>
      </c>
      <c r="B171">
        <v>22.3</v>
      </c>
      <c r="C171">
        <v>7</v>
      </c>
      <c r="D171" t="s">
        <v>7</v>
      </c>
      <c r="E171">
        <v>2</v>
      </c>
    </row>
    <row r="172" spans="1:5" x14ac:dyDescent="0.25">
      <c r="A172">
        <v>171</v>
      </c>
      <c r="B172">
        <v>18.399999999999999</v>
      </c>
      <c r="C172">
        <v>6</v>
      </c>
      <c r="D172" t="s">
        <v>7</v>
      </c>
      <c r="E172">
        <v>3</v>
      </c>
    </row>
    <row r="173" spans="1:5" x14ac:dyDescent="0.25">
      <c r="A173">
        <v>172</v>
      </c>
      <c r="B173">
        <v>14.9</v>
      </c>
      <c r="C173">
        <v>18</v>
      </c>
      <c r="D173" t="s">
        <v>7</v>
      </c>
      <c r="E173">
        <v>3</v>
      </c>
    </row>
    <row r="174" spans="1:5" x14ac:dyDescent="0.25">
      <c r="A174">
        <v>173</v>
      </c>
      <c r="B174">
        <v>12.5</v>
      </c>
      <c r="C174">
        <v>6</v>
      </c>
      <c r="D174" t="s">
        <v>7</v>
      </c>
      <c r="E174">
        <v>3</v>
      </c>
    </row>
    <row r="175" spans="1:5" x14ac:dyDescent="0.25">
      <c r="A175">
        <v>174</v>
      </c>
      <c r="B175">
        <v>11.7</v>
      </c>
      <c r="C175">
        <v>20</v>
      </c>
      <c r="D175" t="s">
        <v>7</v>
      </c>
      <c r="E175">
        <v>4</v>
      </c>
    </row>
    <row r="176" spans="1:5" x14ac:dyDescent="0.25">
      <c r="A176">
        <v>175</v>
      </c>
      <c r="B176">
        <v>12.3</v>
      </c>
      <c r="C176">
        <v>14</v>
      </c>
      <c r="D176" t="s">
        <v>7</v>
      </c>
      <c r="E176">
        <v>4</v>
      </c>
    </row>
    <row r="177" spans="1:5" x14ac:dyDescent="0.25">
      <c r="A177">
        <v>176</v>
      </c>
      <c r="B177">
        <v>13.7</v>
      </c>
      <c r="C177">
        <v>22</v>
      </c>
      <c r="D177" t="s">
        <v>7</v>
      </c>
      <c r="E177">
        <v>4</v>
      </c>
    </row>
    <row r="178" spans="1:5" x14ac:dyDescent="0.25">
      <c r="A178">
        <v>177</v>
      </c>
      <c r="B178">
        <v>15.2</v>
      </c>
      <c r="C178">
        <v>23</v>
      </c>
      <c r="D178" t="s">
        <v>7</v>
      </c>
      <c r="E178">
        <v>5</v>
      </c>
    </row>
    <row r="179" spans="1:5" x14ac:dyDescent="0.25">
      <c r="A179">
        <v>178</v>
      </c>
      <c r="B179">
        <v>15.9</v>
      </c>
      <c r="C179">
        <v>0</v>
      </c>
      <c r="D179" t="s">
        <v>5</v>
      </c>
      <c r="E179">
        <v>0</v>
      </c>
    </row>
    <row r="180" spans="1:5" x14ac:dyDescent="0.25">
      <c r="A180">
        <v>179</v>
      </c>
      <c r="B180">
        <v>15.1</v>
      </c>
      <c r="C180">
        <v>1</v>
      </c>
      <c r="D180" t="s">
        <v>6</v>
      </c>
      <c r="E180">
        <v>1</v>
      </c>
    </row>
    <row r="181" spans="1:5" x14ac:dyDescent="0.25">
      <c r="A181">
        <v>180</v>
      </c>
      <c r="B181">
        <v>12.9</v>
      </c>
      <c r="C181">
        <v>1</v>
      </c>
      <c r="D181" t="s">
        <v>6</v>
      </c>
      <c r="E181">
        <v>1</v>
      </c>
    </row>
    <row r="182" spans="1:5" x14ac:dyDescent="0.25">
      <c r="A182">
        <v>181</v>
      </c>
      <c r="B182">
        <v>9.6</v>
      </c>
      <c r="C182">
        <v>1</v>
      </c>
      <c r="D182" t="s">
        <v>6</v>
      </c>
      <c r="E182">
        <v>1</v>
      </c>
    </row>
    <row r="183" spans="1:5" x14ac:dyDescent="0.25">
      <c r="A183">
        <v>182</v>
      </c>
      <c r="B183">
        <v>5.9</v>
      </c>
      <c r="C183">
        <v>2</v>
      </c>
      <c r="D183" t="s">
        <v>6</v>
      </c>
      <c r="E183">
        <v>2</v>
      </c>
    </row>
    <row r="184" spans="1:5" x14ac:dyDescent="0.25">
      <c r="A184">
        <v>183</v>
      </c>
      <c r="B184">
        <v>2.8</v>
      </c>
      <c r="C184">
        <v>6</v>
      </c>
      <c r="D184" t="s">
        <v>6</v>
      </c>
      <c r="E184">
        <v>2</v>
      </c>
    </row>
    <row r="185" spans="1:5" x14ac:dyDescent="0.25">
      <c r="A185">
        <v>184</v>
      </c>
      <c r="B185">
        <v>1</v>
      </c>
      <c r="C185">
        <v>9</v>
      </c>
      <c r="D185" t="s">
        <v>6</v>
      </c>
      <c r="E185">
        <v>2</v>
      </c>
    </row>
    <row r="186" spans="1:5" x14ac:dyDescent="0.25">
      <c r="A186">
        <v>185</v>
      </c>
      <c r="B186">
        <v>0.9</v>
      </c>
      <c r="C186">
        <v>6</v>
      </c>
      <c r="D186" t="s">
        <v>6</v>
      </c>
      <c r="E186">
        <v>3</v>
      </c>
    </row>
    <row r="187" spans="1:5" x14ac:dyDescent="0.25">
      <c r="A187">
        <v>186</v>
      </c>
      <c r="B187">
        <v>2.5</v>
      </c>
      <c r="C187">
        <v>1</v>
      </c>
      <c r="D187" t="s">
        <v>6</v>
      </c>
      <c r="E187">
        <v>3</v>
      </c>
    </row>
    <row r="188" spans="1:5" x14ac:dyDescent="0.25">
      <c r="A188">
        <v>187</v>
      </c>
      <c r="B188">
        <v>5</v>
      </c>
      <c r="C188">
        <v>3</v>
      </c>
      <c r="D188" t="s">
        <v>6</v>
      </c>
      <c r="E188">
        <v>3</v>
      </c>
    </row>
    <row r="189" spans="1:5" x14ac:dyDescent="0.25">
      <c r="A189">
        <v>188</v>
      </c>
      <c r="B189">
        <v>7.7</v>
      </c>
      <c r="C189">
        <v>7</v>
      </c>
      <c r="D189" t="s">
        <v>6</v>
      </c>
      <c r="E189">
        <v>4</v>
      </c>
    </row>
    <row r="190" spans="1:5" x14ac:dyDescent="0.25">
      <c r="A190">
        <v>189</v>
      </c>
      <c r="B190">
        <v>9.6999999999999993</v>
      </c>
      <c r="C190">
        <v>6</v>
      </c>
      <c r="D190" t="s">
        <v>6</v>
      </c>
      <c r="E190">
        <v>4</v>
      </c>
    </row>
    <row r="191" spans="1:5" x14ac:dyDescent="0.25">
      <c r="A191">
        <v>190</v>
      </c>
      <c r="B191">
        <v>10.4</v>
      </c>
      <c r="C191">
        <v>3</v>
      </c>
      <c r="D191" t="s">
        <v>6</v>
      </c>
      <c r="E191">
        <v>4</v>
      </c>
    </row>
    <row r="192" spans="1:5" x14ac:dyDescent="0.25">
      <c r="A192">
        <v>191</v>
      </c>
      <c r="B192">
        <v>9.6999999999999993</v>
      </c>
      <c r="C192">
        <v>22</v>
      </c>
      <c r="D192" t="s">
        <v>6</v>
      </c>
      <c r="E192">
        <v>5</v>
      </c>
    </row>
    <row r="193" spans="1:5" x14ac:dyDescent="0.25">
      <c r="A193">
        <v>192</v>
      </c>
      <c r="B193">
        <v>8</v>
      </c>
      <c r="C193">
        <v>0</v>
      </c>
      <c r="D193" t="s">
        <v>5</v>
      </c>
      <c r="E193">
        <v>0</v>
      </c>
    </row>
    <row r="194" spans="1:5" x14ac:dyDescent="0.25">
      <c r="A194">
        <v>193</v>
      </c>
      <c r="B194">
        <v>5.9</v>
      </c>
      <c r="C194">
        <v>3</v>
      </c>
      <c r="D194" t="s">
        <v>7</v>
      </c>
      <c r="E194">
        <v>1</v>
      </c>
    </row>
    <row r="195" spans="1:5" x14ac:dyDescent="0.25">
      <c r="A195">
        <v>194</v>
      </c>
      <c r="B195">
        <v>4.4000000000000004</v>
      </c>
      <c r="C195">
        <v>4</v>
      </c>
      <c r="D195" t="s">
        <v>7</v>
      </c>
      <c r="E195">
        <v>1</v>
      </c>
    </row>
    <row r="196" spans="1:5" x14ac:dyDescent="0.25">
      <c r="A196">
        <v>195</v>
      </c>
      <c r="B196">
        <v>4.2</v>
      </c>
      <c r="C196">
        <v>6</v>
      </c>
      <c r="D196" t="s">
        <v>7</v>
      </c>
      <c r="E196">
        <v>1</v>
      </c>
    </row>
    <row r="197" spans="1:5" x14ac:dyDescent="0.25">
      <c r="A197">
        <v>196</v>
      </c>
      <c r="B197">
        <v>5.6</v>
      </c>
      <c r="C197">
        <v>8</v>
      </c>
      <c r="D197" t="s">
        <v>7</v>
      </c>
      <c r="E197">
        <v>2</v>
      </c>
    </row>
    <row r="198" spans="1:5" x14ac:dyDescent="0.25">
      <c r="A198">
        <v>197</v>
      </c>
      <c r="B198">
        <v>8.6</v>
      </c>
      <c r="C198">
        <v>12</v>
      </c>
      <c r="D198" t="s">
        <v>7</v>
      </c>
      <c r="E198">
        <v>2</v>
      </c>
    </row>
    <row r="199" spans="1:5" x14ac:dyDescent="0.25">
      <c r="A199">
        <v>198</v>
      </c>
      <c r="B199">
        <v>12.5</v>
      </c>
      <c r="C199">
        <v>9</v>
      </c>
      <c r="D199" t="s">
        <v>7</v>
      </c>
      <c r="E199">
        <v>2</v>
      </c>
    </row>
    <row r="200" spans="1:5" x14ac:dyDescent="0.25">
      <c r="A200">
        <v>199</v>
      </c>
      <c r="B200">
        <v>16.399999999999999</v>
      </c>
      <c r="C200">
        <v>14</v>
      </c>
      <c r="D200" t="s">
        <v>7</v>
      </c>
      <c r="E200">
        <v>3</v>
      </c>
    </row>
    <row r="201" spans="1:5" x14ac:dyDescent="0.25">
      <c r="A201">
        <v>200</v>
      </c>
      <c r="B201">
        <v>19.5</v>
      </c>
      <c r="C201">
        <v>12</v>
      </c>
      <c r="D201" t="s">
        <v>7</v>
      </c>
      <c r="E201">
        <v>3</v>
      </c>
    </row>
    <row r="202" spans="1:5" x14ac:dyDescent="0.25">
      <c r="A202">
        <v>201</v>
      </c>
      <c r="B202">
        <v>21.2</v>
      </c>
      <c r="C202">
        <v>1</v>
      </c>
      <c r="D202" t="s">
        <v>7</v>
      </c>
      <c r="E202">
        <v>3</v>
      </c>
    </row>
    <row r="203" spans="1:5" x14ac:dyDescent="0.25">
      <c r="A203">
        <v>202</v>
      </c>
      <c r="B203">
        <v>21.3</v>
      </c>
      <c r="C203">
        <v>11</v>
      </c>
      <c r="D203" t="s">
        <v>7</v>
      </c>
      <c r="E203">
        <v>4</v>
      </c>
    </row>
    <row r="204" spans="1:5" x14ac:dyDescent="0.25">
      <c r="A204">
        <v>203</v>
      </c>
      <c r="B204">
        <v>20.100000000000001</v>
      </c>
      <c r="C204">
        <v>6</v>
      </c>
      <c r="D204" t="s">
        <v>7</v>
      </c>
      <c r="E204">
        <v>4</v>
      </c>
    </row>
    <row r="205" spans="1:5" x14ac:dyDescent="0.25">
      <c r="A205">
        <v>204</v>
      </c>
      <c r="B205">
        <v>18.399999999999999</v>
      </c>
      <c r="C205">
        <v>3</v>
      </c>
      <c r="D205" t="s">
        <v>7</v>
      </c>
      <c r="E205">
        <v>4</v>
      </c>
    </row>
    <row r="206" spans="1:5" x14ac:dyDescent="0.25">
      <c r="A206">
        <v>205</v>
      </c>
      <c r="B206">
        <v>17.100000000000001</v>
      </c>
      <c r="C206">
        <v>15</v>
      </c>
      <c r="D206" t="s">
        <v>7</v>
      </c>
      <c r="E206">
        <v>5</v>
      </c>
    </row>
    <row r="207" spans="1:5" x14ac:dyDescent="0.25">
      <c r="A207">
        <v>206</v>
      </c>
      <c r="B207">
        <v>16.899999999999999</v>
      </c>
      <c r="C207">
        <v>16</v>
      </c>
      <c r="D207" t="s">
        <v>7</v>
      </c>
      <c r="E207">
        <v>5</v>
      </c>
    </row>
    <row r="208" spans="1:5" x14ac:dyDescent="0.25">
      <c r="A208">
        <v>207</v>
      </c>
      <c r="B208">
        <v>18.2</v>
      </c>
      <c r="C208">
        <v>17</v>
      </c>
      <c r="D208" t="s">
        <v>7</v>
      </c>
      <c r="E208">
        <v>5</v>
      </c>
    </row>
    <row r="209" spans="1:5" x14ac:dyDescent="0.25">
      <c r="A209">
        <v>208</v>
      </c>
      <c r="B209">
        <v>20.7</v>
      </c>
      <c r="C209">
        <v>18</v>
      </c>
      <c r="D209" t="s">
        <v>7</v>
      </c>
      <c r="E209">
        <v>5</v>
      </c>
    </row>
    <row r="210" spans="1:5" x14ac:dyDescent="0.25">
      <c r="A210">
        <v>209</v>
      </c>
      <c r="B210">
        <v>24</v>
      </c>
      <c r="C210">
        <v>13</v>
      </c>
      <c r="D210" t="s">
        <v>7</v>
      </c>
      <c r="E210">
        <v>5</v>
      </c>
    </row>
    <row r="211" spans="1:5" x14ac:dyDescent="0.25">
      <c r="A211">
        <v>210</v>
      </c>
      <c r="B211">
        <v>27.2</v>
      </c>
      <c r="C211">
        <v>27</v>
      </c>
      <c r="D211" t="s">
        <v>7</v>
      </c>
      <c r="E211">
        <v>5</v>
      </c>
    </row>
    <row r="212" spans="1:5" x14ac:dyDescent="0.25">
      <c r="A212">
        <v>211</v>
      </c>
      <c r="B212">
        <v>29.4</v>
      </c>
      <c r="C212">
        <v>0</v>
      </c>
      <c r="D212" t="s">
        <v>5</v>
      </c>
      <c r="E212">
        <v>0</v>
      </c>
    </row>
    <row r="213" spans="1:5" x14ac:dyDescent="0.25">
      <c r="A213">
        <v>212</v>
      </c>
      <c r="B213">
        <v>29.9</v>
      </c>
      <c r="C213">
        <v>2</v>
      </c>
      <c r="D213" t="s">
        <v>6</v>
      </c>
      <c r="E213">
        <v>1</v>
      </c>
    </row>
    <row r="214" spans="1:5" x14ac:dyDescent="0.25">
      <c r="A214">
        <v>213</v>
      </c>
      <c r="B214">
        <v>28.8</v>
      </c>
      <c r="C214">
        <v>4</v>
      </c>
      <c r="D214" t="s">
        <v>6</v>
      </c>
      <c r="E214">
        <v>1</v>
      </c>
    </row>
    <row r="215" spans="1:5" x14ac:dyDescent="0.25">
      <c r="A215">
        <v>214</v>
      </c>
      <c r="B215">
        <v>26.2</v>
      </c>
      <c r="C215">
        <v>2</v>
      </c>
      <c r="D215" t="s">
        <v>6</v>
      </c>
      <c r="E215">
        <v>1</v>
      </c>
    </row>
    <row r="216" spans="1:5" x14ac:dyDescent="0.25">
      <c r="A216">
        <v>215</v>
      </c>
      <c r="B216">
        <v>23.1</v>
      </c>
      <c r="C216">
        <v>11</v>
      </c>
      <c r="D216" t="s">
        <v>6</v>
      </c>
      <c r="E216">
        <v>1</v>
      </c>
    </row>
    <row r="217" spans="1:5" x14ac:dyDescent="0.25">
      <c r="A217">
        <v>216</v>
      </c>
      <c r="B217">
        <v>20.3</v>
      </c>
      <c r="C217">
        <v>1</v>
      </c>
      <c r="D217" t="s">
        <v>6</v>
      </c>
      <c r="E217">
        <v>2</v>
      </c>
    </row>
    <row r="218" spans="1:5" x14ac:dyDescent="0.25">
      <c r="A218">
        <v>217</v>
      </c>
      <c r="B218">
        <v>18.5</v>
      </c>
      <c r="C218">
        <v>7</v>
      </c>
      <c r="D218" t="s">
        <v>6</v>
      </c>
      <c r="E218">
        <v>2</v>
      </c>
    </row>
    <row r="219" spans="1:5" x14ac:dyDescent="0.25">
      <c r="A219">
        <v>218</v>
      </c>
      <c r="B219">
        <v>18.2</v>
      </c>
      <c r="C219">
        <v>10</v>
      </c>
      <c r="D219" t="s">
        <v>6</v>
      </c>
      <c r="E219">
        <v>3</v>
      </c>
    </row>
    <row r="220" spans="1:5" x14ac:dyDescent="0.25">
      <c r="A220">
        <v>219</v>
      </c>
      <c r="B220">
        <v>19.100000000000001</v>
      </c>
      <c r="C220">
        <v>10</v>
      </c>
      <c r="D220" t="s">
        <v>6</v>
      </c>
      <c r="E220">
        <v>3</v>
      </c>
    </row>
    <row r="221" spans="1:5" x14ac:dyDescent="0.25">
      <c r="A221">
        <v>220</v>
      </c>
      <c r="B221">
        <v>20.9</v>
      </c>
      <c r="C221">
        <v>1</v>
      </c>
      <c r="D221" t="s">
        <v>6</v>
      </c>
      <c r="E221">
        <v>3</v>
      </c>
    </row>
    <row r="222" spans="1:5" x14ac:dyDescent="0.25">
      <c r="A222">
        <v>221</v>
      </c>
      <c r="B222">
        <v>22.5</v>
      </c>
      <c r="C222">
        <v>4</v>
      </c>
      <c r="D222" t="s">
        <v>6</v>
      </c>
      <c r="E222">
        <v>4</v>
      </c>
    </row>
    <row r="223" spans="1:5" x14ac:dyDescent="0.25">
      <c r="A223">
        <v>222</v>
      </c>
      <c r="B223">
        <v>23.2</v>
      </c>
      <c r="C223">
        <v>12</v>
      </c>
      <c r="D223" t="s">
        <v>6</v>
      </c>
      <c r="E223">
        <v>4</v>
      </c>
    </row>
    <row r="224" spans="1:5" x14ac:dyDescent="0.25">
      <c r="A224">
        <v>223</v>
      </c>
      <c r="B224">
        <v>22.4</v>
      </c>
      <c r="C224">
        <v>7</v>
      </c>
      <c r="D224" t="s">
        <v>6</v>
      </c>
      <c r="E224">
        <v>4</v>
      </c>
    </row>
    <row r="225" spans="1:5" x14ac:dyDescent="0.25">
      <c r="A225">
        <v>224</v>
      </c>
      <c r="B225">
        <v>20</v>
      </c>
      <c r="C225">
        <v>16</v>
      </c>
      <c r="D225" t="s">
        <v>6</v>
      </c>
      <c r="E225">
        <v>5</v>
      </c>
    </row>
    <row r="226" spans="1:5" x14ac:dyDescent="0.25">
      <c r="A226">
        <v>225</v>
      </c>
      <c r="B226">
        <v>16.399999999999999</v>
      </c>
      <c r="C226">
        <v>24</v>
      </c>
      <c r="D226" t="s">
        <v>6</v>
      </c>
      <c r="E226">
        <v>5</v>
      </c>
    </row>
    <row r="227" spans="1:5" x14ac:dyDescent="0.25">
      <c r="A227">
        <v>226</v>
      </c>
      <c r="B227">
        <v>12.3</v>
      </c>
      <c r="C227">
        <v>0</v>
      </c>
      <c r="D227" t="s">
        <v>5</v>
      </c>
      <c r="E227">
        <v>0</v>
      </c>
    </row>
    <row r="228" spans="1:5" x14ac:dyDescent="0.25">
      <c r="A228">
        <v>227</v>
      </c>
      <c r="B228">
        <v>8.6999999999999993</v>
      </c>
      <c r="C228">
        <v>5</v>
      </c>
      <c r="D228" t="s">
        <v>7</v>
      </c>
      <c r="E228">
        <v>1</v>
      </c>
    </row>
    <row r="229" spans="1:5" x14ac:dyDescent="0.25">
      <c r="A229">
        <v>228</v>
      </c>
      <c r="B229">
        <v>6.4</v>
      </c>
      <c r="C229">
        <v>1</v>
      </c>
      <c r="D229" t="s">
        <v>7</v>
      </c>
      <c r="E229">
        <v>1</v>
      </c>
    </row>
    <row r="230" spans="1:5" x14ac:dyDescent="0.25">
      <c r="A230">
        <v>229</v>
      </c>
      <c r="B230">
        <v>5.6</v>
      </c>
      <c r="C230">
        <v>6</v>
      </c>
      <c r="D230" t="s">
        <v>7</v>
      </c>
      <c r="E230">
        <v>1</v>
      </c>
    </row>
    <row r="231" spans="1:5" x14ac:dyDescent="0.25">
      <c r="A231">
        <v>230</v>
      </c>
      <c r="B231">
        <v>6.4</v>
      </c>
      <c r="C231">
        <v>12</v>
      </c>
      <c r="D231" t="s">
        <v>7</v>
      </c>
      <c r="E231">
        <v>2</v>
      </c>
    </row>
    <row r="232" spans="1:5" x14ac:dyDescent="0.25">
      <c r="A232">
        <v>231</v>
      </c>
      <c r="B232">
        <v>8.1999999999999993</v>
      </c>
      <c r="C232">
        <v>3</v>
      </c>
      <c r="D232" t="s">
        <v>7</v>
      </c>
      <c r="E232">
        <v>2</v>
      </c>
    </row>
    <row r="233" spans="1:5" x14ac:dyDescent="0.25">
      <c r="A233">
        <v>232</v>
      </c>
      <c r="B233">
        <v>10</v>
      </c>
      <c r="C233">
        <v>12</v>
      </c>
      <c r="D233" t="s">
        <v>7</v>
      </c>
      <c r="E233">
        <v>2</v>
      </c>
    </row>
    <row r="234" spans="1:5" x14ac:dyDescent="0.25">
      <c r="A234">
        <v>233</v>
      </c>
      <c r="B234">
        <v>11.1</v>
      </c>
      <c r="C234">
        <v>17</v>
      </c>
      <c r="D234" t="s">
        <v>7</v>
      </c>
      <c r="E234">
        <v>3</v>
      </c>
    </row>
    <row r="235" spans="1:5" x14ac:dyDescent="0.25">
      <c r="A235">
        <v>234</v>
      </c>
      <c r="B235">
        <v>10.9</v>
      </c>
      <c r="C235">
        <v>16</v>
      </c>
      <c r="D235" t="s">
        <v>7</v>
      </c>
      <c r="E235">
        <v>3</v>
      </c>
    </row>
    <row r="236" spans="1:5" x14ac:dyDescent="0.25">
      <c r="A236">
        <v>235</v>
      </c>
      <c r="B236">
        <v>9.3000000000000007</v>
      </c>
      <c r="C236">
        <v>3</v>
      </c>
      <c r="D236" t="s">
        <v>7</v>
      </c>
      <c r="E236">
        <v>3</v>
      </c>
    </row>
    <row r="237" spans="1:5" x14ac:dyDescent="0.25">
      <c r="A237">
        <v>236</v>
      </c>
      <c r="B237">
        <v>6.6</v>
      </c>
      <c r="C237">
        <v>21</v>
      </c>
      <c r="D237" t="s">
        <v>7</v>
      </c>
      <c r="E237">
        <v>4</v>
      </c>
    </row>
    <row r="238" spans="1:5" x14ac:dyDescent="0.25">
      <c r="A238">
        <v>237</v>
      </c>
      <c r="B238">
        <v>3.6</v>
      </c>
      <c r="C238">
        <v>18</v>
      </c>
      <c r="D238" t="s">
        <v>7</v>
      </c>
      <c r="E238">
        <v>4</v>
      </c>
    </row>
    <row r="239" spans="1:5" x14ac:dyDescent="0.25">
      <c r="A239">
        <v>238</v>
      </c>
      <c r="B239">
        <v>1.2</v>
      </c>
      <c r="C239">
        <v>13</v>
      </c>
      <c r="D239" t="s">
        <v>7</v>
      </c>
      <c r="E239">
        <v>4</v>
      </c>
    </row>
    <row r="240" spans="1:5" x14ac:dyDescent="0.25">
      <c r="A240">
        <v>239</v>
      </c>
      <c r="B240">
        <v>0.2</v>
      </c>
      <c r="C240">
        <v>29</v>
      </c>
      <c r="D240" t="s">
        <v>7</v>
      </c>
      <c r="E240">
        <v>5</v>
      </c>
    </row>
    <row r="241" spans="1:5" x14ac:dyDescent="0.25">
      <c r="A241">
        <v>240</v>
      </c>
      <c r="B241">
        <v>0.9</v>
      </c>
      <c r="C241">
        <v>0</v>
      </c>
      <c r="D241" t="s">
        <v>5</v>
      </c>
      <c r="E241">
        <v>0</v>
      </c>
    </row>
    <row r="242" spans="1:5" x14ac:dyDescent="0.25">
      <c r="A242">
        <v>241</v>
      </c>
      <c r="B242">
        <v>3.2</v>
      </c>
      <c r="C242">
        <v>6</v>
      </c>
      <c r="D242" t="s">
        <v>7</v>
      </c>
      <c r="E242">
        <v>1</v>
      </c>
    </row>
    <row r="243" spans="1:5" x14ac:dyDescent="0.25">
      <c r="A243">
        <v>242</v>
      </c>
      <c r="B243">
        <v>6.6</v>
      </c>
      <c r="C243">
        <v>5</v>
      </c>
      <c r="D243" t="s">
        <v>7</v>
      </c>
      <c r="E243">
        <v>1</v>
      </c>
    </row>
    <row r="244" spans="1:5" x14ac:dyDescent="0.25">
      <c r="A244">
        <v>243</v>
      </c>
      <c r="B244">
        <v>10</v>
      </c>
      <c r="C244">
        <v>2</v>
      </c>
      <c r="D244" t="s">
        <v>7</v>
      </c>
      <c r="E244">
        <v>1</v>
      </c>
    </row>
    <row r="245" spans="1:5" x14ac:dyDescent="0.25">
      <c r="A245">
        <v>244</v>
      </c>
      <c r="B245">
        <v>12.7</v>
      </c>
      <c r="C245">
        <v>8</v>
      </c>
      <c r="D245" t="s">
        <v>7</v>
      </c>
      <c r="E245">
        <v>2</v>
      </c>
    </row>
    <row r="246" spans="1:5" x14ac:dyDescent="0.25">
      <c r="A246">
        <v>245</v>
      </c>
      <c r="B246">
        <v>14.1</v>
      </c>
      <c r="C246">
        <v>1</v>
      </c>
      <c r="D246" t="s">
        <v>7</v>
      </c>
      <c r="E246">
        <v>2</v>
      </c>
    </row>
    <row r="247" spans="1:5" x14ac:dyDescent="0.25">
      <c r="A247">
        <v>246</v>
      </c>
      <c r="B247">
        <v>14</v>
      </c>
      <c r="C247">
        <v>11</v>
      </c>
      <c r="D247" t="s">
        <v>7</v>
      </c>
      <c r="E247">
        <v>2</v>
      </c>
    </row>
    <row r="248" spans="1:5" x14ac:dyDescent="0.25">
      <c r="A248">
        <v>247</v>
      </c>
      <c r="B248">
        <v>12.7</v>
      </c>
      <c r="C248">
        <v>13</v>
      </c>
      <c r="D248" t="s">
        <v>7</v>
      </c>
      <c r="E248">
        <v>3</v>
      </c>
    </row>
    <row r="249" spans="1:5" x14ac:dyDescent="0.25">
      <c r="A249">
        <v>248</v>
      </c>
      <c r="B249">
        <v>11.1</v>
      </c>
      <c r="C249">
        <v>18</v>
      </c>
      <c r="D249" t="s">
        <v>7</v>
      </c>
      <c r="E249">
        <v>3</v>
      </c>
    </row>
    <row r="250" spans="1:5" x14ac:dyDescent="0.25">
      <c r="A250">
        <v>249</v>
      </c>
      <c r="B250">
        <v>10</v>
      </c>
      <c r="C250">
        <v>15</v>
      </c>
      <c r="D250" t="s">
        <v>7</v>
      </c>
      <c r="E250">
        <v>3</v>
      </c>
    </row>
    <row r="251" spans="1:5" x14ac:dyDescent="0.25">
      <c r="A251">
        <v>250</v>
      </c>
      <c r="B251">
        <v>10.1</v>
      </c>
      <c r="C251">
        <v>12</v>
      </c>
      <c r="D251" t="s">
        <v>7</v>
      </c>
      <c r="E251">
        <v>4</v>
      </c>
    </row>
    <row r="252" spans="1:5" x14ac:dyDescent="0.25">
      <c r="A252">
        <v>251</v>
      </c>
      <c r="B252">
        <v>11.7</v>
      </c>
      <c r="C252">
        <v>2</v>
      </c>
      <c r="D252" t="s">
        <v>7</v>
      </c>
      <c r="E252">
        <v>4</v>
      </c>
    </row>
    <row r="253" spans="1:5" x14ac:dyDescent="0.25">
      <c r="A253">
        <v>252</v>
      </c>
      <c r="B253">
        <v>14.8</v>
      </c>
      <c r="C253">
        <v>21</v>
      </c>
      <c r="D253" t="s">
        <v>7</v>
      </c>
      <c r="E253">
        <v>4</v>
      </c>
    </row>
    <row r="254" spans="1:5" x14ac:dyDescent="0.25">
      <c r="A254">
        <v>253</v>
      </c>
      <c r="B254">
        <v>18.7</v>
      </c>
      <c r="C254">
        <v>28</v>
      </c>
      <c r="D254" t="s">
        <v>7</v>
      </c>
      <c r="E254">
        <v>5</v>
      </c>
    </row>
    <row r="255" spans="1:5" x14ac:dyDescent="0.25">
      <c r="A255">
        <v>254</v>
      </c>
      <c r="B255">
        <v>22.5</v>
      </c>
      <c r="C255">
        <v>0</v>
      </c>
      <c r="D255" t="s">
        <v>5</v>
      </c>
      <c r="E255">
        <v>0</v>
      </c>
    </row>
    <row r="256" spans="1:5" x14ac:dyDescent="0.25">
      <c r="A256">
        <v>255</v>
      </c>
      <c r="B256">
        <v>25.4</v>
      </c>
      <c r="C256">
        <v>3</v>
      </c>
      <c r="D256" t="s">
        <v>6</v>
      </c>
      <c r="E256">
        <v>1</v>
      </c>
    </row>
    <row r="257" spans="1:5" x14ac:dyDescent="0.25">
      <c r="A257">
        <v>256</v>
      </c>
      <c r="B257">
        <v>26.8</v>
      </c>
      <c r="C257">
        <v>5</v>
      </c>
      <c r="D257" t="s">
        <v>6</v>
      </c>
      <c r="E257">
        <v>1</v>
      </c>
    </row>
    <row r="258" spans="1:5" x14ac:dyDescent="0.25">
      <c r="A258">
        <v>257</v>
      </c>
      <c r="B258">
        <v>26.5</v>
      </c>
      <c r="C258">
        <v>5</v>
      </c>
      <c r="D258" t="s">
        <v>6</v>
      </c>
      <c r="E258">
        <v>1</v>
      </c>
    </row>
    <row r="259" spans="1:5" x14ac:dyDescent="0.25">
      <c r="A259">
        <v>258</v>
      </c>
      <c r="B259">
        <v>24.9</v>
      </c>
      <c r="C259">
        <v>7</v>
      </c>
      <c r="D259" t="s">
        <v>6</v>
      </c>
      <c r="E259">
        <v>2</v>
      </c>
    </row>
    <row r="260" spans="1:5" x14ac:dyDescent="0.25">
      <c r="A260">
        <v>259</v>
      </c>
      <c r="B260">
        <v>22.6</v>
      </c>
      <c r="C260">
        <v>1</v>
      </c>
      <c r="D260" t="s">
        <v>6</v>
      </c>
      <c r="E260">
        <v>2</v>
      </c>
    </row>
    <row r="261" spans="1:5" x14ac:dyDescent="0.25">
      <c r="A261">
        <v>260</v>
      </c>
      <c r="B261">
        <v>20.7</v>
      </c>
      <c r="C261">
        <v>6</v>
      </c>
      <c r="D261" t="s">
        <v>6</v>
      </c>
      <c r="E261">
        <v>2</v>
      </c>
    </row>
    <row r="262" spans="1:5" x14ac:dyDescent="0.25">
      <c r="A262">
        <v>261</v>
      </c>
      <c r="B262">
        <v>19.899999999999999</v>
      </c>
      <c r="C262">
        <v>6</v>
      </c>
      <c r="D262" t="s">
        <v>6</v>
      </c>
      <c r="E262">
        <v>3</v>
      </c>
    </row>
    <row r="263" spans="1:5" x14ac:dyDescent="0.25">
      <c r="A263">
        <v>262</v>
      </c>
      <c r="B263">
        <v>20.399999999999999</v>
      </c>
      <c r="C263">
        <v>10</v>
      </c>
      <c r="D263" t="s">
        <v>6</v>
      </c>
      <c r="E263">
        <v>3</v>
      </c>
    </row>
    <row r="264" spans="1:5" x14ac:dyDescent="0.25">
      <c r="A264">
        <v>263</v>
      </c>
      <c r="B264">
        <v>22.3</v>
      </c>
      <c r="C264">
        <v>16</v>
      </c>
      <c r="D264" t="s">
        <v>6</v>
      </c>
      <c r="E264">
        <v>3</v>
      </c>
    </row>
    <row r="265" spans="1:5" x14ac:dyDescent="0.25">
      <c r="A265">
        <v>264</v>
      </c>
      <c r="B265">
        <v>24.8</v>
      </c>
      <c r="C265">
        <v>9</v>
      </c>
      <c r="D265" t="s">
        <v>6</v>
      </c>
      <c r="E265">
        <v>4</v>
      </c>
    </row>
    <row r="266" spans="1:5" x14ac:dyDescent="0.25">
      <c r="A266">
        <v>265</v>
      </c>
      <c r="B266">
        <v>27.2</v>
      </c>
      <c r="C266">
        <v>18</v>
      </c>
      <c r="D266" t="s">
        <v>6</v>
      </c>
      <c r="E266">
        <v>4</v>
      </c>
    </row>
    <row r="267" spans="1:5" x14ac:dyDescent="0.25">
      <c r="A267">
        <v>266</v>
      </c>
      <c r="B267">
        <v>28.6</v>
      </c>
      <c r="C267">
        <v>4</v>
      </c>
      <c r="D267" t="s">
        <v>6</v>
      </c>
      <c r="E267">
        <v>4</v>
      </c>
    </row>
    <row r="268" spans="1:5" x14ac:dyDescent="0.25">
      <c r="A268">
        <v>267</v>
      </c>
      <c r="B268">
        <v>28.4</v>
      </c>
      <c r="C268">
        <v>22</v>
      </c>
      <c r="D268" t="s">
        <v>6</v>
      </c>
      <c r="E268">
        <v>5</v>
      </c>
    </row>
    <row r="269" spans="1:5" x14ac:dyDescent="0.25">
      <c r="A269">
        <v>268</v>
      </c>
      <c r="B269">
        <v>26.5</v>
      </c>
      <c r="C269">
        <v>0</v>
      </c>
      <c r="D269" t="s">
        <v>5</v>
      </c>
      <c r="E269">
        <v>0</v>
      </c>
    </row>
    <row r="270" spans="1:5" x14ac:dyDescent="0.25">
      <c r="A270">
        <v>269</v>
      </c>
      <c r="B270">
        <v>23.3</v>
      </c>
      <c r="C270">
        <v>4</v>
      </c>
      <c r="D270" t="s">
        <v>6</v>
      </c>
      <c r="E270">
        <v>1</v>
      </c>
    </row>
    <row r="271" spans="1:5" x14ac:dyDescent="0.25">
      <c r="A271">
        <v>270</v>
      </c>
      <c r="B271">
        <v>19.5</v>
      </c>
      <c r="C271">
        <v>6</v>
      </c>
      <c r="D271" t="s">
        <v>6</v>
      </c>
      <c r="E271">
        <v>1</v>
      </c>
    </row>
    <row r="272" spans="1:5" x14ac:dyDescent="0.25">
      <c r="A272">
        <v>271</v>
      </c>
      <c r="B272">
        <v>16</v>
      </c>
      <c r="C272">
        <v>6</v>
      </c>
      <c r="D272" t="s">
        <v>6</v>
      </c>
      <c r="E272">
        <v>1</v>
      </c>
    </row>
    <row r="273" spans="1:5" x14ac:dyDescent="0.25">
      <c r="A273">
        <v>272</v>
      </c>
      <c r="B273">
        <v>13.7</v>
      </c>
      <c r="C273">
        <v>9</v>
      </c>
      <c r="D273" t="s">
        <v>6</v>
      </c>
      <c r="E273">
        <v>2</v>
      </c>
    </row>
    <row r="274" spans="1:5" x14ac:dyDescent="0.25">
      <c r="A274">
        <v>273</v>
      </c>
      <c r="B274">
        <v>12.9</v>
      </c>
      <c r="C274">
        <v>7</v>
      </c>
      <c r="D274" t="s">
        <v>6</v>
      </c>
      <c r="E274">
        <v>2</v>
      </c>
    </row>
    <row r="275" spans="1:5" x14ac:dyDescent="0.25">
      <c r="A275">
        <v>274</v>
      </c>
      <c r="B275">
        <v>13.5</v>
      </c>
      <c r="C275">
        <v>1</v>
      </c>
      <c r="D275" t="s">
        <v>6</v>
      </c>
      <c r="E275">
        <v>2</v>
      </c>
    </row>
    <row r="276" spans="1:5" x14ac:dyDescent="0.25">
      <c r="A276">
        <v>275</v>
      </c>
      <c r="B276">
        <v>15</v>
      </c>
      <c r="C276">
        <v>18</v>
      </c>
      <c r="D276" t="s">
        <v>6</v>
      </c>
      <c r="E276">
        <v>3</v>
      </c>
    </row>
    <row r="277" spans="1:5" x14ac:dyDescent="0.25">
      <c r="A277">
        <v>276</v>
      </c>
      <c r="B277">
        <v>16.399999999999999</v>
      </c>
      <c r="C277">
        <v>13</v>
      </c>
      <c r="D277" t="s">
        <v>6</v>
      </c>
      <c r="E277">
        <v>3</v>
      </c>
    </row>
    <row r="278" spans="1:5" x14ac:dyDescent="0.25">
      <c r="A278">
        <v>277</v>
      </c>
      <c r="B278">
        <v>17.100000000000001</v>
      </c>
      <c r="C278">
        <v>2</v>
      </c>
      <c r="D278" t="s">
        <v>6</v>
      </c>
      <c r="E278">
        <v>3</v>
      </c>
    </row>
    <row r="279" spans="1:5" x14ac:dyDescent="0.25">
      <c r="A279">
        <v>278</v>
      </c>
      <c r="B279">
        <v>16.3</v>
      </c>
      <c r="C279">
        <v>10</v>
      </c>
      <c r="D279" t="s">
        <v>6</v>
      </c>
      <c r="E279">
        <v>4</v>
      </c>
    </row>
    <row r="280" spans="1:5" x14ac:dyDescent="0.25">
      <c r="A280">
        <v>279</v>
      </c>
      <c r="B280">
        <v>14</v>
      </c>
      <c r="C280">
        <v>6</v>
      </c>
      <c r="D280" t="s">
        <v>6</v>
      </c>
      <c r="E280">
        <v>4</v>
      </c>
    </row>
    <row r="281" spans="1:5" x14ac:dyDescent="0.25">
      <c r="A281">
        <v>280</v>
      </c>
      <c r="B281">
        <v>10.5</v>
      </c>
      <c r="C281">
        <v>20</v>
      </c>
      <c r="D281" t="s">
        <v>6</v>
      </c>
      <c r="E281">
        <v>4</v>
      </c>
    </row>
    <row r="282" spans="1:5" x14ac:dyDescent="0.25">
      <c r="A282">
        <v>281</v>
      </c>
      <c r="B282">
        <v>6.7</v>
      </c>
      <c r="C282">
        <v>17</v>
      </c>
      <c r="D282" t="s">
        <v>6</v>
      </c>
      <c r="E282">
        <v>5</v>
      </c>
    </row>
    <row r="283" spans="1:5" x14ac:dyDescent="0.25">
      <c r="A283">
        <v>282</v>
      </c>
      <c r="B283">
        <v>3.5</v>
      </c>
      <c r="C283">
        <v>13</v>
      </c>
      <c r="D283" t="s">
        <v>6</v>
      </c>
      <c r="E283">
        <v>5</v>
      </c>
    </row>
    <row r="284" spans="1:5" x14ac:dyDescent="0.25">
      <c r="A284">
        <v>283</v>
      </c>
      <c r="B284">
        <v>1.6</v>
      </c>
      <c r="C284">
        <v>18</v>
      </c>
      <c r="D284" t="s">
        <v>6</v>
      </c>
      <c r="E284">
        <v>5</v>
      </c>
    </row>
    <row r="285" spans="1:5" x14ac:dyDescent="0.25">
      <c r="A285">
        <v>284</v>
      </c>
      <c r="B285">
        <v>1.4</v>
      </c>
      <c r="C285">
        <v>20</v>
      </c>
      <c r="D285" t="s">
        <v>6</v>
      </c>
      <c r="E285">
        <v>5</v>
      </c>
    </row>
    <row r="286" spans="1:5" x14ac:dyDescent="0.25">
      <c r="A286">
        <v>285</v>
      </c>
      <c r="B286">
        <v>2.8</v>
      </c>
      <c r="C286">
        <v>0</v>
      </c>
      <c r="D286" t="s">
        <v>5</v>
      </c>
      <c r="E286">
        <v>0</v>
      </c>
    </row>
    <row r="287" spans="1:5" x14ac:dyDescent="0.25">
      <c r="A287">
        <v>286</v>
      </c>
      <c r="B287">
        <v>5.2</v>
      </c>
      <c r="C287">
        <v>6</v>
      </c>
      <c r="D287" t="s">
        <v>7</v>
      </c>
      <c r="E287">
        <v>1</v>
      </c>
    </row>
    <row r="288" spans="1:5" x14ac:dyDescent="0.25">
      <c r="A288">
        <v>287</v>
      </c>
      <c r="B288">
        <v>7.7</v>
      </c>
      <c r="C288">
        <v>5</v>
      </c>
      <c r="D288" t="s">
        <v>7</v>
      </c>
      <c r="E288">
        <v>1</v>
      </c>
    </row>
    <row r="289" spans="1:5" x14ac:dyDescent="0.25">
      <c r="A289">
        <v>288</v>
      </c>
      <c r="B289">
        <v>9.6</v>
      </c>
      <c r="C289">
        <v>1</v>
      </c>
      <c r="D289" t="s">
        <v>7</v>
      </c>
      <c r="E289">
        <v>1</v>
      </c>
    </row>
    <row r="290" spans="1:5" x14ac:dyDescent="0.25">
      <c r="A290">
        <v>289</v>
      </c>
      <c r="B290">
        <v>10.1</v>
      </c>
      <c r="C290">
        <v>8</v>
      </c>
      <c r="D290" t="s">
        <v>7</v>
      </c>
      <c r="E290">
        <v>2</v>
      </c>
    </row>
    <row r="291" spans="1:5" x14ac:dyDescent="0.25">
      <c r="A291">
        <v>290</v>
      </c>
      <c r="B291">
        <v>9.3000000000000007</v>
      </c>
      <c r="C291">
        <v>3</v>
      </c>
      <c r="D291" t="s">
        <v>7</v>
      </c>
      <c r="E291">
        <v>2</v>
      </c>
    </row>
    <row r="292" spans="1:5" x14ac:dyDescent="0.25">
      <c r="A292">
        <v>291</v>
      </c>
      <c r="B292">
        <v>7.4</v>
      </c>
      <c r="C292">
        <v>5</v>
      </c>
      <c r="D292" t="s">
        <v>7</v>
      </c>
      <c r="E292">
        <v>2</v>
      </c>
    </row>
    <row r="293" spans="1:5" x14ac:dyDescent="0.25">
      <c r="A293">
        <v>292</v>
      </c>
      <c r="B293">
        <v>5.0999999999999996</v>
      </c>
      <c r="C293">
        <v>17</v>
      </c>
      <c r="D293" t="s">
        <v>7</v>
      </c>
      <c r="E293">
        <v>3</v>
      </c>
    </row>
    <row r="294" spans="1:5" x14ac:dyDescent="0.25">
      <c r="A294">
        <v>293</v>
      </c>
      <c r="B294">
        <v>3.5</v>
      </c>
      <c r="C294">
        <v>9</v>
      </c>
      <c r="D294" t="s">
        <v>7</v>
      </c>
      <c r="E294">
        <v>3</v>
      </c>
    </row>
    <row r="295" spans="1:5" x14ac:dyDescent="0.25">
      <c r="A295">
        <v>294</v>
      </c>
      <c r="B295">
        <v>3.2</v>
      </c>
      <c r="C295">
        <v>4</v>
      </c>
      <c r="D295" t="s">
        <v>7</v>
      </c>
      <c r="E295">
        <v>3</v>
      </c>
    </row>
    <row r="296" spans="1:5" x14ac:dyDescent="0.25">
      <c r="A296">
        <v>295</v>
      </c>
      <c r="B296">
        <v>4.5999999999999996</v>
      </c>
      <c r="C296">
        <v>24</v>
      </c>
      <c r="D296" t="s">
        <v>7</v>
      </c>
      <c r="E296">
        <v>4</v>
      </c>
    </row>
    <row r="297" spans="1:5" x14ac:dyDescent="0.25">
      <c r="A297">
        <v>296</v>
      </c>
      <c r="B297">
        <v>7.5</v>
      </c>
      <c r="C297">
        <v>21</v>
      </c>
      <c r="D297" t="s">
        <v>7</v>
      </c>
      <c r="E297">
        <v>4</v>
      </c>
    </row>
    <row r="298" spans="1:5" x14ac:dyDescent="0.25">
      <c r="A298">
        <v>297</v>
      </c>
      <c r="B298">
        <v>11.3</v>
      </c>
      <c r="C298">
        <v>8</v>
      </c>
      <c r="D298" t="s">
        <v>7</v>
      </c>
      <c r="E298">
        <v>5</v>
      </c>
    </row>
    <row r="299" spans="1:5" x14ac:dyDescent="0.25">
      <c r="A299">
        <v>298</v>
      </c>
      <c r="B299">
        <v>15.2</v>
      </c>
      <c r="C299">
        <v>23</v>
      </c>
      <c r="D299" t="s">
        <v>7</v>
      </c>
      <c r="E299">
        <v>5</v>
      </c>
    </row>
    <row r="300" spans="1:5" x14ac:dyDescent="0.25">
      <c r="A300">
        <v>299</v>
      </c>
      <c r="B300">
        <v>18.3</v>
      </c>
      <c r="C300">
        <v>0</v>
      </c>
      <c r="D300" t="s">
        <v>5</v>
      </c>
      <c r="E300">
        <v>0</v>
      </c>
    </row>
    <row r="301" spans="1:5" x14ac:dyDescent="0.25">
      <c r="A301">
        <v>300</v>
      </c>
      <c r="B301">
        <v>19.899999999999999</v>
      </c>
      <c r="C301">
        <v>5</v>
      </c>
      <c r="D301" t="s">
        <v>6</v>
      </c>
      <c r="E301">
        <v>1</v>
      </c>
    </row>
    <row r="302" spans="1:5" x14ac:dyDescent="0.25">
      <c r="A302">
        <v>301</v>
      </c>
      <c r="B302">
        <v>20</v>
      </c>
      <c r="C302">
        <v>4</v>
      </c>
      <c r="D302" t="s">
        <v>5</v>
      </c>
      <c r="E302">
        <v>0</v>
      </c>
    </row>
    <row r="303" spans="1:5" x14ac:dyDescent="0.25">
      <c r="A303">
        <v>302</v>
      </c>
      <c r="B303">
        <v>18.899999999999999</v>
      </c>
      <c r="C303">
        <v>5</v>
      </c>
      <c r="D303" t="s">
        <v>5</v>
      </c>
      <c r="E303">
        <v>0</v>
      </c>
    </row>
    <row r="304" spans="1:5" x14ac:dyDescent="0.25">
      <c r="A304">
        <v>303</v>
      </c>
      <c r="B304">
        <v>17.3</v>
      </c>
      <c r="C304">
        <v>2</v>
      </c>
      <c r="D304" t="s">
        <v>5</v>
      </c>
      <c r="E304">
        <v>0</v>
      </c>
    </row>
    <row r="305" spans="1:5" x14ac:dyDescent="0.25">
      <c r="A305">
        <v>304</v>
      </c>
      <c r="B305">
        <v>16</v>
      </c>
      <c r="C305">
        <v>7</v>
      </c>
      <c r="D305" t="s">
        <v>5</v>
      </c>
      <c r="E305">
        <v>0</v>
      </c>
    </row>
    <row r="306" spans="1:5" x14ac:dyDescent="0.25">
      <c r="A306">
        <v>305</v>
      </c>
      <c r="B306">
        <v>15.9</v>
      </c>
      <c r="C306">
        <v>4</v>
      </c>
      <c r="D306" t="s">
        <v>5</v>
      </c>
      <c r="E306">
        <v>0</v>
      </c>
    </row>
    <row r="307" spans="1:5" x14ac:dyDescent="0.25">
      <c r="A307">
        <v>306</v>
      </c>
      <c r="B307">
        <v>17.3</v>
      </c>
      <c r="C307">
        <v>17</v>
      </c>
      <c r="D307" t="s">
        <v>5</v>
      </c>
      <c r="E307">
        <v>0</v>
      </c>
    </row>
    <row r="308" spans="1:5" x14ac:dyDescent="0.25">
      <c r="A308">
        <v>307</v>
      </c>
      <c r="B308">
        <v>20</v>
      </c>
      <c r="C308">
        <v>14</v>
      </c>
      <c r="D308" t="s">
        <v>5</v>
      </c>
      <c r="E308">
        <v>0</v>
      </c>
    </row>
    <row r="309" spans="1:5" x14ac:dyDescent="0.25">
      <c r="A309">
        <v>308</v>
      </c>
      <c r="B309">
        <v>23.4</v>
      </c>
      <c r="C309">
        <v>9</v>
      </c>
      <c r="D309" t="s">
        <v>5</v>
      </c>
      <c r="E309">
        <v>0</v>
      </c>
    </row>
    <row r="310" spans="1:5" x14ac:dyDescent="0.25">
      <c r="A310">
        <v>309</v>
      </c>
      <c r="B310">
        <v>26.8</v>
      </c>
      <c r="C310">
        <v>6</v>
      </c>
      <c r="D310" t="s">
        <v>5</v>
      </c>
      <c r="E310">
        <v>0</v>
      </c>
    </row>
    <row r="311" spans="1:5" x14ac:dyDescent="0.25">
      <c r="A311">
        <v>310</v>
      </c>
      <c r="B311">
        <v>29.1</v>
      </c>
      <c r="C311">
        <v>16</v>
      </c>
      <c r="D311" t="s">
        <v>5</v>
      </c>
      <c r="E311">
        <v>0</v>
      </c>
    </row>
    <row r="312" spans="1:5" x14ac:dyDescent="0.25">
      <c r="A312">
        <v>311</v>
      </c>
      <c r="B312">
        <v>29.8</v>
      </c>
      <c r="C312">
        <v>2</v>
      </c>
      <c r="D312" t="s">
        <v>5</v>
      </c>
      <c r="E312">
        <v>0</v>
      </c>
    </row>
    <row r="313" spans="1:5" x14ac:dyDescent="0.25">
      <c r="A313">
        <v>312</v>
      </c>
      <c r="B313">
        <v>28.8</v>
      </c>
      <c r="C313">
        <v>25</v>
      </c>
      <c r="D313" t="s">
        <v>5</v>
      </c>
      <c r="E313">
        <v>0</v>
      </c>
    </row>
    <row r="314" spans="1:5" x14ac:dyDescent="0.25">
      <c r="A314">
        <v>313</v>
      </c>
      <c r="B314">
        <v>26.4</v>
      </c>
      <c r="C314">
        <v>0</v>
      </c>
      <c r="D314" t="s">
        <v>5</v>
      </c>
      <c r="E314">
        <v>0</v>
      </c>
    </row>
    <row r="315" spans="1:5" x14ac:dyDescent="0.25">
      <c r="A315">
        <v>314</v>
      </c>
      <c r="B315">
        <v>23.4</v>
      </c>
      <c r="C315">
        <v>3</v>
      </c>
      <c r="D315" t="s">
        <v>5</v>
      </c>
      <c r="E315">
        <v>0</v>
      </c>
    </row>
    <row r="316" spans="1:5" x14ac:dyDescent="0.25">
      <c r="A316">
        <v>315</v>
      </c>
      <c r="B316">
        <v>20.7</v>
      </c>
      <c r="C316">
        <v>4</v>
      </c>
      <c r="D316" t="s">
        <v>5</v>
      </c>
      <c r="E316">
        <v>0</v>
      </c>
    </row>
    <row r="317" spans="1:5" x14ac:dyDescent="0.25">
      <c r="A317">
        <v>316</v>
      </c>
      <c r="B317">
        <v>19.100000000000001</v>
      </c>
      <c r="C317">
        <v>6</v>
      </c>
      <c r="D317" t="s">
        <v>5</v>
      </c>
      <c r="E317">
        <v>0</v>
      </c>
    </row>
    <row r="318" spans="1:5" x14ac:dyDescent="0.25">
      <c r="A318">
        <v>317</v>
      </c>
      <c r="B318">
        <v>18.899999999999999</v>
      </c>
      <c r="C318">
        <v>6</v>
      </c>
      <c r="D318" t="s">
        <v>5</v>
      </c>
      <c r="E318">
        <v>0</v>
      </c>
    </row>
    <row r="319" spans="1:5" x14ac:dyDescent="0.25">
      <c r="A319">
        <v>318</v>
      </c>
      <c r="B319">
        <v>20</v>
      </c>
      <c r="C319">
        <v>5</v>
      </c>
      <c r="D319" t="s">
        <v>5</v>
      </c>
      <c r="E319">
        <v>0</v>
      </c>
    </row>
    <row r="320" spans="1:5" x14ac:dyDescent="0.25">
      <c r="A320">
        <v>319</v>
      </c>
      <c r="B320">
        <v>21.8</v>
      </c>
      <c r="C320">
        <v>4</v>
      </c>
      <c r="D320" t="s">
        <v>5</v>
      </c>
      <c r="E320">
        <v>0</v>
      </c>
    </row>
    <row r="321" spans="1:5" x14ac:dyDescent="0.25">
      <c r="A321">
        <v>320</v>
      </c>
      <c r="B321">
        <v>23.6</v>
      </c>
      <c r="C321">
        <v>7</v>
      </c>
      <c r="D321" t="s">
        <v>5</v>
      </c>
      <c r="E321">
        <v>0</v>
      </c>
    </row>
    <row r="322" spans="1:5" x14ac:dyDescent="0.25">
      <c r="A322">
        <v>321</v>
      </c>
      <c r="B322">
        <v>24.4</v>
      </c>
      <c r="C322">
        <v>12</v>
      </c>
      <c r="D322" t="s">
        <v>5</v>
      </c>
      <c r="E322">
        <v>0</v>
      </c>
    </row>
    <row r="323" spans="1:5" x14ac:dyDescent="0.25">
      <c r="A323">
        <v>322</v>
      </c>
      <c r="B323">
        <v>23.6</v>
      </c>
      <c r="C323">
        <v>5</v>
      </c>
      <c r="D323" t="s">
        <v>5</v>
      </c>
      <c r="E323">
        <v>0</v>
      </c>
    </row>
    <row r="324" spans="1:5" x14ac:dyDescent="0.25">
      <c r="A324">
        <v>323</v>
      </c>
      <c r="B324">
        <v>21.3</v>
      </c>
      <c r="C324">
        <v>3</v>
      </c>
      <c r="D324" t="s">
        <v>5</v>
      </c>
      <c r="E324">
        <v>0</v>
      </c>
    </row>
    <row r="325" spans="1:5" x14ac:dyDescent="0.25">
      <c r="A325">
        <v>324</v>
      </c>
      <c r="B325">
        <v>17.7</v>
      </c>
      <c r="C325">
        <v>21</v>
      </c>
      <c r="D325" t="s">
        <v>5</v>
      </c>
      <c r="E325">
        <v>0</v>
      </c>
    </row>
    <row r="326" spans="1:5" x14ac:dyDescent="0.25">
      <c r="A326">
        <v>325</v>
      </c>
      <c r="B326">
        <v>13.6</v>
      </c>
      <c r="C326">
        <v>18</v>
      </c>
      <c r="D326" t="s">
        <v>5</v>
      </c>
      <c r="E326">
        <v>0</v>
      </c>
    </row>
    <row r="327" spans="1:5" x14ac:dyDescent="0.25">
      <c r="A327">
        <v>326</v>
      </c>
      <c r="B327">
        <v>10</v>
      </c>
      <c r="C327">
        <v>13</v>
      </c>
      <c r="D327" t="s">
        <v>5</v>
      </c>
      <c r="E327">
        <v>0</v>
      </c>
    </row>
    <row r="328" spans="1:5" x14ac:dyDescent="0.25">
      <c r="A328">
        <v>327</v>
      </c>
      <c r="B328">
        <v>7.6</v>
      </c>
      <c r="C328">
        <v>28</v>
      </c>
      <c r="D328" t="s">
        <v>5</v>
      </c>
      <c r="E328">
        <v>0</v>
      </c>
    </row>
    <row r="329" spans="1:5" x14ac:dyDescent="0.25">
      <c r="A329">
        <v>328</v>
      </c>
      <c r="B329">
        <v>6.8</v>
      </c>
      <c r="C329">
        <v>0</v>
      </c>
      <c r="D329" t="s">
        <v>5</v>
      </c>
      <c r="E329">
        <v>0</v>
      </c>
    </row>
    <row r="330" spans="1:5" x14ac:dyDescent="0.25">
      <c r="A330">
        <v>329</v>
      </c>
      <c r="B330">
        <v>7.5</v>
      </c>
      <c r="C330">
        <v>2</v>
      </c>
      <c r="D330" t="s">
        <v>5</v>
      </c>
      <c r="E330">
        <v>0</v>
      </c>
    </row>
    <row r="331" spans="1:5" x14ac:dyDescent="0.25">
      <c r="A331">
        <v>330</v>
      </c>
      <c r="B331">
        <v>9.1</v>
      </c>
      <c r="C331">
        <v>2</v>
      </c>
      <c r="D331" t="s">
        <v>5</v>
      </c>
      <c r="E331">
        <v>0</v>
      </c>
    </row>
    <row r="332" spans="1:5" x14ac:dyDescent="0.25">
      <c r="A332">
        <v>331</v>
      </c>
      <c r="B332">
        <v>10.9</v>
      </c>
      <c r="C332">
        <v>6</v>
      </c>
      <c r="D332" t="s">
        <v>5</v>
      </c>
      <c r="E332">
        <v>0</v>
      </c>
    </row>
    <row r="333" spans="1:5" x14ac:dyDescent="0.25">
      <c r="A333">
        <v>332</v>
      </c>
      <c r="B333">
        <v>11.8</v>
      </c>
      <c r="C333">
        <v>11</v>
      </c>
      <c r="D333" t="s">
        <v>5</v>
      </c>
      <c r="E333">
        <v>0</v>
      </c>
    </row>
    <row r="334" spans="1:5" x14ac:dyDescent="0.25">
      <c r="A334">
        <v>333</v>
      </c>
      <c r="B334">
        <v>11.5</v>
      </c>
      <c r="C334">
        <v>9</v>
      </c>
      <c r="D334" t="s">
        <v>5</v>
      </c>
      <c r="E334">
        <v>0</v>
      </c>
    </row>
    <row r="335" spans="1:5" x14ac:dyDescent="0.25">
      <c r="A335">
        <v>334</v>
      </c>
      <c r="B335">
        <v>9.6999999999999993</v>
      </c>
      <c r="C335">
        <v>7</v>
      </c>
      <c r="D335" t="s">
        <v>5</v>
      </c>
      <c r="E335">
        <v>0</v>
      </c>
    </row>
    <row r="336" spans="1:5" x14ac:dyDescent="0.25">
      <c r="A336">
        <v>335</v>
      </c>
      <c r="B336">
        <v>6.9</v>
      </c>
      <c r="C336">
        <v>17</v>
      </c>
      <c r="D336" t="s">
        <v>5</v>
      </c>
      <c r="E336">
        <v>0</v>
      </c>
    </row>
    <row r="337" spans="1:5" x14ac:dyDescent="0.25">
      <c r="A337">
        <v>336</v>
      </c>
      <c r="B337">
        <v>3.8</v>
      </c>
      <c r="C337">
        <v>1</v>
      </c>
      <c r="D337" t="s">
        <v>5</v>
      </c>
      <c r="E337">
        <v>0</v>
      </c>
    </row>
    <row r="338" spans="1:5" x14ac:dyDescent="0.25">
      <c r="A338">
        <v>337</v>
      </c>
      <c r="B338">
        <v>1.2</v>
      </c>
      <c r="C338">
        <v>2</v>
      </c>
      <c r="D338" t="s">
        <v>5</v>
      </c>
      <c r="E338">
        <v>0</v>
      </c>
    </row>
    <row r="339" spans="1:5" x14ac:dyDescent="0.25">
      <c r="A339">
        <v>338</v>
      </c>
      <c r="B339">
        <v>0.1</v>
      </c>
      <c r="C339">
        <v>15</v>
      </c>
      <c r="D339" t="s">
        <v>5</v>
      </c>
      <c r="E339">
        <v>0</v>
      </c>
    </row>
    <row r="340" spans="1:5" x14ac:dyDescent="0.25">
      <c r="A340">
        <v>339</v>
      </c>
      <c r="B340">
        <v>0.6</v>
      </c>
      <c r="C340">
        <v>21</v>
      </c>
      <c r="D340" t="s">
        <v>5</v>
      </c>
      <c r="E340">
        <v>0</v>
      </c>
    </row>
    <row r="341" spans="1:5" x14ac:dyDescent="0.25">
      <c r="A341">
        <v>340</v>
      </c>
      <c r="B341">
        <v>2.8</v>
      </c>
      <c r="C341">
        <v>8</v>
      </c>
      <c r="D341" t="s">
        <v>5</v>
      </c>
      <c r="E341">
        <v>0</v>
      </c>
    </row>
    <row r="342" spans="1:5" x14ac:dyDescent="0.25">
      <c r="A342">
        <v>341</v>
      </c>
      <c r="B342">
        <v>6</v>
      </c>
      <c r="C342">
        <v>27</v>
      </c>
      <c r="D342" t="s">
        <v>5</v>
      </c>
      <c r="E342">
        <v>0</v>
      </c>
    </row>
    <row r="343" spans="1:5" x14ac:dyDescent="0.25">
      <c r="A343">
        <v>342</v>
      </c>
      <c r="B343">
        <v>9.3000000000000007</v>
      </c>
      <c r="C343">
        <v>0</v>
      </c>
      <c r="D343" t="s">
        <v>5</v>
      </c>
      <c r="E343">
        <v>0</v>
      </c>
    </row>
    <row r="344" spans="1:5" x14ac:dyDescent="0.25">
      <c r="A344">
        <v>343</v>
      </c>
      <c r="B344">
        <v>11.8</v>
      </c>
      <c r="C344">
        <v>1</v>
      </c>
      <c r="D344" t="s">
        <v>5</v>
      </c>
      <c r="E344">
        <v>0</v>
      </c>
    </row>
    <row r="345" spans="1:5" x14ac:dyDescent="0.25">
      <c r="A345">
        <v>344</v>
      </c>
      <c r="B345">
        <v>13.1</v>
      </c>
      <c r="C345">
        <v>4</v>
      </c>
      <c r="D345" t="s">
        <v>5</v>
      </c>
      <c r="E345">
        <v>0</v>
      </c>
    </row>
    <row r="346" spans="1:5" x14ac:dyDescent="0.25">
      <c r="A346">
        <v>345</v>
      </c>
      <c r="B346">
        <v>12.9</v>
      </c>
      <c r="C346">
        <v>1</v>
      </c>
      <c r="D346" t="s">
        <v>5</v>
      </c>
      <c r="E346">
        <v>0</v>
      </c>
    </row>
    <row r="347" spans="1:5" x14ac:dyDescent="0.25">
      <c r="A347">
        <v>346</v>
      </c>
      <c r="B347">
        <v>11.6</v>
      </c>
      <c r="C347">
        <v>2</v>
      </c>
      <c r="D347" t="s">
        <v>5</v>
      </c>
      <c r="E347">
        <v>0</v>
      </c>
    </row>
    <row r="348" spans="1:5" x14ac:dyDescent="0.25">
      <c r="A348">
        <v>347</v>
      </c>
      <c r="B348">
        <v>9.9</v>
      </c>
      <c r="C348">
        <v>3</v>
      </c>
      <c r="D348" t="s">
        <v>5</v>
      </c>
      <c r="E348">
        <v>0</v>
      </c>
    </row>
    <row r="349" spans="1:5" x14ac:dyDescent="0.25">
      <c r="A349">
        <v>348</v>
      </c>
      <c r="B349">
        <v>8.6999999999999993</v>
      </c>
      <c r="C349">
        <v>8</v>
      </c>
      <c r="D349" t="s">
        <v>5</v>
      </c>
      <c r="E349">
        <v>0</v>
      </c>
    </row>
    <row r="350" spans="1:5" x14ac:dyDescent="0.25">
      <c r="A350">
        <v>349</v>
      </c>
      <c r="B350">
        <v>8.8000000000000007</v>
      </c>
      <c r="C350">
        <v>18</v>
      </c>
      <c r="D350" t="s">
        <v>5</v>
      </c>
      <c r="E350">
        <v>0</v>
      </c>
    </row>
    <row r="351" spans="1:5" x14ac:dyDescent="0.25">
      <c r="A351">
        <v>350</v>
      </c>
      <c r="B351">
        <v>10.5</v>
      </c>
      <c r="C351">
        <v>15</v>
      </c>
      <c r="D351" t="s">
        <v>5</v>
      </c>
      <c r="E351">
        <v>0</v>
      </c>
    </row>
    <row r="352" spans="1:5" x14ac:dyDescent="0.25">
      <c r="A352">
        <v>351</v>
      </c>
      <c r="B352">
        <v>13.5</v>
      </c>
      <c r="C352">
        <v>1</v>
      </c>
      <c r="D352" t="s">
        <v>5</v>
      </c>
      <c r="E352">
        <v>0</v>
      </c>
    </row>
    <row r="353" spans="1:5" x14ac:dyDescent="0.25">
      <c r="A353">
        <v>352</v>
      </c>
      <c r="B353">
        <v>17.5</v>
      </c>
      <c r="C353">
        <v>22</v>
      </c>
      <c r="D353" t="s">
        <v>5</v>
      </c>
      <c r="E353">
        <v>0</v>
      </c>
    </row>
    <row r="354" spans="1:5" x14ac:dyDescent="0.25">
      <c r="A354">
        <v>353</v>
      </c>
      <c r="B354">
        <v>21.4</v>
      </c>
      <c r="C354">
        <v>4</v>
      </c>
      <c r="D354" t="s">
        <v>5</v>
      </c>
      <c r="E354">
        <v>0</v>
      </c>
    </row>
    <row r="355" spans="1:5" x14ac:dyDescent="0.25">
      <c r="A355">
        <v>354</v>
      </c>
      <c r="B355">
        <v>24.4</v>
      </c>
      <c r="C355">
        <v>4</v>
      </c>
      <c r="D355" t="s">
        <v>5</v>
      </c>
      <c r="E355">
        <v>0</v>
      </c>
    </row>
    <row r="356" spans="1:5" x14ac:dyDescent="0.25">
      <c r="A356">
        <v>355</v>
      </c>
      <c r="B356">
        <v>25.8</v>
      </c>
      <c r="C356">
        <v>11</v>
      </c>
      <c r="D356" t="s">
        <v>5</v>
      </c>
      <c r="E356">
        <v>0</v>
      </c>
    </row>
    <row r="357" spans="1:5" x14ac:dyDescent="0.25">
      <c r="A357">
        <v>356</v>
      </c>
      <c r="B357">
        <v>25.6</v>
      </c>
      <c r="C357">
        <v>25</v>
      </c>
      <c r="D357" t="s">
        <v>5</v>
      </c>
      <c r="E357">
        <v>0</v>
      </c>
    </row>
    <row r="358" spans="1:5" x14ac:dyDescent="0.25">
      <c r="A358">
        <v>357</v>
      </c>
      <c r="B358">
        <v>24.1</v>
      </c>
      <c r="C358">
        <v>0</v>
      </c>
      <c r="D358" t="s">
        <v>5</v>
      </c>
      <c r="E358">
        <v>0</v>
      </c>
    </row>
    <row r="359" spans="1:5" x14ac:dyDescent="0.25">
      <c r="A359">
        <v>358</v>
      </c>
      <c r="B359">
        <v>22</v>
      </c>
      <c r="C359">
        <v>4</v>
      </c>
      <c r="D359" t="s">
        <v>5</v>
      </c>
      <c r="E359">
        <v>0</v>
      </c>
    </row>
    <row r="360" spans="1:5" x14ac:dyDescent="0.25">
      <c r="A360">
        <v>359</v>
      </c>
      <c r="B360">
        <v>20.3</v>
      </c>
      <c r="C360">
        <v>4</v>
      </c>
      <c r="D360" t="s">
        <v>5</v>
      </c>
      <c r="E360">
        <v>0</v>
      </c>
    </row>
    <row r="361" spans="1:5" x14ac:dyDescent="0.25">
      <c r="A361">
        <v>360</v>
      </c>
      <c r="B361">
        <v>19.600000000000001</v>
      </c>
      <c r="C361">
        <v>1</v>
      </c>
      <c r="D361" t="s">
        <v>5</v>
      </c>
      <c r="E361">
        <v>0</v>
      </c>
    </row>
    <row r="362" spans="1:5" x14ac:dyDescent="0.25">
      <c r="A362">
        <v>361</v>
      </c>
      <c r="B362">
        <v>20.3</v>
      </c>
      <c r="C362">
        <v>11</v>
      </c>
      <c r="D362" t="s">
        <v>5</v>
      </c>
      <c r="E362">
        <v>0</v>
      </c>
    </row>
    <row r="363" spans="1:5" x14ac:dyDescent="0.25">
      <c r="A363">
        <v>362</v>
      </c>
      <c r="B363">
        <v>22.3</v>
      </c>
      <c r="C363">
        <v>12</v>
      </c>
      <c r="D363" t="s">
        <v>5</v>
      </c>
      <c r="E363">
        <v>0</v>
      </c>
    </row>
    <row r="364" spans="1:5" x14ac:dyDescent="0.25">
      <c r="A364">
        <v>363</v>
      </c>
      <c r="B364">
        <v>25</v>
      </c>
      <c r="C364">
        <v>2</v>
      </c>
      <c r="D364" t="s">
        <v>5</v>
      </c>
      <c r="E364">
        <v>0</v>
      </c>
    </row>
    <row r="365" spans="1:5" x14ac:dyDescent="0.25">
      <c r="A365">
        <v>364</v>
      </c>
      <c r="B365">
        <v>27.5</v>
      </c>
      <c r="C365">
        <v>4</v>
      </c>
      <c r="D365" t="s">
        <v>5</v>
      </c>
      <c r="E365">
        <v>0</v>
      </c>
    </row>
    <row r="366" spans="1:5" x14ac:dyDescent="0.25">
      <c r="A366">
        <v>365</v>
      </c>
      <c r="B366">
        <v>29.1</v>
      </c>
      <c r="C366">
        <v>18</v>
      </c>
      <c r="D366" t="s">
        <v>5</v>
      </c>
      <c r="E366">
        <v>0</v>
      </c>
    </row>
    <row r="367" spans="1:5" x14ac:dyDescent="0.25">
      <c r="A367">
        <v>366</v>
      </c>
      <c r="B367">
        <v>29</v>
      </c>
      <c r="C367">
        <v>2</v>
      </c>
      <c r="D367" t="s">
        <v>5</v>
      </c>
      <c r="E367">
        <v>0</v>
      </c>
    </row>
    <row r="368" spans="1:5" x14ac:dyDescent="0.25">
      <c r="A368">
        <v>367</v>
      </c>
      <c r="B368">
        <v>27.2</v>
      </c>
      <c r="C368">
        <v>19</v>
      </c>
      <c r="D368" t="s">
        <v>5</v>
      </c>
      <c r="E368">
        <v>0</v>
      </c>
    </row>
    <row r="369" spans="1:5" x14ac:dyDescent="0.25">
      <c r="A369">
        <v>368</v>
      </c>
      <c r="B369">
        <v>24.1</v>
      </c>
      <c r="C369">
        <v>16</v>
      </c>
      <c r="D369" t="s">
        <v>5</v>
      </c>
      <c r="E369">
        <v>0</v>
      </c>
    </row>
    <row r="370" spans="1:5" x14ac:dyDescent="0.25">
      <c r="A370">
        <v>369</v>
      </c>
      <c r="B370">
        <v>20.399999999999999</v>
      </c>
      <c r="C370">
        <v>24</v>
      </c>
      <c r="D370" t="s">
        <v>5</v>
      </c>
      <c r="E370">
        <v>0</v>
      </c>
    </row>
    <row r="371" spans="1:5" x14ac:dyDescent="0.25">
      <c r="A371">
        <v>370</v>
      </c>
      <c r="B371">
        <v>17.100000000000001</v>
      </c>
      <c r="C371">
        <v>24</v>
      </c>
      <c r="D371" t="s">
        <v>5</v>
      </c>
      <c r="E371">
        <v>0</v>
      </c>
    </row>
    <row r="372" spans="1:5" x14ac:dyDescent="0.25">
      <c r="A372">
        <v>371</v>
      </c>
      <c r="B372">
        <v>14.9</v>
      </c>
      <c r="C372">
        <v>0</v>
      </c>
      <c r="D372" t="s">
        <v>5</v>
      </c>
      <c r="E372">
        <v>0</v>
      </c>
    </row>
    <row r="373" spans="1:5" x14ac:dyDescent="0.25">
      <c r="A373">
        <v>372</v>
      </c>
      <c r="B373">
        <v>14.1</v>
      </c>
      <c r="C373">
        <v>3</v>
      </c>
      <c r="D373" t="s">
        <v>5</v>
      </c>
      <c r="E373">
        <v>0</v>
      </c>
    </row>
    <row r="374" spans="1:5" x14ac:dyDescent="0.25">
      <c r="A374">
        <v>373</v>
      </c>
      <c r="B374">
        <v>14.8</v>
      </c>
      <c r="C374">
        <v>6</v>
      </c>
      <c r="D374" t="s">
        <v>5</v>
      </c>
      <c r="E374">
        <v>0</v>
      </c>
    </row>
    <row r="375" spans="1:5" x14ac:dyDescent="0.25">
      <c r="A375">
        <v>374</v>
      </c>
      <c r="B375">
        <v>16.3</v>
      </c>
      <c r="C375">
        <v>6</v>
      </c>
      <c r="D375" t="s">
        <v>5</v>
      </c>
      <c r="E375">
        <v>0</v>
      </c>
    </row>
    <row r="376" spans="1:5" x14ac:dyDescent="0.25">
      <c r="A376">
        <v>375</v>
      </c>
      <c r="B376">
        <v>17.7</v>
      </c>
      <c r="C376">
        <v>8</v>
      </c>
      <c r="D376" t="s">
        <v>5</v>
      </c>
      <c r="E376">
        <v>0</v>
      </c>
    </row>
    <row r="377" spans="1:5" x14ac:dyDescent="0.25">
      <c r="A377">
        <v>376</v>
      </c>
      <c r="B377">
        <v>18.3</v>
      </c>
      <c r="C377">
        <v>3</v>
      </c>
      <c r="D377" t="s">
        <v>5</v>
      </c>
      <c r="E377">
        <v>0</v>
      </c>
    </row>
    <row r="378" spans="1:5" x14ac:dyDescent="0.25">
      <c r="A378">
        <v>377</v>
      </c>
      <c r="B378">
        <v>17.5</v>
      </c>
      <c r="C378">
        <v>6</v>
      </c>
      <c r="D378" t="s">
        <v>5</v>
      </c>
      <c r="E378">
        <v>0</v>
      </c>
    </row>
    <row r="379" spans="1:5" x14ac:dyDescent="0.25">
      <c r="A379">
        <v>378</v>
      </c>
      <c r="B379">
        <v>15.1</v>
      </c>
      <c r="C379">
        <v>7</v>
      </c>
      <c r="D379" t="s">
        <v>5</v>
      </c>
      <c r="E379">
        <v>0</v>
      </c>
    </row>
    <row r="380" spans="1:5" x14ac:dyDescent="0.25">
      <c r="A380">
        <v>379</v>
      </c>
      <c r="B380">
        <v>11.6</v>
      </c>
      <c r="C380">
        <v>11</v>
      </c>
      <c r="D380" t="s">
        <v>5</v>
      </c>
      <c r="E380">
        <v>0</v>
      </c>
    </row>
    <row r="381" spans="1:5" x14ac:dyDescent="0.25">
      <c r="A381">
        <v>380</v>
      </c>
      <c r="B381">
        <v>7.7</v>
      </c>
      <c r="C381">
        <v>10</v>
      </c>
      <c r="D381" t="s">
        <v>5</v>
      </c>
      <c r="E381">
        <v>0</v>
      </c>
    </row>
    <row r="382" spans="1:5" x14ac:dyDescent="0.25">
      <c r="A382">
        <v>381</v>
      </c>
      <c r="B382">
        <v>4.4000000000000004</v>
      </c>
      <c r="C382">
        <v>21</v>
      </c>
      <c r="D382" t="s">
        <v>5</v>
      </c>
      <c r="E382">
        <v>0</v>
      </c>
    </row>
    <row r="383" spans="1:5" x14ac:dyDescent="0.25">
      <c r="A383">
        <v>382</v>
      </c>
      <c r="B383">
        <v>2.2999999999999998</v>
      </c>
      <c r="C383">
        <v>22</v>
      </c>
      <c r="D383" t="s">
        <v>5</v>
      </c>
      <c r="E383">
        <v>0</v>
      </c>
    </row>
    <row r="384" spans="1:5" x14ac:dyDescent="0.25">
      <c r="A384">
        <v>383</v>
      </c>
      <c r="B384">
        <v>2</v>
      </c>
      <c r="C384">
        <v>22</v>
      </c>
      <c r="D384" t="s">
        <v>5</v>
      </c>
      <c r="E384">
        <v>0</v>
      </c>
    </row>
    <row r="385" spans="1:5" x14ac:dyDescent="0.25">
      <c r="A385">
        <v>384</v>
      </c>
      <c r="B385">
        <v>3.2</v>
      </c>
      <c r="C385">
        <v>29</v>
      </c>
      <c r="D385" t="s">
        <v>5</v>
      </c>
      <c r="E385">
        <v>0</v>
      </c>
    </row>
    <row r="386" spans="1:5" x14ac:dyDescent="0.25">
      <c r="A386">
        <v>385</v>
      </c>
      <c r="B386">
        <v>5.5</v>
      </c>
      <c r="C386">
        <v>0</v>
      </c>
      <c r="D386" t="s">
        <v>5</v>
      </c>
      <c r="E386">
        <v>0</v>
      </c>
    </row>
    <row r="387" spans="1:5" x14ac:dyDescent="0.25">
      <c r="A387">
        <v>386</v>
      </c>
      <c r="B387">
        <v>7.9</v>
      </c>
      <c r="C387">
        <v>1</v>
      </c>
      <c r="D387" t="s">
        <v>5</v>
      </c>
      <c r="E387">
        <v>0</v>
      </c>
    </row>
    <row r="388" spans="1:5" x14ac:dyDescent="0.25">
      <c r="A388">
        <v>387</v>
      </c>
      <c r="B388">
        <v>9.6</v>
      </c>
      <c r="C388">
        <v>2</v>
      </c>
      <c r="D388" t="s">
        <v>5</v>
      </c>
      <c r="E388">
        <v>0</v>
      </c>
    </row>
    <row r="389" spans="1:5" x14ac:dyDescent="0.25">
      <c r="A389">
        <v>388</v>
      </c>
      <c r="B389">
        <v>10</v>
      </c>
      <c r="C389">
        <v>3</v>
      </c>
      <c r="D389" t="s">
        <v>5</v>
      </c>
      <c r="E389">
        <v>0</v>
      </c>
    </row>
    <row r="390" spans="1:5" x14ac:dyDescent="0.25">
      <c r="A390">
        <v>389</v>
      </c>
      <c r="B390">
        <v>9</v>
      </c>
      <c r="C390">
        <v>2</v>
      </c>
      <c r="D390" t="s">
        <v>5</v>
      </c>
      <c r="E390">
        <v>0</v>
      </c>
    </row>
    <row r="391" spans="1:5" x14ac:dyDescent="0.25">
      <c r="A391">
        <v>390</v>
      </c>
      <c r="B391">
        <v>6.9</v>
      </c>
      <c r="C391">
        <v>10</v>
      </c>
      <c r="D391" t="s">
        <v>5</v>
      </c>
      <c r="E391">
        <v>0</v>
      </c>
    </row>
    <row r="392" spans="1:5" x14ac:dyDescent="0.25">
      <c r="A392">
        <v>391</v>
      </c>
      <c r="B392">
        <v>4.5</v>
      </c>
      <c r="C392">
        <v>3</v>
      </c>
      <c r="D392" t="s">
        <v>5</v>
      </c>
      <c r="E392">
        <v>0</v>
      </c>
    </row>
    <row r="393" spans="1:5" x14ac:dyDescent="0.25">
      <c r="A393">
        <v>392</v>
      </c>
      <c r="B393">
        <v>2.8</v>
      </c>
      <c r="C393">
        <v>11</v>
      </c>
      <c r="D393" t="s">
        <v>5</v>
      </c>
      <c r="E393">
        <v>0</v>
      </c>
    </row>
    <row r="394" spans="1:5" x14ac:dyDescent="0.25">
      <c r="A394">
        <v>393</v>
      </c>
      <c r="B394">
        <v>2.2999999999999998</v>
      </c>
      <c r="C394">
        <v>17</v>
      </c>
      <c r="D394" t="s">
        <v>5</v>
      </c>
      <c r="E394">
        <v>0</v>
      </c>
    </row>
    <row r="395" spans="1:5" x14ac:dyDescent="0.25">
      <c r="A395">
        <v>394</v>
      </c>
      <c r="B395">
        <v>3.6</v>
      </c>
      <c r="C395">
        <v>1</v>
      </c>
      <c r="D395" t="s">
        <v>5</v>
      </c>
      <c r="E395">
        <v>0</v>
      </c>
    </row>
    <row r="396" spans="1:5" x14ac:dyDescent="0.25">
      <c r="A396">
        <v>395</v>
      </c>
      <c r="B396">
        <v>6.4</v>
      </c>
      <c r="C396">
        <v>8</v>
      </c>
      <c r="D396" t="s">
        <v>5</v>
      </c>
      <c r="E396">
        <v>0</v>
      </c>
    </row>
    <row r="397" spans="1:5" x14ac:dyDescent="0.25">
      <c r="A397">
        <v>396</v>
      </c>
      <c r="B397">
        <v>10.199999999999999</v>
      </c>
      <c r="C397">
        <v>11</v>
      </c>
      <c r="D397" t="s">
        <v>5</v>
      </c>
      <c r="E397">
        <v>0</v>
      </c>
    </row>
    <row r="398" spans="1:5" x14ac:dyDescent="0.25">
      <c r="A398">
        <v>397</v>
      </c>
      <c r="B398">
        <v>14</v>
      </c>
      <c r="C398">
        <v>23</v>
      </c>
      <c r="D398" t="s">
        <v>5</v>
      </c>
      <c r="E398">
        <v>0</v>
      </c>
    </row>
    <row r="399" spans="1:5" x14ac:dyDescent="0.25">
      <c r="A399">
        <v>398</v>
      </c>
      <c r="B399">
        <v>17.100000000000001</v>
      </c>
      <c r="C399">
        <v>29</v>
      </c>
      <c r="D399" t="s">
        <v>5</v>
      </c>
      <c r="E399">
        <v>0</v>
      </c>
    </row>
    <row r="400" spans="1:5" x14ac:dyDescent="0.25">
      <c r="A400">
        <v>399</v>
      </c>
      <c r="B400">
        <v>18.7</v>
      </c>
      <c r="C400">
        <v>0</v>
      </c>
      <c r="D400" t="s">
        <v>5</v>
      </c>
      <c r="E400">
        <v>0</v>
      </c>
    </row>
    <row r="401" spans="1:5" x14ac:dyDescent="0.25">
      <c r="A401">
        <v>400</v>
      </c>
      <c r="B401">
        <v>18.8</v>
      </c>
      <c r="C401">
        <v>5</v>
      </c>
      <c r="D401" t="s">
        <v>5</v>
      </c>
      <c r="E401">
        <v>0</v>
      </c>
    </row>
    <row r="402" spans="1:5" x14ac:dyDescent="0.25">
      <c r="A402">
        <v>401</v>
      </c>
      <c r="B402">
        <v>17.7</v>
      </c>
      <c r="C402">
        <v>2</v>
      </c>
      <c r="D402" t="s">
        <v>5</v>
      </c>
      <c r="E402">
        <v>0</v>
      </c>
    </row>
    <row r="403" spans="1:5" x14ac:dyDescent="0.25">
      <c r="A403">
        <v>402</v>
      </c>
      <c r="B403">
        <v>16.100000000000001</v>
      </c>
      <c r="C403">
        <v>2</v>
      </c>
      <c r="D403" t="s">
        <v>5</v>
      </c>
      <c r="E403">
        <v>0</v>
      </c>
    </row>
    <row r="404" spans="1:5" x14ac:dyDescent="0.25">
      <c r="A404">
        <v>403</v>
      </c>
      <c r="B404">
        <v>14.9</v>
      </c>
      <c r="C404">
        <v>7</v>
      </c>
      <c r="D404" t="s">
        <v>5</v>
      </c>
      <c r="E404">
        <v>0</v>
      </c>
    </row>
    <row r="405" spans="1:5" x14ac:dyDescent="0.25">
      <c r="A405">
        <v>404</v>
      </c>
      <c r="B405">
        <v>14.9</v>
      </c>
      <c r="C405">
        <v>2</v>
      </c>
      <c r="D405" t="s">
        <v>5</v>
      </c>
      <c r="E405">
        <v>0</v>
      </c>
    </row>
    <row r="406" spans="1:5" x14ac:dyDescent="0.25">
      <c r="A406">
        <v>405</v>
      </c>
      <c r="B406">
        <v>16.3</v>
      </c>
      <c r="C406">
        <v>3</v>
      </c>
      <c r="D406" t="s">
        <v>5</v>
      </c>
      <c r="E406">
        <v>0</v>
      </c>
    </row>
    <row r="407" spans="1:5" x14ac:dyDescent="0.25">
      <c r="A407">
        <v>406</v>
      </c>
      <c r="B407">
        <v>19.100000000000001</v>
      </c>
      <c r="C407">
        <v>14</v>
      </c>
      <c r="D407" t="s">
        <v>5</v>
      </c>
      <c r="E407">
        <v>0</v>
      </c>
    </row>
    <row r="408" spans="1:5" x14ac:dyDescent="0.25">
      <c r="A408">
        <v>407</v>
      </c>
      <c r="B408">
        <v>22.7</v>
      </c>
      <c r="C408">
        <v>12</v>
      </c>
      <c r="D408" t="s">
        <v>5</v>
      </c>
      <c r="E408">
        <v>0</v>
      </c>
    </row>
    <row r="409" spans="1:5" x14ac:dyDescent="0.25">
      <c r="A409">
        <v>408</v>
      </c>
      <c r="B409">
        <v>26.1</v>
      </c>
      <c r="C409">
        <v>9</v>
      </c>
      <c r="D409" t="s">
        <v>5</v>
      </c>
      <c r="E409">
        <v>0</v>
      </c>
    </row>
    <row r="410" spans="1:5" x14ac:dyDescent="0.25">
      <c r="A410">
        <v>409</v>
      </c>
      <c r="B410">
        <v>28.6</v>
      </c>
      <c r="C410">
        <v>14</v>
      </c>
      <c r="D410" t="s">
        <v>5</v>
      </c>
      <c r="E410">
        <v>0</v>
      </c>
    </row>
    <row r="411" spans="1:5" x14ac:dyDescent="0.25">
      <c r="A411">
        <v>410</v>
      </c>
      <c r="B411">
        <v>29.5</v>
      </c>
      <c r="C411">
        <v>17</v>
      </c>
      <c r="D411" t="s">
        <v>5</v>
      </c>
      <c r="E411">
        <v>0</v>
      </c>
    </row>
    <row r="412" spans="1:5" x14ac:dyDescent="0.25">
      <c r="A412">
        <v>411</v>
      </c>
      <c r="B412">
        <v>28.6</v>
      </c>
      <c r="C412">
        <v>9</v>
      </c>
      <c r="D412" t="s">
        <v>5</v>
      </c>
      <c r="E412">
        <v>0</v>
      </c>
    </row>
    <row r="413" spans="1:5" x14ac:dyDescent="0.25">
      <c r="A413">
        <v>412</v>
      </c>
      <c r="B413">
        <v>26.4</v>
      </c>
      <c r="C413">
        <v>28</v>
      </c>
      <c r="D413" t="s">
        <v>5</v>
      </c>
      <c r="E413">
        <v>0</v>
      </c>
    </row>
    <row r="414" spans="1:5" x14ac:dyDescent="0.25">
      <c r="A414">
        <v>413</v>
      </c>
      <c r="B414">
        <v>23.6</v>
      </c>
      <c r="C414">
        <v>0</v>
      </c>
      <c r="D414" t="s">
        <v>5</v>
      </c>
      <c r="E414">
        <v>0</v>
      </c>
    </row>
    <row r="415" spans="1:5" x14ac:dyDescent="0.25">
      <c r="A415">
        <v>414</v>
      </c>
      <c r="B415">
        <v>21</v>
      </c>
      <c r="C415">
        <v>1</v>
      </c>
      <c r="D415" t="s">
        <v>5</v>
      </c>
      <c r="E415">
        <v>0</v>
      </c>
    </row>
    <row r="416" spans="1:5" x14ac:dyDescent="0.25">
      <c r="A416">
        <v>415</v>
      </c>
      <c r="B416">
        <v>19.600000000000001</v>
      </c>
      <c r="C416">
        <v>6</v>
      </c>
      <c r="D416" t="s">
        <v>5</v>
      </c>
      <c r="E416">
        <v>0</v>
      </c>
    </row>
    <row r="417" spans="1:5" x14ac:dyDescent="0.25">
      <c r="A417">
        <v>416</v>
      </c>
      <c r="B417">
        <v>19.5</v>
      </c>
      <c r="C417">
        <v>4</v>
      </c>
      <c r="D417" t="s">
        <v>5</v>
      </c>
      <c r="E417">
        <v>0</v>
      </c>
    </row>
    <row r="418" spans="1:5" x14ac:dyDescent="0.25">
      <c r="A418">
        <v>417</v>
      </c>
      <c r="B418">
        <v>20.7</v>
      </c>
      <c r="C418">
        <v>10</v>
      </c>
      <c r="D418" t="s">
        <v>5</v>
      </c>
      <c r="E418">
        <v>0</v>
      </c>
    </row>
    <row r="419" spans="1:5" x14ac:dyDescent="0.25">
      <c r="A419">
        <v>418</v>
      </c>
      <c r="B419">
        <v>22.7</v>
      </c>
      <c r="C419">
        <v>4</v>
      </c>
      <c r="D419" t="s">
        <v>5</v>
      </c>
      <c r="E419">
        <v>0</v>
      </c>
    </row>
    <row r="420" spans="1:5" x14ac:dyDescent="0.25">
      <c r="A420">
        <v>419</v>
      </c>
      <c r="B420">
        <v>24.5</v>
      </c>
      <c r="C420">
        <v>5</v>
      </c>
      <c r="D420" t="s">
        <v>5</v>
      </c>
      <c r="E420">
        <v>0</v>
      </c>
    </row>
    <row r="421" spans="1:5" x14ac:dyDescent="0.25">
      <c r="A421">
        <v>420</v>
      </c>
      <c r="B421">
        <v>25.4</v>
      </c>
      <c r="C421">
        <v>8</v>
      </c>
      <c r="D421" t="s">
        <v>5</v>
      </c>
      <c r="E421">
        <v>0</v>
      </c>
    </row>
    <row r="422" spans="1:5" x14ac:dyDescent="0.25">
      <c r="A422">
        <v>421</v>
      </c>
      <c r="B422">
        <v>24.8</v>
      </c>
      <c r="C422">
        <v>12</v>
      </c>
      <c r="D422" t="s">
        <v>5</v>
      </c>
      <c r="E422">
        <v>0</v>
      </c>
    </row>
    <row r="423" spans="1:5" x14ac:dyDescent="0.25">
      <c r="A423">
        <v>422</v>
      </c>
      <c r="B423">
        <v>22.5</v>
      </c>
      <c r="C423">
        <v>8</v>
      </c>
      <c r="D423" t="s">
        <v>5</v>
      </c>
      <c r="E423">
        <v>0</v>
      </c>
    </row>
    <row r="424" spans="1:5" x14ac:dyDescent="0.25">
      <c r="A424">
        <v>423</v>
      </c>
      <c r="B424">
        <v>18.899999999999999</v>
      </c>
      <c r="C424">
        <v>7</v>
      </c>
      <c r="D424" t="s">
        <v>5</v>
      </c>
      <c r="E424">
        <v>0</v>
      </c>
    </row>
    <row r="425" spans="1:5" x14ac:dyDescent="0.25">
      <c r="A425">
        <v>424</v>
      </c>
      <c r="B425">
        <v>14.8</v>
      </c>
      <c r="C425">
        <v>8</v>
      </c>
      <c r="D425" t="s">
        <v>5</v>
      </c>
      <c r="E425">
        <v>0</v>
      </c>
    </row>
    <row r="426" spans="1:5" x14ac:dyDescent="0.25">
      <c r="A426">
        <v>425</v>
      </c>
      <c r="B426">
        <v>11.2</v>
      </c>
      <c r="C426">
        <v>7</v>
      </c>
      <c r="D426" t="s">
        <v>5</v>
      </c>
      <c r="E426">
        <v>0</v>
      </c>
    </row>
    <row r="427" spans="1:5" x14ac:dyDescent="0.25">
      <c r="A427">
        <v>426</v>
      </c>
      <c r="B427">
        <v>8.8000000000000007</v>
      </c>
      <c r="C427">
        <v>23</v>
      </c>
      <c r="D427" t="s">
        <v>5</v>
      </c>
      <c r="E427">
        <v>0</v>
      </c>
    </row>
    <row r="428" spans="1:5" x14ac:dyDescent="0.25">
      <c r="A428">
        <v>427</v>
      </c>
      <c r="B428">
        <v>8</v>
      </c>
      <c r="C428">
        <v>0</v>
      </c>
      <c r="D428" t="s">
        <v>5</v>
      </c>
      <c r="E428">
        <v>0</v>
      </c>
    </row>
    <row r="429" spans="1:5" x14ac:dyDescent="0.25">
      <c r="A429">
        <v>428</v>
      </c>
      <c r="B429">
        <v>8.6</v>
      </c>
      <c r="C429">
        <v>2</v>
      </c>
      <c r="D429" t="s">
        <v>5</v>
      </c>
      <c r="E429">
        <v>0</v>
      </c>
    </row>
    <row r="430" spans="1:5" x14ac:dyDescent="0.25">
      <c r="A430">
        <v>429</v>
      </c>
      <c r="B430">
        <v>10.199999999999999</v>
      </c>
      <c r="C430">
        <v>5</v>
      </c>
      <c r="D430" t="s">
        <v>5</v>
      </c>
      <c r="E430">
        <v>0</v>
      </c>
    </row>
    <row r="431" spans="1:5" x14ac:dyDescent="0.25">
      <c r="A431">
        <v>430</v>
      </c>
      <c r="B431">
        <v>11.8</v>
      </c>
      <c r="C431">
        <v>5</v>
      </c>
      <c r="D431" t="s">
        <v>5</v>
      </c>
      <c r="E431">
        <v>0</v>
      </c>
    </row>
    <row r="432" spans="1:5" x14ac:dyDescent="0.25">
      <c r="A432">
        <v>431</v>
      </c>
      <c r="B432">
        <v>12.7</v>
      </c>
      <c r="C432">
        <v>8</v>
      </c>
      <c r="D432" t="s">
        <v>5</v>
      </c>
      <c r="E432">
        <v>0</v>
      </c>
    </row>
    <row r="433" spans="1:5" x14ac:dyDescent="0.25">
      <c r="A433">
        <v>432</v>
      </c>
      <c r="B433">
        <v>12.2</v>
      </c>
      <c r="C433">
        <v>6</v>
      </c>
      <c r="D433" t="s">
        <v>5</v>
      </c>
      <c r="E433">
        <v>0</v>
      </c>
    </row>
    <row r="434" spans="1:5" x14ac:dyDescent="0.25">
      <c r="A434">
        <v>433</v>
      </c>
      <c r="B434">
        <v>10.3</v>
      </c>
      <c r="C434">
        <v>9</v>
      </c>
      <c r="D434" t="s">
        <v>5</v>
      </c>
      <c r="E434">
        <v>0</v>
      </c>
    </row>
    <row r="435" spans="1:5" x14ac:dyDescent="0.25">
      <c r="A435">
        <v>434</v>
      </c>
      <c r="B435">
        <v>7.4</v>
      </c>
      <c r="C435">
        <v>17</v>
      </c>
      <c r="D435" t="s">
        <v>5</v>
      </c>
      <c r="E435">
        <v>0</v>
      </c>
    </row>
    <row r="436" spans="1:5" x14ac:dyDescent="0.25">
      <c r="A436">
        <v>435</v>
      </c>
      <c r="B436">
        <v>4.0999999999999996</v>
      </c>
      <c r="C436">
        <v>17</v>
      </c>
      <c r="D436" t="s">
        <v>5</v>
      </c>
      <c r="E436">
        <v>0</v>
      </c>
    </row>
    <row r="437" spans="1:5" x14ac:dyDescent="0.25">
      <c r="A437">
        <v>436</v>
      </c>
      <c r="B437">
        <v>1.4</v>
      </c>
      <c r="C437">
        <v>7</v>
      </c>
      <c r="D437" t="s">
        <v>5</v>
      </c>
      <c r="E437">
        <v>0</v>
      </c>
    </row>
    <row r="438" spans="1:5" x14ac:dyDescent="0.25">
      <c r="A438">
        <v>437</v>
      </c>
      <c r="B438">
        <v>0.1</v>
      </c>
      <c r="C438">
        <v>24</v>
      </c>
      <c r="D438" t="s">
        <v>5</v>
      </c>
      <c r="E438">
        <v>0</v>
      </c>
    </row>
    <row r="439" spans="1:5" x14ac:dyDescent="0.25">
      <c r="A439">
        <v>438</v>
      </c>
      <c r="B439">
        <v>0.5</v>
      </c>
      <c r="C439">
        <v>16</v>
      </c>
      <c r="D439" t="s">
        <v>5</v>
      </c>
      <c r="E439">
        <v>0</v>
      </c>
    </row>
    <row r="440" spans="1:5" x14ac:dyDescent="0.25">
      <c r="A440">
        <v>439</v>
      </c>
      <c r="B440">
        <v>2.5</v>
      </c>
      <c r="C440">
        <v>2</v>
      </c>
      <c r="D440" t="s">
        <v>5</v>
      </c>
      <c r="E440">
        <v>0</v>
      </c>
    </row>
    <row r="441" spans="1:5" x14ac:dyDescent="0.25">
      <c r="A441">
        <v>440</v>
      </c>
      <c r="B441">
        <v>5.5</v>
      </c>
      <c r="C441">
        <v>17</v>
      </c>
      <c r="D441" t="s">
        <v>5</v>
      </c>
      <c r="E441">
        <v>0</v>
      </c>
    </row>
    <row r="442" spans="1:5" x14ac:dyDescent="0.25">
      <c r="A442">
        <v>441</v>
      </c>
      <c r="B442">
        <v>8.6999999999999993</v>
      </c>
      <c r="C442">
        <v>23</v>
      </c>
      <c r="D442" t="s">
        <v>5</v>
      </c>
      <c r="E442">
        <v>0</v>
      </c>
    </row>
    <row r="443" spans="1:5" x14ac:dyDescent="0.25">
      <c r="A443">
        <v>442</v>
      </c>
      <c r="B443">
        <v>11.1</v>
      </c>
      <c r="C443">
        <v>0</v>
      </c>
      <c r="D443" t="s">
        <v>5</v>
      </c>
      <c r="E443">
        <v>0</v>
      </c>
    </row>
    <row r="444" spans="1:5" x14ac:dyDescent="0.25">
      <c r="A444">
        <v>443</v>
      </c>
      <c r="B444">
        <v>12.2</v>
      </c>
      <c r="C444">
        <v>4</v>
      </c>
      <c r="D444" t="s">
        <v>5</v>
      </c>
      <c r="E444">
        <v>0</v>
      </c>
    </row>
    <row r="445" spans="1:5" x14ac:dyDescent="0.25">
      <c r="A445">
        <v>444</v>
      </c>
      <c r="B445">
        <v>11.9</v>
      </c>
      <c r="C445">
        <v>1</v>
      </c>
      <c r="D445" t="s">
        <v>5</v>
      </c>
      <c r="E445">
        <v>0</v>
      </c>
    </row>
    <row r="446" spans="1:5" x14ac:dyDescent="0.25">
      <c r="A446">
        <v>445</v>
      </c>
      <c r="B446">
        <v>10.5</v>
      </c>
      <c r="C446">
        <v>1</v>
      </c>
      <c r="D446" t="s">
        <v>5</v>
      </c>
      <c r="E446">
        <v>0</v>
      </c>
    </row>
    <row r="447" spans="1:5" x14ac:dyDescent="0.25">
      <c r="A447">
        <v>446</v>
      </c>
      <c r="B447">
        <v>8.8000000000000007</v>
      </c>
      <c r="C447">
        <v>6</v>
      </c>
      <c r="D447" t="s">
        <v>5</v>
      </c>
      <c r="E447">
        <v>0</v>
      </c>
    </row>
    <row r="448" spans="1:5" x14ac:dyDescent="0.25">
      <c r="A448">
        <v>447</v>
      </c>
      <c r="B448">
        <v>7.5</v>
      </c>
      <c r="C448">
        <v>10</v>
      </c>
      <c r="D448" t="s">
        <v>5</v>
      </c>
      <c r="E448">
        <v>0</v>
      </c>
    </row>
    <row r="449" spans="1:5" x14ac:dyDescent="0.25">
      <c r="A449">
        <v>448</v>
      </c>
      <c r="B449">
        <v>7.6</v>
      </c>
      <c r="C449">
        <v>10</v>
      </c>
      <c r="D449" t="s">
        <v>5</v>
      </c>
      <c r="E449">
        <v>0</v>
      </c>
    </row>
    <row r="450" spans="1:5" x14ac:dyDescent="0.25">
      <c r="A450">
        <v>449</v>
      </c>
      <c r="B450">
        <v>9.1999999999999993</v>
      </c>
      <c r="C450">
        <v>2</v>
      </c>
      <c r="D450" t="s">
        <v>5</v>
      </c>
      <c r="E450">
        <v>0</v>
      </c>
    </row>
    <row r="451" spans="1:5" x14ac:dyDescent="0.25">
      <c r="A451">
        <v>450</v>
      </c>
      <c r="B451">
        <v>12.3</v>
      </c>
      <c r="C451">
        <v>7</v>
      </c>
      <c r="D451" t="s">
        <v>5</v>
      </c>
      <c r="E451">
        <v>0</v>
      </c>
    </row>
    <row r="452" spans="1:5" x14ac:dyDescent="0.25">
      <c r="A452">
        <v>451</v>
      </c>
      <c r="B452">
        <v>16.3</v>
      </c>
      <c r="C452">
        <v>18</v>
      </c>
      <c r="D452" t="s">
        <v>5</v>
      </c>
      <c r="E452">
        <v>0</v>
      </c>
    </row>
    <row r="453" spans="1:5" x14ac:dyDescent="0.25">
      <c r="A453">
        <v>452</v>
      </c>
      <c r="B453">
        <v>20.2</v>
      </c>
      <c r="C453">
        <v>23</v>
      </c>
      <c r="D453" t="s">
        <v>5</v>
      </c>
      <c r="E453">
        <v>0</v>
      </c>
    </row>
    <row r="454" spans="1:5" x14ac:dyDescent="0.25">
      <c r="A454">
        <v>453</v>
      </c>
      <c r="B454">
        <v>23.2</v>
      </c>
      <c r="C454">
        <v>7</v>
      </c>
      <c r="D454" t="s">
        <v>5</v>
      </c>
      <c r="E454">
        <v>0</v>
      </c>
    </row>
    <row r="455" spans="1:5" x14ac:dyDescent="0.25">
      <c r="A455">
        <v>454</v>
      </c>
      <c r="B455">
        <v>24.8</v>
      </c>
      <c r="C455">
        <v>20</v>
      </c>
      <c r="D455" t="s">
        <v>5</v>
      </c>
      <c r="E455">
        <v>0</v>
      </c>
    </row>
    <row r="456" spans="1:5" x14ac:dyDescent="0.25">
      <c r="A456">
        <v>455</v>
      </c>
      <c r="B456">
        <v>24.9</v>
      </c>
      <c r="C456">
        <v>14</v>
      </c>
      <c r="D456" t="s">
        <v>5</v>
      </c>
      <c r="E456">
        <v>0</v>
      </c>
    </row>
    <row r="457" spans="1:5" x14ac:dyDescent="0.25">
      <c r="A457">
        <v>456</v>
      </c>
      <c r="B457">
        <v>23.3</v>
      </c>
      <c r="C457">
        <v>11</v>
      </c>
      <c r="D457" t="s">
        <v>5</v>
      </c>
      <c r="E457">
        <v>0</v>
      </c>
    </row>
    <row r="458" spans="1:5" x14ac:dyDescent="0.25">
      <c r="A458">
        <v>457</v>
      </c>
      <c r="B458">
        <v>21.3</v>
      </c>
      <c r="C458">
        <v>10</v>
      </c>
      <c r="D458" t="s">
        <v>5</v>
      </c>
      <c r="E458">
        <v>0</v>
      </c>
    </row>
    <row r="459" spans="1:5" x14ac:dyDescent="0.25">
      <c r="A459">
        <v>458</v>
      </c>
      <c r="B459">
        <v>19.7</v>
      </c>
      <c r="C459">
        <v>13</v>
      </c>
      <c r="D459" t="s">
        <v>5</v>
      </c>
      <c r="E459">
        <v>0</v>
      </c>
    </row>
    <row r="460" spans="1:5" x14ac:dyDescent="0.25">
      <c r="A460">
        <v>459</v>
      </c>
      <c r="B460">
        <v>19.100000000000001</v>
      </c>
      <c r="C460">
        <v>24</v>
      </c>
      <c r="D460" t="s">
        <v>5</v>
      </c>
      <c r="E460">
        <v>0</v>
      </c>
    </row>
    <row r="461" spans="1:5" x14ac:dyDescent="0.25">
      <c r="A461">
        <v>460</v>
      </c>
      <c r="B461">
        <v>20</v>
      </c>
      <c r="C461">
        <v>0</v>
      </c>
      <c r="D461" t="s">
        <v>5</v>
      </c>
      <c r="E461">
        <v>0</v>
      </c>
    </row>
    <row r="462" spans="1:5" x14ac:dyDescent="0.25">
      <c r="A462">
        <v>461</v>
      </c>
      <c r="B462">
        <v>22.1</v>
      </c>
      <c r="C462">
        <v>1</v>
      </c>
      <c r="D462" t="s">
        <v>5</v>
      </c>
      <c r="E462">
        <v>0</v>
      </c>
    </row>
    <row r="463" spans="1:5" x14ac:dyDescent="0.25">
      <c r="A463">
        <v>462</v>
      </c>
      <c r="B463">
        <v>25</v>
      </c>
      <c r="C463">
        <v>4</v>
      </c>
      <c r="D463" t="s">
        <v>5</v>
      </c>
      <c r="E463">
        <v>0</v>
      </c>
    </row>
    <row r="464" spans="1:5" x14ac:dyDescent="0.25">
      <c r="A464">
        <v>463</v>
      </c>
      <c r="B464">
        <v>27.7</v>
      </c>
      <c r="C464">
        <v>1</v>
      </c>
      <c r="D464" t="s">
        <v>5</v>
      </c>
      <c r="E464">
        <v>0</v>
      </c>
    </row>
    <row r="465" spans="1:5" x14ac:dyDescent="0.25">
      <c r="A465">
        <v>464</v>
      </c>
      <c r="B465">
        <v>29.4</v>
      </c>
      <c r="C465">
        <v>12</v>
      </c>
      <c r="D465" t="s">
        <v>5</v>
      </c>
      <c r="E465">
        <v>0</v>
      </c>
    </row>
    <row r="466" spans="1:5" x14ac:dyDescent="0.25">
      <c r="A466">
        <v>465</v>
      </c>
      <c r="B466">
        <v>29.5</v>
      </c>
      <c r="C466">
        <v>12</v>
      </c>
      <c r="D466" t="s">
        <v>5</v>
      </c>
      <c r="E466">
        <v>0</v>
      </c>
    </row>
    <row r="467" spans="1:5" x14ac:dyDescent="0.25">
      <c r="A467">
        <v>466</v>
      </c>
      <c r="B467">
        <v>27.8</v>
      </c>
      <c r="C467">
        <v>8</v>
      </c>
      <c r="D467" t="s">
        <v>5</v>
      </c>
      <c r="E467">
        <v>0</v>
      </c>
    </row>
    <row r="468" spans="1:5" x14ac:dyDescent="0.25">
      <c r="A468">
        <v>467</v>
      </c>
      <c r="B468">
        <v>24.9</v>
      </c>
      <c r="C468">
        <v>13</v>
      </c>
      <c r="D468" t="s">
        <v>5</v>
      </c>
      <c r="E468">
        <v>0</v>
      </c>
    </row>
    <row r="469" spans="1:5" x14ac:dyDescent="0.25">
      <c r="A469">
        <v>468</v>
      </c>
      <c r="B469">
        <v>21.3</v>
      </c>
      <c r="C469">
        <v>18</v>
      </c>
      <c r="D469" t="s">
        <v>5</v>
      </c>
      <c r="E469">
        <v>0</v>
      </c>
    </row>
    <row r="470" spans="1:5" x14ac:dyDescent="0.25">
      <c r="A470">
        <v>469</v>
      </c>
      <c r="B470">
        <v>18.100000000000001</v>
      </c>
      <c r="C470">
        <v>15</v>
      </c>
      <c r="D470" t="s">
        <v>5</v>
      </c>
      <c r="E470">
        <v>0</v>
      </c>
    </row>
    <row r="471" spans="1:5" x14ac:dyDescent="0.25">
      <c r="A471">
        <v>470</v>
      </c>
      <c r="B471">
        <v>15.9</v>
      </c>
      <c r="C471">
        <v>10</v>
      </c>
      <c r="D471" t="s">
        <v>5</v>
      </c>
      <c r="E471">
        <v>0</v>
      </c>
    </row>
    <row r="472" spans="1:5" x14ac:dyDescent="0.25">
      <c r="A472">
        <v>471</v>
      </c>
      <c r="B472">
        <v>15.3</v>
      </c>
      <c r="C472">
        <v>7</v>
      </c>
      <c r="D472" t="s">
        <v>5</v>
      </c>
      <c r="E472">
        <v>0</v>
      </c>
    </row>
    <row r="473" spans="1:5" x14ac:dyDescent="0.25">
      <c r="A473">
        <v>472</v>
      </c>
      <c r="B473">
        <v>16</v>
      </c>
      <c r="C473">
        <v>5</v>
      </c>
      <c r="D473" t="s">
        <v>5</v>
      </c>
      <c r="E473">
        <v>0</v>
      </c>
    </row>
    <row r="474" spans="1:5" x14ac:dyDescent="0.25">
      <c r="A474">
        <v>473</v>
      </c>
      <c r="B474">
        <v>17.5</v>
      </c>
      <c r="C474">
        <v>26</v>
      </c>
      <c r="D474" t="s">
        <v>5</v>
      </c>
      <c r="E474">
        <v>0</v>
      </c>
    </row>
    <row r="475" spans="1:5" x14ac:dyDescent="0.25">
      <c r="A475">
        <v>474</v>
      </c>
      <c r="B475">
        <v>19</v>
      </c>
      <c r="C475">
        <v>0</v>
      </c>
      <c r="D475" t="s">
        <v>5</v>
      </c>
      <c r="E475">
        <v>0</v>
      </c>
    </row>
    <row r="476" spans="1:5" x14ac:dyDescent="0.25">
      <c r="A476">
        <v>475</v>
      </c>
      <c r="B476">
        <v>19.5</v>
      </c>
      <c r="C476">
        <v>2</v>
      </c>
      <c r="D476" t="s">
        <v>5</v>
      </c>
      <c r="E476">
        <v>0</v>
      </c>
    </row>
    <row r="477" spans="1:5" x14ac:dyDescent="0.25">
      <c r="A477">
        <v>476</v>
      </c>
      <c r="B477">
        <v>18.7</v>
      </c>
      <c r="C477">
        <v>6</v>
      </c>
      <c r="D477" t="s">
        <v>5</v>
      </c>
      <c r="E477">
        <v>0</v>
      </c>
    </row>
    <row r="478" spans="1:5" x14ac:dyDescent="0.25">
      <c r="A478">
        <v>477</v>
      </c>
      <c r="B478">
        <v>16.3</v>
      </c>
      <c r="C478">
        <v>5</v>
      </c>
      <c r="D478" t="s">
        <v>5</v>
      </c>
      <c r="E478">
        <v>0</v>
      </c>
    </row>
    <row r="479" spans="1:5" x14ac:dyDescent="0.25">
      <c r="A479">
        <v>478</v>
      </c>
      <c r="B479">
        <v>12.7</v>
      </c>
      <c r="C479">
        <v>6</v>
      </c>
      <c r="D479" t="s">
        <v>5</v>
      </c>
      <c r="E479">
        <v>0</v>
      </c>
    </row>
    <row r="480" spans="1:5" x14ac:dyDescent="0.25">
      <c r="A480">
        <v>479</v>
      </c>
      <c r="B480">
        <v>8.8000000000000007</v>
      </c>
      <c r="C480">
        <v>7</v>
      </c>
      <c r="D480" t="s">
        <v>5</v>
      </c>
      <c r="E480">
        <v>0</v>
      </c>
    </row>
    <row r="481" spans="1:5" x14ac:dyDescent="0.25">
      <c r="A481">
        <v>480</v>
      </c>
      <c r="B481">
        <v>5.3</v>
      </c>
      <c r="C481">
        <v>2</v>
      </c>
      <c r="D481" t="s">
        <v>5</v>
      </c>
      <c r="E481">
        <v>0</v>
      </c>
    </row>
    <row r="482" spans="1:5" x14ac:dyDescent="0.25">
      <c r="A482">
        <v>481</v>
      </c>
      <c r="B482">
        <v>3.2</v>
      </c>
      <c r="C482">
        <v>7</v>
      </c>
      <c r="D482" t="s">
        <v>5</v>
      </c>
      <c r="E482">
        <v>0</v>
      </c>
    </row>
    <row r="483" spans="1:5" x14ac:dyDescent="0.25">
      <c r="A483">
        <v>482</v>
      </c>
      <c r="B483">
        <v>2.7</v>
      </c>
      <c r="C483">
        <v>7</v>
      </c>
      <c r="D483" t="s">
        <v>5</v>
      </c>
      <c r="E483">
        <v>0</v>
      </c>
    </row>
    <row r="484" spans="1:5" x14ac:dyDescent="0.25">
      <c r="A484">
        <v>483</v>
      </c>
      <c r="B484">
        <v>3.9</v>
      </c>
      <c r="C484">
        <v>8</v>
      </c>
      <c r="D484" t="s">
        <v>5</v>
      </c>
      <c r="E484">
        <v>0</v>
      </c>
    </row>
    <row r="485" spans="1:5" x14ac:dyDescent="0.25">
      <c r="A485">
        <v>484</v>
      </c>
      <c r="B485">
        <v>6</v>
      </c>
      <c r="C485">
        <v>18</v>
      </c>
      <c r="D485" t="s">
        <v>5</v>
      </c>
      <c r="E485">
        <v>0</v>
      </c>
    </row>
    <row r="486" spans="1:5" x14ac:dyDescent="0.25">
      <c r="A486">
        <v>485</v>
      </c>
      <c r="B486">
        <v>8.1999999999999993</v>
      </c>
      <c r="C486">
        <v>23</v>
      </c>
      <c r="D486" t="s">
        <v>5</v>
      </c>
      <c r="E486">
        <v>0</v>
      </c>
    </row>
    <row r="487" spans="1:5" x14ac:dyDescent="0.25">
      <c r="A487">
        <v>486</v>
      </c>
      <c r="B487">
        <v>9.6999999999999993</v>
      </c>
      <c r="C487">
        <v>23</v>
      </c>
      <c r="D487" t="s">
        <v>5</v>
      </c>
      <c r="E487">
        <v>0</v>
      </c>
    </row>
    <row r="488" spans="1:5" x14ac:dyDescent="0.25">
      <c r="A488">
        <v>487</v>
      </c>
      <c r="B488">
        <v>10</v>
      </c>
      <c r="C488">
        <v>11</v>
      </c>
      <c r="D488" t="s">
        <v>5</v>
      </c>
      <c r="E488">
        <v>0</v>
      </c>
    </row>
    <row r="489" spans="1:5" x14ac:dyDescent="0.25">
      <c r="A489">
        <v>488</v>
      </c>
      <c r="B489">
        <v>8.8000000000000007</v>
      </c>
      <c r="C489">
        <v>16</v>
      </c>
      <c r="D489" t="s">
        <v>5</v>
      </c>
      <c r="E489">
        <v>0</v>
      </c>
    </row>
    <row r="490" spans="1:5" x14ac:dyDescent="0.25">
      <c r="A490">
        <v>489</v>
      </c>
      <c r="B490">
        <v>6.6</v>
      </c>
      <c r="C490">
        <v>22</v>
      </c>
      <c r="D490" t="s">
        <v>5</v>
      </c>
      <c r="E490">
        <v>0</v>
      </c>
    </row>
    <row r="491" spans="1:5" x14ac:dyDescent="0.25">
      <c r="A491">
        <v>490</v>
      </c>
      <c r="B491">
        <v>4.0999999999999996</v>
      </c>
      <c r="C491">
        <v>0</v>
      </c>
      <c r="D491" t="s">
        <v>5</v>
      </c>
      <c r="E491">
        <v>0</v>
      </c>
    </row>
    <row r="492" spans="1:5" x14ac:dyDescent="0.25">
      <c r="A492">
        <v>491</v>
      </c>
      <c r="B492">
        <v>2.2000000000000002</v>
      </c>
      <c r="C492">
        <v>1</v>
      </c>
      <c r="D492" t="s">
        <v>5</v>
      </c>
      <c r="E492">
        <v>0</v>
      </c>
    </row>
    <row r="493" spans="1:5" x14ac:dyDescent="0.25">
      <c r="A493">
        <v>492</v>
      </c>
      <c r="B493">
        <v>1.6</v>
      </c>
      <c r="C493">
        <v>4</v>
      </c>
      <c r="D493" t="s">
        <v>5</v>
      </c>
      <c r="E493">
        <v>0</v>
      </c>
    </row>
    <row r="494" spans="1:5" x14ac:dyDescent="0.25">
      <c r="A494">
        <v>493</v>
      </c>
      <c r="B494">
        <v>2.7</v>
      </c>
      <c r="C494">
        <v>1</v>
      </c>
      <c r="D494" t="s">
        <v>5</v>
      </c>
      <c r="E494">
        <v>0</v>
      </c>
    </row>
    <row r="495" spans="1:5" x14ac:dyDescent="0.25">
      <c r="A495">
        <v>494</v>
      </c>
      <c r="B495">
        <v>5.4</v>
      </c>
      <c r="C495">
        <v>9</v>
      </c>
      <c r="D495" t="s">
        <v>5</v>
      </c>
      <c r="E495">
        <v>0</v>
      </c>
    </row>
    <row r="496" spans="1:5" x14ac:dyDescent="0.25">
      <c r="A496">
        <v>495</v>
      </c>
      <c r="B496">
        <v>9.1</v>
      </c>
      <c r="C496">
        <v>11</v>
      </c>
      <c r="D496" t="s">
        <v>5</v>
      </c>
      <c r="E496">
        <v>0</v>
      </c>
    </row>
    <row r="497" spans="1:5" x14ac:dyDescent="0.25">
      <c r="A497">
        <v>496</v>
      </c>
      <c r="B497">
        <v>12.9</v>
      </c>
      <c r="C497">
        <v>8</v>
      </c>
      <c r="D497" t="s">
        <v>5</v>
      </c>
      <c r="E497">
        <v>0</v>
      </c>
    </row>
    <row r="498" spans="1:5" x14ac:dyDescent="0.25">
      <c r="A498">
        <v>497</v>
      </c>
      <c r="B498">
        <v>15.9</v>
      </c>
      <c r="C498">
        <v>16</v>
      </c>
      <c r="D498" t="s">
        <v>5</v>
      </c>
      <c r="E498">
        <v>0</v>
      </c>
    </row>
    <row r="499" spans="1:5" x14ac:dyDescent="0.25">
      <c r="A499">
        <v>498</v>
      </c>
      <c r="B499">
        <v>17.5</v>
      </c>
      <c r="C499">
        <v>15</v>
      </c>
      <c r="D499" t="s">
        <v>5</v>
      </c>
      <c r="E499">
        <v>0</v>
      </c>
    </row>
    <row r="500" spans="1:5" x14ac:dyDescent="0.25">
      <c r="A500">
        <v>499</v>
      </c>
      <c r="B500">
        <v>17.5</v>
      </c>
      <c r="C500">
        <v>8</v>
      </c>
      <c r="D500" t="s">
        <v>5</v>
      </c>
      <c r="E500">
        <v>0</v>
      </c>
    </row>
    <row r="501" spans="1:5" x14ac:dyDescent="0.25">
      <c r="A501">
        <v>500</v>
      </c>
      <c r="B501">
        <v>16.399999999999999</v>
      </c>
      <c r="C501">
        <v>14</v>
      </c>
      <c r="D501" t="s">
        <v>5</v>
      </c>
      <c r="E5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8395-FB77-4A3E-953F-F346F574A6C9}">
  <dimension ref="A1:H501"/>
  <sheetViews>
    <sheetView topLeftCell="A275" workbookViewId="0">
      <selection activeCell="D2" sqref="D2:D301"/>
    </sheetView>
  </sheetViews>
  <sheetFormatPr defaultRowHeight="15" x14ac:dyDescent="0.25"/>
  <cols>
    <col min="1" max="1" width="9.7109375" customWidth="1"/>
    <col min="2" max="2" width="12.28515625" bestFit="1" customWidth="1"/>
    <col min="4" max="4" width="11.7109375" customWidth="1"/>
    <col min="5" max="5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>
        <f>COUNTIFS(B:B,"&gt;=20",C:C,"&lt;=5")</f>
        <v>63</v>
      </c>
    </row>
    <row r="2" spans="1:8" x14ac:dyDescent="0.25">
      <c r="A2">
        <v>1</v>
      </c>
      <c r="B2">
        <v>19</v>
      </c>
      <c r="C2">
        <v>0</v>
      </c>
      <c r="D2" t="s">
        <v>5</v>
      </c>
      <c r="E2">
        <v>0</v>
      </c>
    </row>
    <row r="3" spans="1:8" x14ac:dyDescent="0.25">
      <c r="A3">
        <v>2</v>
      </c>
      <c r="B3">
        <v>22</v>
      </c>
      <c r="C3">
        <v>1</v>
      </c>
      <c r="D3" t="s">
        <v>6</v>
      </c>
      <c r="E3">
        <v>1</v>
      </c>
    </row>
    <row r="4" spans="1:8" x14ac:dyDescent="0.25">
      <c r="A4">
        <v>3</v>
      </c>
      <c r="B4">
        <v>23.6</v>
      </c>
      <c r="C4">
        <v>4</v>
      </c>
      <c r="D4" t="s">
        <v>6</v>
      </c>
      <c r="E4">
        <v>1</v>
      </c>
    </row>
    <row r="5" spans="1:8" x14ac:dyDescent="0.25">
      <c r="A5">
        <v>4</v>
      </c>
      <c r="B5">
        <v>23.6</v>
      </c>
      <c r="C5">
        <v>4</v>
      </c>
      <c r="D5" t="s">
        <v>6</v>
      </c>
      <c r="E5">
        <v>1</v>
      </c>
    </row>
    <row r="6" spans="1:8" x14ac:dyDescent="0.25">
      <c r="A6">
        <v>5</v>
      </c>
      <c r="B6">
        <v>22.3</v>
      </c>
      <c r="C6">
        <v>10</v>
      </c>
      <c r="D6" t="s">
        <v>6</v>
      </c>
      <c r="E6">
        <v>2</v>
      </c>
    </row>
    <row r="7" spans="1:8" x14ac:dyDescent="0.25">
      <c r="A7">
        <v>6</v>
      </c>
      <c r="B7">
        <v>20.399999999999999</v>
      </c>
      <c r="C7">
        <v>8</v>
      </c>
      <c r="D7" t="s">
        <v>6</v>
      </c>
      <c r="E7">
        <v>2</v>
      </c>
    </row>
    <row r="8" spans="1:8" x14ac:dyDescent="0.25">
      <c r="A8">
        <v>7</v>
      </c>
      <c r="B8">
        <v>18.899999999999999</v>
      </c>
      <c r="C8">
        <v>10</v>
      </c>
      <c r="D8" t="s">
        <v>6</v>
      </c>
      <c r="E8">
        <v>2</v>
      </c>
    </row>
    <row r="9" spans="1:8" x14ac:dyDescent="0.25">
      <c r="A9">
        <v>8</v>
      </c>
      <c r="B9">
        <v>18.5</v>
      </c>
      <c r="C9">
        <v>11</v>
      </c>
      <c r="D9" t="s">
        <v>6</v>
      </c>
      <c r="E9">
        <v>3</v>
      </c>
    </row>
    <row r="10" spans="1:8" x14ac:dyDescent="0.25">
      <c r="A10">
        <v>9</v>
      </c>
      <c r="B10">
        <v>19.5</v>
      </c>
      <c r="C10">
        <v>14</v>
      </c>
      <c r="D10" t="s">
        <v>6</v>
      </c>
      <c r="E10">
        <v>3</v>
      </c>
    </row>
    <row r="11" spans="1:8" x14ac:dyDescent="0.25">
      <c r="A11">
        <v>10</v>
      </c>
      <c r="B11">
        <v>21.8</v>
      </c>
      <c r="C11">
        <v>15</v>
      </c>
      <c r="D11" t="s">
        <v>6</v>
      </c>
      <c r="E11">
        <v>3</v>
      </c>
    </row>
    <row r="12" spans="1:8" x14ac:dyDescent="0.25">
      <c r="A12">
        <v>11</v>
      </c>
      <c r="B12">
        <v>24.8</v>
      </c>
      <c r="C12">
        <v>3</v>
      </c>
      <c r="D12" t="s">
        <v>6</v>
      </c>
      <c r="E12">
        <v>4</v>
      </c>
    </row>
    <row r="13" spans="1:8" x14ac:dyDescent="0.25">
      <c r="A13">
        <v>12</v>
      </c>
      <c r="B13">
        <v>27.7</v>
      </c>
      <c r="C13">
        <v>23</v>
      </c>
      <c r="D13" t="s">
        <v>6</v>
      </c>
      <c r="E13">
        <v>4</v>
      </c>
    </row>
    <row r="14" spans="1:8" x14ac:dyDescent="0.25">
      <c r="A14">
        <v>13</v>
      </c>
      <c r="B14">
        <v>29.5</v>
      </c>
      <c r="C14">
        <v>17</v>
      </c>
      <c r="D14" t="s">
        <v>6</v>
      </c>
      <c r="E14">
        <v>4</v>
      </c>
    </row>
    <row r="15" spans="1:8" x14ac:dyDescent="0.25">
      <c r="A15">
        <v>14</v>
      </c>
      <c r="B15">
        <v>29.8</v>
      </c>
      <c r="C15">
        <v>15</v>
      </c>
      <c r="D15" t="s">
        <v>6</v>
      </c>
      <c r="E15">
        <v>5</v>
      </c>
    </row>
    <row r="16" spans="1:8" x14ac:dyDescent="0.25">
      <c r="A16">
        <v>15</v>
      </c>
      <c r="B16">
        <v>28.3</v>
      </c>
      <c r="C16">
        <v>22</v>
      </c>
      <c r="D16" t="s">
        <v>6</v>
      </c>
      <c r="E16">
        <v>5</v>
      </c>
    </row>
    <row r="17" spans="1:5" x14ac:dyDescent="0.25">
      <c r="A17">
        <v>16</v>
      </c>
      <c r="B17">
        <v>25.5</v>
      </c>
      <c r="C17">
        <v>0</v>
      </c>
      <c r="D17" t="s">
        <v>5</v>
      </c>
      <c r="E17">
        <v>0</v>
      </c>
    </row>
    <row r="18" spans="1:5" x14ac:dyDescent="0.25">
      <c r="A18">
        <v>17</v>
      </c>
      <c r="B18">
        <v>22</v>
      </c>
      <c r="C18">
        <v>2</v>
      </c>
      <c r="D18" t="s">
        <v>6</v>
      </c>
      <c r="E18">
        <v>1</v>
      </c>
    </row>
    <row r="19" spans="1:5" x14ac:dyDescent="0.25">
      <c r="A19">
        <v>18</v>
      </c>
      <c r="B19">
        <v>18.899999999999999</v>
      </c>
      <c r="C19">
        <v>1</v>
      </c>
      <c r="D19" t="s">
        <v>6</v>
      </c>
      <c r="E19">
        <v>1</v>
      </c>
    </row>
    <row r="20" spans="1:5" x14ac:dyDescent="0.25">
      <c r="A20">
        <v>19</v>
      </c>
      <c r="B20">
        <v>16.899999999999999</v>
      </c>
      <c r="C20">
        <v>1</v>
      </c>
      <c r="D20" t="s">
        <v>6</v>
      </c>
      <c r="E20">
        <v>1</v>
      </c>
    </row>
    <row r="21" spans="1:5" x14ac:dyDescent="0.25">
      <c r="A21">
        <v>20</v>
      </c>
      <c r="B21">
        <v>16.3</v>
      </c>
      <c r="C21">
        <v>12</v>
      </c>
      <c r="D21" t="s">
        <v>6</v>
      </c>
      <c r="E21">
        <v>2</v>
      </c>
    </row>
    <row r="22" spans="1:5" x14ac:dyDescent="0.25">
      <c r="A22">
        <v>21</v>
      </c>
      <c r="B22">
        <v>17.100000000000001</v>
      </c>
      <c r="C22">
        <v>11</v>
      </c>
      <c r="D22" t="s">
        <v>6</v>
      </c>
      <c r="E22">
        <v>2</v>
      </c>
    </row>
    <row r="23" spans="1:5" x14ac:dyDescent="0.25">
      <c r="A23">
        <v>22</v>
      </c>
      <c r="B23">
        <v>18.7</v>
      </c>
      <c r="C23">
        <v>6</v>
      </c>
      <c r="D23" t="s">
        <v>6</v>
      </c>
      <c r="E23">
        <v>2</v>
      </c>
    </row>
    <row r="24" spans="1:5" x14ac:dyDescent="0.25">
      <c r="A24">
        <v>23</v>
      </c>
      <c r="B24">
        <v>20.2</v>
      </c>
      <c r="C24">
        <v>18</v>
      </c>
      <c r="D24" t="s">
        <v>6</v>
      </c>
      <c r="E24">
        <v>2</v>
      </c>
    </row>
    <row r="25" spans="1:5" x14ac:dyDescent="0.25">
      <c r="A25">
        <v>24</v>
      </c>
      <c r="B25">
        <v>20.8</v>
      </c>
      <c r="C25">
        <v>15</v>
      </c>
      <c r="D25" t="s">
        <v>6</v>
      </c>
      <c r="E25">
        <v>3</v>
      </c>
    </row>
    <row r="26" spans="1:5" x14ac:dyDescent="0.25">
      <c r="A26">
        <v>25</v>
      </c>
      <c r="B26">
        <v>19.899999999999999</v>
      </c>
      <c r="C26">
        <v>5</v>
      </c>
      <c r="D26" t="s">
        <v>6</v>
      </c>
      <c r="E26">
        <v>3</v>
      </c>
    </row>
    <row r="27" spans="1:5" x14ac:dyDescent="0.25">
      <c r="A27">
        <v>26</v>
      </c>
      <c r="B27">
        <v>17.5</v>
      </c>
      <c r="C27">
        <v>19</v>
      </c>
      <c r="D27" t="s">
        <v>6</v>
      </c>
      <c r="E27">
        <v>4</v>
      </c>
    </row>
    <row r="28" spans="1:5" x14ac:dyDescent="0.25">
      <c r="A28">
        <v>27</v>
      </c>
      <c r="B28">
        <v>13.9</v>
      </c>
      <c r="C28">
        <v>18</v>
      </c>
      <c r="D28" t="s">
        <v>6</v>
      </c>
      <c r="E28">
        <v>4</v>
      </c>
    </row>
    <row r="29" spans="1:5" x14ac:dyDescent="0.25">
      <c r="A29">
        <v>28</v>
      </c>
      <c r="B29">
        <v>9.9</v>
      </c>
      <c r="C29">
        <v>4</v>
      </c>
      <c r="D29" t="s">
        <v>6</v>
      </c>
      <c r="E29">
        <v>4</v>
      </c>
    </row>
    <row r="30" spans="1:5" x14ac:dyDescent="0.25">
      <c r="A30">
        <v>29</v>
      </c>
      <c r="B30">
        <v>6.4</v>
      </c>
      <c r="C30">
        <v>17</v>
      </c>
      <c r="D30" t="s">
        <v>6</v>
      </c>
      <c r="E30">
        <v>5</v>
      </c>
    </row>
    <row r="31" spans="1:5" x14ac:dyDescent="0.25">
      <c r="A31">
        <v>30</v>
      </c>
      <c r="B31">
        <v>4.2</v>
      </c>
      <c r="C31">
        <v>14</v>
      </c>
      <c r="D31" t="s">
        <v>6</v>
      </c>
      <c r="E31">
        <v>5</v>
      </c>
    </row>
    <row r="32" spans="1:5" x14ac:dyDescent="0.25">
      <c r="A32">
        <v>31</v>
      </c>
      <c r="B32">
        <v>3.6</v>
      </c>
      <c r="C32">
        <v>12</v>
      </c>
      <c r="D32" t="s">
        <v>6</v>
      </c>
      <c r="E32">
        <v>5</v>
      </c>
    </row>
    <row r="33" spans="1:5" x14ac:dyDescent="0.25">
      <c r="A33">
        <v>32</v>
      </c>
      <c r="B33">
        <v>4.5999999999999996</v>
      </c>
      <c r="C33">
        <v>11</v>
      </c>
      <c r="D33" t="s">
        <v>6</v>
      </c>
      <c r="E33">
        <v>5</v>
      </c>
    </row>
    <row r="34" spans="1:5" x14ac:dyDescent="0.25">
      <c r="A34">
        <v>33</v>
      </c>
      <c r="B34">
        <v>6.6</v>
      </c>
      <c r="C34">
        <v>17</v>
      </c>
      <c r="D34" t="s">
        <v>6</v>
      </c>
      <c r="E34">
        <v>5</v>
      </c>
    </row>
    <row r="35" spans="1:5" x14ac:dyDescent="0.25">
      <c r="A35">
        <v>34</v>
      </c>
      <c r="B35">
        <v>8.6999999999999993</v>
      </c>
      <c r="C35">
        <v>26</v>
      </c>
      <c r="D35" t="s">
        <v>6</v>
      </c>
      <c r="E35">
        <v>5</v>
      </c>
    </row>
    <row r="36" spans="1:5" x14ac:dyDescent="0.25">
      <c r="A36">
        <v>35</v>
      </c>
      <c r="B36">
        <v>10</v>
      </c>
      <c r="C36">
        <v>0</v>
      </c>
      <c r="D36" t="s">
        <v>5</v>
      </c>
      <c r="E36">
        <v>0</v>
      </c>
    </row>
    <row r="37" spans="1:5" x14ac:dyDescent="0.25">
      <c r="A37">
        <v>36</v>
      </c>
      <c r="B37">
        <v>10.1</v>
      </c>
      <c r="C37">
        <v>3</v>
      </c>
      <c r="D37" t="s">
        <v>6</v>
      </c>
      <c r="E37">
        <v>1</v>
      </c>
    </row>
    <row r="38" spans="1:5" x14ac:dyDescent="0.25">
      <c r="A38">
        <v>37</v>
      </c>
      <c r="B38">
        <v>8.8000000000000007</v>
      </c>
      <c r="C38">
        <v>3</v>
      </c>
      <c r="D38" t="s">
        <v>6</v>
      </c>
      <c r="E38">
        <v>1</v>
      </c>
    </row>
    <row r="39" spans="1:5" x14ac:dyDescent="0.25">
      <c r="A39">
        <v>38</v>
      </c>
      <c r="B39">
        <v>6.4</v>
      </c>
      <c r="C39">
        <v>5</v>
      </c>
      <c r="D39" t="s">
        <v>6</v>
      </c>
      <c r="E39">
        <v>1</v>
      </c>
    </row>
    <row r="40" spans="1:5" x14ac:dyDescent="0.25">
      <c r="A40">
        <v>39</v>
      </c>
      <c r="B40">
        <v>3.8</v>
      </c>
      <c r="C40">
        <v>11</v>
      </c>
      <c r="D40" t="s">
        <v>6</v>
      </c>
      <c r="E40">
        <v>2</v>
      </c>
    </row>
    <row r="41" spans="1:5" x14ac:dyDescent="0.25">
      <c r="A41">
        <v>40</v>
      </c>
      <c r="B41">
        <v>1.7</v>
      </c>
      <c r="C41">
        <v>6</v>
      </c>
      <c r="D41" t="s">
        <v>6</v>
      </c>
      <c r="E41">
        <v>2</v>
      </c>
    </row>
    <row r="42" spans="1:5" x14ac:dyDescent="0.25">
      <c r="A42">
        <v>41</v>
      </c>
      <c r="B42">
        <v>1</v>
      </c>
      <c r="C42">
        <v>3</v>
      </c>
      <c r="D42" t="s">
        <v>6</v>
      </c>
      <c r="E42">
        <v>2</v>
      </c>
    </row>
    <row r="43" spans="1:5" x14ac:dyDescent="0.25">
      <c r="A43">
        <v>42</v>
      </c>
      <c r="B43">
        <v>2</v>
      </c>
      <c r="C43">
        <v>17</v>
      </c>
      <c r="D43" t="s">
        <v>6</v>
      </c>
      <c r="E43">
        <v>3</v>
      </c>
    </row>
    <row r="44" spans="1:5" x14ac:dyDescent="0.25">
      <c r="A44">
        <v>43</v>
      </c>
      <c r="B44">
        <v>4.5999999999999996</v>
      </c>
      <c r="C44">
        <v>5</v>
      </c>
      <c r="D44" t="s">
        <v>6</v>
      </c>
      <c r="E44">
        <v>3</v>
      </c>
    </row>
    <row r="45" spans="1:5" x14ac:dyDescent="0.25">
      <c r="A45">
        <v>44</v>
      </c>
      <c r="B45">
        <v>8.1999999999999993</v>
      </c>
      <c r="C45">
        <v>8</v>
      </c>
      <c r="D45" t="s">
        <v>6</v>
      </c>
      <c r="E45">
        <v>3</v>
      </c>
    </row>
    <row r="46" spans="1:5" x14ac:dyDescent="0.25">
      <c r="A46">
        <v>45</v>
      </c>
      <c r="B46">
        <v>11.8</v>
      </c>
      <c r="C46">
        <v>2</v>
      </c>
      <c r="D46" t="s">
        <v>6</v>
      </c>
      <c r="E46">
        <v>4</v>
      </c>
    </row>
    <row r="47" spans="1:5" x14ac:dyDescent="0.25">
      <c r="A47">
        <v>46</v>
      </c>
      <c r="B47">
        <v>14.7</v>
      </c>
      <c r="C47">
        <v>1</v>
      </c>
      <c r="D47" t="s">
        <v>6</v>
      </c>
      <c r="E47">
        <v>4</v>
      </c>
    </row>
    <row r="48" spans="1:5" x14ac:dyDescent="0.25">
      <c r="A48">
        <v>47</v>
      </c>
      <c r="B48">
        <v>16.3</v>
      </c>
      <c r="C48">
        <v>11</v>
      </c>
      <c r="D48" t="s">
        <v>6</v>
      </c>
      <c r="E48">
        <v>4</v>
      </c>
    </row>
    <row r="49" spans="1:5" x14ac:dyDescent="0.25">
      <c r="A49">
        <v>48</v>
      </c>
      <c r="B49">
        <v>16.3</v>
      </c>
      <c r="C49">
        <v>25</v>
      </c>
      <c r="D49" t="s">
        <v>6</v>
      </c>
      <c r="E49">
        <v>5</v>
      </c>
    </row>
    <row r="50" spans="1:5" x14ac:dyDescent="0.25">
      <c r="A50">
        <v>49</v>
      </c>
      <c r="B50">
        <v>15.2</v>
      </c>
      <c r="C50">
        <v>0</v>
      </c>
      <c r="D50" t="s">
        <v>5</v>
      </c>
      <c r="E50">
        <v>0</v>
      </c>
    </row>
    <row r="51" spans="1:5" x14ac:dyDescent="0.25">
      <c r="A51">
        <v>50</v>
      </c>
      <c r="B51">
        <v>13.6</v>
      </c>
      <c r="C51">
        <v>2</v>
      </c>
      <c r="D51" t="s">
        <v>6</v>
      </c>
      <c r="E51">
        <v>1</v>
      </c>
    </row>
    <row r="52" spans="1:5" x14ac:dyDescent="0.25">
      <c r="A52">
        <v>51</v>
      </c>
      <c r="B52">
        <v>12.5</v>
      </c>
      <c r="C52">
        <v>3</v>
      </c>
      <c r="D52" t="s">
        <v>6</v>
      </c>
      <c r="E52">
        <v>1</v>
      </c>
    </row>
    <row r="53" spans="1:5" x14ac:dyDescent="0.25">
      <c r="A53">
        <v>52</v>
      </c>
      <c r="B53">
        <v>12.5</v>
      </c>
      <c r="C53">
        <v>2</v>
      </c>
      <c r="D53" t="s">
        <v>6</v>
      </c>
      <c r="E53">
        <v>1</v>
      </c>
    </row>
    <row r="54" spans="1:5" x14ac:dyDescent="0.25">
      <c r="A54">
        <v>53</v>
      </c>
      <c r="B54">
        <v>14.1</v>
      </c>
      <c r="C54">
        <v>4</v>
      </c>
      <c r="D54" t="s">
        <v>6</v>
      </c>
      <c r="E54">
        <v>2</v>
      </c>
    </row>
    <row r="55" spans="1:5" x14ac:dyDescent="0.25">
      <c r="A55">
        <v>54</v>
      </c>
      <c r="B55">
        <v>17.100000000000001</v>
      </c>
      <c r="C55">
        <v>5</v>
      </c>
      <c r="D55" t="s">
        <v>6</v>
      </c>
      <c r="E55">
        <v>2</v>
      </c>
    </row>
    <row r="56" spans="1:5" x14ac:dyDescent="0.25">
      <c r="A56">
        <v>55</v>
      </c>
      <c r="B56">
        <v>20.9</v>
      </c>
      <c r="C56">
        <v>9</v>
      </c>
      <c r="D56" t="s">
        <v>6</v>
      </c>
      <c r="E56">
        <v>2</v>
      </c>
    </row>
    <row r="57" spans="1:5" x14ac:dyDescent="0.25">
      <c r="A57">
        <v>56</v>
      </c>
      <c r="B57">
        <v>24.5</v>
      </c>
      <c r="C57">
        <v>2</v>
      </c>
      <c r="D57" t="s">
        <v>6</v>
      </c>
      <c r="E57">
        <v>3</v>
      </c>
    </row>
    <row r="58" spans="1:5" x14ac:dyDescent="0.25">
      <c r="A58">
        <v>57</v>
      </c>
      <c r="B58">
        <v>27.3</v>
      </c>
      <c r="C58">
        <v>16</v>
      </c>
      <c r="D58" t="s">
        <v>6</v>
      </c>
      <c r="E58">
        <v>3</v>
      </c>
    </row>
    <row r="59" spans="1:5" x14ac:dyDescent="0.25">
      <c r="A59">
        <v>58</v>
      </c>
      <c r="B59">
        <v>28.4</v>
      </c>
      <c r="C59">
        <v>14</v>
      </c>
      <c r="D59" t="s">
        <v>6</v>
      </c>
      <c r="E59">
        <v>3</v>
      </c>
    </row>
    <row r="60" spans="1:5" x14ac:dyDescent="0.25">
      <c r="A60">
        <v>59</v>
      </c>
      <c r="B60">
        <v>27.8</v>
      </c>
      <c r="C60">
        <v>14</v>
      </c>
      <c r="D60" t="s">
        <v>6</v>
      </c>
      <c r="E60">
        <v>3</v>
      </c>
    </row>
    <row r="61" spans="1:5" x14ac:dyDescent="0.25">
      <c r="A61">
        <v>60</v>
      </c>
      <c r="B61">
        <v>25.9</v>
      </c>
      <c r="C61">
        <v>6</v>
      </c>
      <c r="D61" t="s">
        <v>6</v>
      </c>
      <c r="E61">
        <v>4</v>
      </c>
    </row>
    <row r="62" spans="1:5" x14ac:dyDescent="0.25">
      <c r="A62">
        <v>61</v>
      </c>
      <c r="B62">
        <v>23.4</v>
      </c>
      <c r="C62">
        <v>21</v>
      </c>
      <c r="D62" t="s">
        <v>6</v>
      </c>
      <c r="E62">
        <v>4</v>
      </c>
    </row>
    <row r="63" spans="1:5" x14ac:dyDescent="0.25">
      <c r="A63">
        <v>62</v>
      </c>
      <c r="B63">
        <v>21.2</v>
      </c>
      <c r="C63">
        <v>21</v>
      </c>
      <c r="D63" t="s">
        <v>6</v>
      </c>
      <c r="E63">
        <v>5</v>
      </c>
    </row>
    <row r="64" spans="1:5" x14ac:dyDescent="0.25">
      <c r="A64">
        <v>63</v>
      </c>
      <c r="B64">
        <v>20</v>
      </c>
      <c r="C64">
        <v>0</v>
      </c>
      <c r="D64" t="s">
        <v>5</v>
      </c>
      <c r="E64">
        <v>0</v>
      </c>
    </row>
    <row r="65" spans="1:5" x14ac:dyDescent="0.25">
      <c r="A65">
        <v>64</v>
      </c>
      <c r="B65">
        <v>20.3</v>
      </c>
      <c r="C65">
        <v>4</v>
      </c>
      <c r="D65" t="s">
        <v>6</v>
      </c>
      <c r="E65">
        <v>1</v>
      </c>
    </row>
    <row r="66" spans="1:5" x14ac:dyDescent="0.25">
      <c r="A66">
        <v>65</v>
      </c>
      <c r="B66">
        <v>21.8</v>
      </c>
      <c r="C66">
        <v>6</v>
      </c>
      <c r="D66" t="s">
        <v>6</v>
      </c>
      <c r="E66">
        <v>1</v>
      </c>
    </row>
    <row r="67" spans="1:5" x14ac:dyDescent="0.25">
      <c r="A67">
        <v>66</v>
      </c>
      <c r="B67">
        <v>24</v>
      </c>
      <c r="C67">
        <v>3</v>
      </c>
      <c r="D67" t="s">
        <v>6</v>
      </c>
      <c r="E67">
        <v>1</v>
      </c>
    </row>
    <row r="68" spans="1:5" x14ac:dyDescent="0.25">
      <c r="A68">
        <v>67</v>
      </c>
      <c r="B68">
        <v>26.1</v>
      </c>
      <c r="C68">
        <v>7</v>
      </c>
      <c r="D68" t="s">
        <v>6</v>
      </c>
      <c r="E68">
        <v>2</v>
      </c>
    </row>
    <row r="69" spans="1:5" x14ac:dyDescent="0.25">
      <c r="A69">
        <v>68</v>
      </c>
      <c r="B69">
        <v>27.3</v>
      </c>
      <c r="C69">
        <v>6</v>
      </c>
      <c r="D69" t="s">
        <v>6</v>
      </c>
      <c r="E69">
        <v>2</v>
      </c>
    </row>
    <row r="70" spans="1:5" x14ac:dyDescent="0.25">
      <c r="A70">
        <v>69</v>
      </c>
      <c r="B70">
        <v>26.8</v>
      </c>
      <c r="C70">
        <v>8</v>
      </c>
      <c r="D70" t="s">
        <v>6</v>
      </c>
      <c r="E70">
        <v>2</v>
      </c>
    </row>
    <row r="71" spans="1:5" x14ac:dyDescent="0.25">
      <c r="A71">
        <v>70</v>
      </c>
      <c r="B71">
        <v>24.7</v>
      </c>
      <c r="C71">
        <v>3</v>
      </c>
      <c r="D71" t="s">
        <v>6</v>
      </c>
      <c r="E71">
        <v>3</v>
      </c>
    </row>
    <row r="72" spans="1:5" x14ac:dyDescent="0.25">
      <c r="A72">
        <v>71</v>
      </c>
      <c r="B72">
        <v>21.2</v>
      </c>
      <c r="C72">
        <v>16</v>
      </c>
      <c r="D72" t="s">
        <v>6</v>
      </c>
      <c r="E72">
        <v>3</v>
      </c>
    </row>
    <row r="73" spans="1:5" x14ac:dyDescent="0.25">
      <c r="A73">
        <v>72</v>
      </c>
      <c r="B73">
        <v>17.3</v>
      </c>
      <c r="C73">
        <v>8</v>
      </c>
      <c r="D73" t="s">
        <v>6</v>
      </c>
      <c r="E73">
        <v>3</v>
      </c>
    </row>
    <row r="74" spans="1:5" x14ac:dyDescent="0.25">
      <c r="A74">
        <v>73</v>
      </c>
      <c r="B74">
        <v>13.7</v>
      </c>
      <c r="C74">
        <v>19</v>
      </c>
      <c r="D74" t="s">
        <v>6</v>
      </c>
      <c r="E74">
        <v>4</v>
      </c>
    </row>
    <row r="75" spans="1:5" x14ac:dyDescent="0.25">
      <c r="A75">
        <v>74</v>
      </c>
      <c r="B75">
        <v>11.3</v>
      </c>
      <c r="C75">
        <v>5</v>
      </c>
      <c r="D75" t="s">
        <v>6</v>
      </c>
      <c r="E75">
        <v>4</v>
      </c>
    </row>
    <row r="76" spans="1:5" x14ac:dyDescent="0.25">
      <c r="A76">
        <v>75</v>
      </c>
      <c r="B76">
        <v>10.5</v>
      </c>
      <c r="C76">
        <v>2</v>
      </c>
      <c r="D76" t="s">
        <v>6</v>
      </c>
      <c r="E76">
        <v>4</v>
      </c>
    </row>
    <row r="77" spans="1:5" x14ac:dyDescent="0.25">
      <c r="A77">
        <v>76</v>
      </c>
      <c r="B77">
        <v>11</v>
      </c>
      <c r="C77">
        <v>22</v>
      </c>
      <c r="D77" t="s">
        <v>6</v>
      </c>
      <c r="E77">
        <v>5</v>
      </c>
    </row>
    <row r="78" spans="1:5" x14ac:dyDescent="0.25">
      <c r="A78">
        <v>77</v>
      </c>
      <c r="B78">
        <v>12.5</v>
      </c>
      <c r="C78">
        <v>0</v>
      </c>
      <c r="D78" t="s">
        <v>5</v>
      </c>
      <c r="E78">
        <v>0</v>
      </c>
    </row>
    <row r="79" spans="1:5" x14ac:dyDescent="0.25">
      <c r="A79">
        <v>78</v>
      </c>
      <c r="B79">
        <v>14</v>
      </c>
      <c r="C79">
        <v>2</v>
      </c>
      <c r="D79" t="s">
        <v>6</v>
      </c>
      <c r="E79">
        <v>1</v>
      </c>
    </row>
    <row r="80" spans="1:5" x14ac:dyDescent="0.25">
      <c r="A80">
        <v>79</v>
      </c>
      <c r="B80">
        <v>14.7</v>
      </c>
      <c r="C80">
        <v>4</v>
      </c>
      <c r="D80" t="s">
        <v>6</v>
      </c>
      <c r="E80">
        <v>1</v>
      </c>
    </row>
    <row r="81" spans="1:5" x14ac:dyDescent="0.25">
      <c r="A81">
        <v>80</v>
      </c>
      <c r="B81">
        <v>14.1</v>
      </c>
      <c r="C81">
        <v>5</v>
      </c>
      <c r="D81" t="s">
        <v>7</v>
      </c>
      <c r="E81">
        <v>1</v>
      </c>
    </row>
    <row r="82" spans="1:5" x14ac:dyDescent="0.25">
      <c r="A82">
        <v>81</v>
      </c>
      <c r="B82">
        <v>11.9</v>
      </c>
      <c r="C82">
        <v>8</v>
      </c>
      <c r="D82" t="s">
        <v>6</v>
      </c>
      <c r="E82">
        <v>2</v>
      </c>
    </row>
    <row r="83" spans="1:5" x14ac:dyDescent="0.25">
      <c r="A83">
        <v>82</v>
      </c>
      <c r="B83">
        <v>8.6999999999999993</v>
      </c>
      <c r="C83">
        <v>6</v>
      </c>
      <c r="D83" t="s">
        <v>6</v>
      </c>
      <c r="E83">
        <v>2</v>
      </c>
    </row>
    <row r="84" spans="1:5" x14ac:dyDescent="0.25">
      <c r="A84">
        <v>83</v>
      </c>
      <c r="B84">
        <v>5.0999999999999996</v>
      </c>
      <c r="C84">
        <v>3</v>
      </c>
      <c r="D84" t="s">
        <v>6</v>
      </c>
      <c r="E84">
        <v>2</v>
      </c>
    </row>
    <row r="85" spans="1:5" x14ac:dyDescent="0.25">
      <c r="A85">
        <v>84</v>
      </c>
      <c r="B85">
        <v>2.2000000000000002</v>
      </c>
      <c r="C85">
        <v>1</v>
      </c>
      <c r="D85" t="s">
        <v>6</v>
      </c>
      <c r="E85">
        <v>3</v>
      </c>
    </row>
    <row r="86" spans="1:5" x14ac:dyDescent="0.25">
      <c r="A86">
        <v>85</v>
      </c>
      <c r="B86">
        <v>0.5</v>
      </c>
      <c r="C86">
        <v>5</v>
      </c>
      <c r="D86" t="s">
        <v>6</v>
      </c>
      <c r="E86">
        <v>3</v>
      </c>
    </row>
    <row r="87" spans="1:5" x14ac:dyDescent="0.25">
      <c r="A87">
        <v>86</v>
      </c>
      <c r="B87">
        <v>0.6</v>
      </c>
      <c r="C87">
        <v>13</v>
      </c>
      <c r="D87" t="s">
        <v>6</v>
      </c>
      <c r="E87">
        <v>3</v>
      </c>
    </row>
    <row r="88" spans="1:5" x14ac:dyDescent="0.25">
      <c r="A88">
        <v>87</v>
      </c>
      <c r="B88">
        <v>2.2999999999999998</v>
      </c>
      <c r="C88">
        <v>4</v>
      </c>
      <c r="D88" t="s">
        <v>6</v>
      </c>
      <c r="E88">
        <v>4</v>
      </c>
    </row>
    <row r="89" spans="1:5" x14ac:dyDescent="0.25">
      <c r="A89">
        <v>88</v>
      </c>
      <c r="B89">
        <v>5</v>
      </c>
      <c r="C89">
        <v>9</v>
      </c>
      <c r="D89" t="s">
        <v>6</v>
      </c>
      <c r="E89">
        <v>4</v>
      </c>
    </row>
    <row r="90" spans="1:5" x14ac:dyDescent="0.25">
      <c r="A90">
        <v>89</v>
      </c>
      <c r="B90">
        <v>7.9</v>
      </c>
      <c r="C90">
        <v>24</v>
      </c>
      <c r="D90" t="s">
        <v>6</v>
      </c>
      <c r="E90">
        <v>4</v>
      </c>
    </row>
    <row r="91" spans="1:5" x14ac:dyDescent="0.25">
      <c r="A91">
        <v>90</v>
      </c>
      <c r="B91">
        <v>10</v>
      </c>
      <c r="C91">
        <v>15</v>
      </c>
      <c r="D91" t="s">
        <v>6</v>
      </c>
      <c r="E91">
        <v>5</v>
      </c>
    </row>
    <row r="92" spans="1:5" x14ac:dyDescent="0.25">
      <c r="A92">
        <v>91</v>
      </c>
      <c r="B92">
        <v>10.9</v>
      </c>
      <c r="C92">
        <v>29</v>
      </c>
      <c r="D92" t="s">
        <v>6</v>
      </c>
      <c r="E92">
        <v>5</v>
      </c>
    </row>
    <row r="93" spans="1:5" x14ac:dyDescent="0.25">
      <c r="A93">
        <v>92</v>
      </c>
      <c r="B93">
        <v>10.3</v>
      </c>
      <c r="C93">
        <v>0</v>
      </c>
      <c r="D93" t="s">
        <v>5</v>
      </c>
      <c r="E93">
        <v>0</v>
      </c>
    </row>
    <row r="94" spans="1:5" x14ac:dyDescent="0.25">
      <c r="A94">
        <v>93</v>
      </c>
      <c r="B94">
        <v>8.6999999999999993</v>
      </c>
      <c r="C94">
        <v>1</v>
      </c>
      <c r="D94" t="s">
        <v>7</v>
      </c>
      <c r="E94">
        <v>1</v>
      </c>
    </row>
    <row r="95" spans="1:5" x14ac:dyDescent="0.25">
      <c r="A95">
        <v>94</v>
      </c>
      <c r="B95">
        <v>6.7</v>
      </c>
      <c r="C95">
        <v>3</v>
      </c>
      <c r="D95" t="s">
        <v>7</v>
      </c>
      <c r="E95">
        <v>1</v>
      </c>
    </row>
    <row r="96" spans="1:5" x14ac:dyDescent="0.25">
      <c r="A96">
        <v>95</v>
      </c>
      <c r="B96">
        <v>5.3</v>
      </c>
      <c r="C96">
        <v>6</v>
      </c>
      <c r="D96" t="s">
        <v>7</v>
      </c>
      <c r="E96">
        <v>1</v>
      </c>
    </row>
    <row r="97" spans="1:5" x14ac:dyDescent="0.25">
      <c r="A97">
        <v>96</v>
      </c>
      <c r="B97">
        <v>5.2</v>
      </c>
      <c r="C97">
        <v>3</v>
      </c>
      <c r="D97" t="s">
        <v>7</v>
      </c>
      <c r="E97">
        <v>2</v>
      </c>
    </row>
    <row r="98" spans="1:5" x14ac:dyDescent="0.25">
      <c r="A98">
        <v>97</v>
      </c>
      <c r="B98">
        <v>6.8</v>
      </c>
      <c r="C98">
        <v>2</v>
      </c>
      <c r="D98" t="s">
        <v>7</v>
      </c>
      <c r="E98">
        <v>2</v>
      </c>
    </row>
    <row r="99" spans="1:5" x14ac:dyDescent="0.25">
      <c r="A99">
        <v>98</v>
      </c>
      <c r="B99">
        <v>9.8000000000000007</v>
      </c>
      <c r="C99">
        <v>11</v>
      </c>
      <c r="D99" t="s">
        <v>7</v>
      </c>
      <c r="E99">
        <v>2</v>
      </c>
    </row>
    <row r="100" spans="1:5" x14ac:dyDescent="0.25">
      <c r="A100">
        <v>99</v>
      </c>
      <c r="B100">
        <v>13.7</v>
      </c>
      <c r="C100">
        <v>8</v>
      </c>
      <c r="D100" t="s">
        <v>7</v>
      </c>
      <c r="E100">
        <v>3</v>
      </c>
    </row>
    <row r="101" spans="1:5" x14ac:dyDescent="0.25">
      <c r="A101">
        <v>100</v>
      </c>
      <c r="B101">
        <v>17.7</v>
      </c>
      <c r="C101">
        <v>6</v>
      </c>
      <c r="D101" t="s">
        <v>7</v>
      </c>
      <c r="E101">
        <v>3</v>
      </c>
    </row>
    <row r="102" spans="1:5" x14ac:dyDescent="0.25">
      <c r="A102">
        <v>101</v>
      </c>
      <c r="B102">
        <v>20.8</v>
      </c>
      <c r="C102">
        <v>5</v>
      </c>
      <c r="D102" t="s">
        <v>7</v>
      </c>
      <c r="E102">
        <v>3</v>
      </c>
    </row>
    <row r="103" spans="1:5" x14ac:dyDescent="0.25">
      <c r="A103">
        <v>102</v>
      </c>
      <c r="B103">
        <v>22.4</v>
      </c>
      <c r="C103">
        <v>20</v>
      </c>
      <c r="D103" t="s">
        <v>7</v>
      </c>
      <c r="E103">
        <v>4</v>
      </c>
    </row>
    <row r="104" spans="1:5" x14ac:dyDescent="0.25">
      <c r="A104">
        <v>103</v>
      </c>
      <c r="B104">
        <v>22.5</v>
      </c>
      <c r="C104">
        <v>17</v>
      </c>
      <c r="D104" t="s">
        <v>7</v>
      </c>
      <c r="E104">
        <v>4</v>
      </c>
    </row>
    <row r="105" spans="1:5" x14ac:dyDescent="0.25">
      <c r="A105">
        <v>104</v>
      </c>
      <c r="B105">
        <v>21.2</v>
      </c>
      <c r="C105">
        <v>11</v>
      </c>
      <c r="D105" t="s">
        <v>7</v>
      </c>
      <c r="E105">
        <v>4</v>
      </c>
    </row>
    <row r="106" spans="1:5" x14ac:dyDescent="0.25">
      <c r="A106">
        <v>105</v>
      </c>
      <c r="B106">
        <v>19.5</v>
      </c>
      <c r="C106">
        <v>27</v>
      </c>
      <c r="D106" t="s">
        <v>7</v>
      </c>
      <c r="E106">
        <v>5</v>
      </c>
    </row>
    <row r="107" spans="1:5" x14ac:dyDescent="0.25">
      <c r="A107">
        <v>106</v>
      </c>
      <c r="B107">
        <v>18.100000000000001</v>
      </c>
      <c r="C107">
        <v>0</v>
      </c>
      <c r="D107" t="s">
        <v>5</v>
      </c>
      <c r="E107">
        <v>0</v>
      </c>
    </row>
    <row r="108" spans="1:5" x14ac:dyDescent="0.25">
      <c r="A108">
        <v>107</v>
      </c>
      <c r="B108">
        <v>17.8</v>
      </c>
      <c r="C108">
        <v>5</v>
      </c>
      <c r="D108" t="s">
        <v>6</v>
      </c>
      <c r="E108">
        <v>1</v>
      </c>
    </row>
    <row r="109" spans="1:5" x14ac:dyDescent="0.25">
      <c r="A109">
        <v>108</v>
      </c>
      <c r="B109">
        <v>18.899999999999999</v>
      </c>
      <c r="C109">
        <v>3</v>
      </c>
      <c r="D109" t="s">
        <v>6</v>
      </c>
      <c r="E109">
        <v>1</v>
      </c>
    </row>
    <row r="110" spans="1:5" x14ac:dyDescent="0.25">
      <c r="A110">
        <v>109</v>
      </c>
      <c r="B110">
        <v>21.3</v>
      </c>
      <c r="C110">
        <v>1</v>
      </c>
      <c r="D110" t="s">
        <v>6</v>
      </c>
      <c r="E110">
        <v>1</v>
      </c>
    </row>
    <row r="111" spans="1:5" x14ac:dyDescent="0.25">
      <c r="A111">
        <v>110</v>
      </c>
      <c r="B111">
        <v>24.5</v>
      </c>
      <c r="C111">
        <v>7</v>
      </c>
      <c r="D111" t="s">
        <v>6</v>
      </c>
      <c r="E111">
        <v>2</v>
      </c>
    </row>
    <row r="112" spans="1:5" x14ac:dyDescent="0.25">
      <c r="A112">
        <v>111</v>
      </c>
      <c r="B112">
        <v>27.5</v>
      </c>
      <c r="C112">
        <v>12</v>
      </c>
      <c r="D112" t="s">
        <v>6</v>
      </c>
      <c r="E112">
        <v>2</v>
      </c>
    </row>
    <row r="113" spans="1:5" x14ac:dyDescent="0.25">
      <c r="A113">
        <v>112</v>
      </c>
      <c r="B113">
        <v>29.5</v>
      </c>
      <c r="C113">
        <v>6</v>
      </c>
      <c r="D113" t="s">
        <v>6</v>
      </c>
      <c r="E113">
        <v>2</v>
      </c>
    </row>
    <row r="114" spans="1:5" x14ac:dyDescent="0.25">
      <c r="A114">
        <v>113</v>
      </c>
      <c r="B114">
        <v>29.9</v>
      </c>
      <c r="C114">
        <v>5</v>
      </c>
      <c r="D114" t="s">
        <v>6</v>
      </c>
      <c r="E114">
        <v>3</v>
      </c>
    </row>
    <row r="115" spans="1:5" x14ac:dyDescent="0.25">
      <c r="A115">
        <v>114</v>
      </c>
      <c r="B115">
        <v>28.6</v>
      </c>
      <c r="C115">
        <v>6</v>
      </c>
      <c r="D115" t="s">
        <v>6</v>
      </c>
      <c r="E115">
        <v>3</v>
      </c>
    </row>
    <row r="116" spans="1:5" x14ac:dyDescent="0.25">
      <c r="A116">
        <v>115</v>
      </c>
      <c r="B116">
        <v>25.9</v>
      </c>
      <c r="C116">
        <v>6</v>
      </c>
      <c r="D116" t="s">
        <v>6</v>
      </c>
      <c r="E116">
        <v>3</v>
      </c>
    </row>
    <row r="117" spans="1:5" x14ac:dyDescent="0.25">
      <c r="A117">
        <v>116</v>
      </c>
      <c r="B117">
        <v>22.6</v>
      </c>
      <c r="C117">
        <v>23</v>
      </c>
      <c r="D117" t="s">
        <v>6</v>
      </c>
      <c r="E117">
        <v>4</v>
      </c>
    </row>
    <row r="118" spans="1:5" x14ac:dyDescent="0.25">
      <c r="A118">
        <v>117</v>
      </c>
      <c r="B118">
        <v>19.7</v>
      </c>
      <c r="C118">
        <v>16</v>
      </c>
      <c r="D118" t="s">
        <v>6</v>
      </c>
      <c r="E118">
        <v>4</v>
      </c>
    </row>
    <row r="119" spans="1:5" x14ac:dyDescent="0.25">
      <c r="A119">
        <v>118</v>
      </c>
      <c r="B119">
        <v>17.8</v>
      </c>
      <c r="C119">
        <v>1</v>
      </c>
      <c r="D119" t="s">
        <v>6</v>
      </c>
      <c r="E119">
        <v>4</v>
      </c>
    </row>
    <row r="120" spans="1:5" x14ac:dyDescent="0.25">
      <c r="A120">
        <v>119</v>
      </c>
      <c r="B120">
        <v>17.3</v>
      </c>
      <c r="C120">
        <v>27</v>
      </c>
      <c r="D120" t="s">
        <v>6</v>
      </c>
      <c r="E120">
        <v>5</v>
      </c>
    </row>
    <row r="121" spans="1:5" x14ac:dyDescent="0.25">
      <c r="A121">
        <v>120</v>
      </c>
      <c r="B121">
        <v>18.2</v>
      </c>
      <c r="C121">
        <v>0</v>
      </c>
      <c r="D121" t="s">
        <v>5</v>
      </c>
      <c r="E121">
        <v>0</v>
      </c>
    </row>
    <row r="122" spans="1:5" x14ac:dyDescent="0.25">
      <c r="A122">
        <v>121</v>
      </c>
      <c r="B122">
        <v>19.8</v>
      </c>
      <c r="C122">
        <v>1</v>
      </c>
      <c r="D122" t="s">
        <v>6</v>
      </c>
      <c r="E122">
        <v>1</v>
      </c>
    </row>
    <row r="123" spans="1:5" x14ac:dyDescent="0.25">
      <c r="A123">
        <v>122</v>
      </c>
      <c r="B123">
        <v>21.4</v>
      </c>
      <c r="C123">
        <v>1</v>
      </c>
      <c r="D123" t="s">
        <v>6</v>
      </c>
      <c r="E123">
        <v>1</v>
      </c>
    </row>
    <row r="124" spans="1:5" x14ac:dyDescent="0.25">
      <c r="A124">
        <v>123</v>
      </c>
      <c r="B124">
        <v>22</v>
      </c>
      <c r="C124">
        <v>6</v>
      </c>
      <c r="D124" t="s">
        <v>6</v>
      </c>
      <c r="E124">
        <v>1</v>
      </c>
    </row>
    <row r="125" spans="1:5" x14ac:dyDescent="0.25">
      <c r="A125">
        <v>124</v>
      </c>
      <c r="B125">
        <v>21.2</v>
      </c>
      <c r="C125">
        <v>9</v>
      </c>
      <c r="D125" t="s">
        <v>6</v>
      </c>
      <c r="E125">
        <v>2</v>
      </c>
    </row>
    <row r="126" spans="1:5" x14ac:dyDescent="0.25">
      <c r="A126">
        <v>125</v>
      </c>
      <c r="B126">
        <v>18.8</v>
      </c>
      <c r="C126">
        <v>7</v>
      </c>
      <c r="D126" t="s">
        <v>6</v>
      </c>
      <c r="E126">
        <v>2</v>
      </c>
    </row>
    <row r="127" spans="1:5" x14ac:dyDescent="0.25">
      <c r="A127">
        <v>126</v>
      </c>
      <c r="B127">
        <v>15.2</v>
      </c>
      <c r="C127">
        <v>12</v>
      </c>
      <c r="D127" t="s">
        <v>6</v>
      </c>
      <c r="E127">
        <v>2</v>
      </c>
    </row>
    <row r="128" spans="1:5" x14ac:dyDescent="0.25">
      <c r="A128">
        <v>127</v>
      </c>
      <c r="B128">
        <v>11.1</v>
      </c>
      <c r="C128">
        <v>15</v>
      </c>
      <c r="D128" t="s">
        <v>6</v>
      </c>
      <c r="E128">
        <v>3</v>
      </c>
    </row>
    <row r="129" spans="1:5" x14ac:dyDescent="0.25">
      <c r="A129">
        <v>128</v>
      </c>
      <c r="B129">
        <v>7.5</v>
      </c>
      <c r="C129">
        <v>10</v>
      </c>
      <c r="D129" t="s">
        <v>6</v>
      </c>
      <c r="E129">
        <v>3</v>
      </c>
    </row>
    <row r="130" spans="1:5" x14ac:dyDescent="0.25">
      <c r="A130">
        <v>129</v>
      </c>
      <c r="B130">
        <v>5.2</v>
      </c>
      <c r="C130">
        <v>5</v>
      </c>
      <c r="D130" t="s">
        <v>6</v>
      </c>
      <c r="E130">
        <v>3</v>
      </c>
    </row>
    <row r="131" spans="1:5" x14ac:dyDescent="0.25">
      <c r="A131">
        <v>130</v>
      </c>
      <c r="B131">
        <v>4.5999999999999996</v>
      </c>
      <c r="C131">
        <v>23</v>
      </c>
      <c r="D131" t="s">
        <v>6</v>
      </c>
      <c r="E131">
        <v>4</v>
      </c>
    </row>
    <row r="132" spans="1:5" x14ac:dyDescent="0.25">
      <c r="A132">
        <v>131</v>
      </c>
      <c r="B132">
        <v>5.5</v>
      </c>
      <c r="C132">
        <v>11</v>
      </c>
      <c r="D132" t="s">
        <v>6</v>
      </c>
      <c r="E132">
        <v>4</v>
      </c>
    </row>
    <row r="133" spans="1:5" x14ac:dyDescent="0.25">
      <c r="A133">
        <v>132</v>
      </c>
      <c r="B133">
        <v>7.3</v>
      </c>
      <c r="C133">
        <v>23</v>
      </c>
      <c r="D133" t="s">
        <v>6</v>
      </c>
      <c r="E133">
        <v>4</v>
      </c>
    </row>
    <row r="134" spans="1:5" x14ac:dyDescent="0.25">
      <c r="A134">
        <v>133</v>
      </c>
      <c r="B134">
        <v>9.3000000000000007</v>
      </c>
      <c r="C134">
        <v>16</v>
      </c>
      <c r="D134" t="s">
        <v>6</v>
      </c>
      <c r="E134">
        <v>5</v>
      </c>
    </row>
    <row r="135" spans="1:5" x14ac:dyDescent="0.25">
      <c r="A135">
        <v>134</v>
      </c>
      <c r="B135">
        <v>10.5</v>
      </c>
      <c r="C135">
        <v>21</v>
      </c>
      <c r="D135" t="s">
        <v>6</v>
      </c>
      <c r="E135">
        <v>5</v>
      </c>
    </row>
    <row r="136" spans="1:5" x14ac:dyDescent="0.25">
      <c r="A136">
        <v>135</v>
      </c>
      <c r="B136">
        <v>10.4</v>
      </c>
      <c r="C136">
        <v>0</v>
      </c>
      <c r="D136" t="s">
        <v>5</v>
      </c>
      <c r="E136">
        <v>0</v>
      </c>
    </row>
    <row r="137" spans="1:5" x14ac:dyDescent="0.25">
      <c r="A137">
        <v>136</v>
      </c>
      <c r="B137">
        <v>9</v>
      </c>
      <c r="C137">
        <v>4</v>
      </c>
      <c r="D137" t="s">
        <v>7</v>
      </c>
      <c r="E137">
        <v>1</v>
      </c>
    </row>
    <row r="138" spans="1:5" x14ac:dyDescent="0.25">
      <c r="A138">
        <v>137</v>
      </c>
      <c r="B138">
        <v>6.4</v>
      </c>
      <c r="C138">
        <v>3</v>
      </c>
      <c r="D138" t="s">
        <v>7</v>
      </c>
      <c r="E138">
        <v>1</v>
      </c>
    </row>
    <row r="139" spans="1:5" x14ac:dyDescent="0.25">
      <c r="A139">
        <v>138</v>
      </c>
      <c r="B139">
        <v>3.6</v>
      </c>
      <c r="C139">
        <v>3</v>
      </c>
      <c r="D139" t="s">
        <v>7</v>
      </c>
      <c r="E139">
        <v>1</v>
      </c>
    </row>
    <row r="140" spans="1:5" x14ac:dyDescent="0.25">
      <c r="A140">
        <v>139</v>
      </c>
      <c r="B140">
        <v>1.4</v>
      </c>
      <c r="C140">
        <v>4</v>
      </c>
      <c r="D140" t="s">
        <v>7</v>
      </c>
      <c r="E140">
        <v>2</v>
      </c>
    </row>
    <row r="141" spans="1:5" x14ac:dyDescent="0.25">
      <c r="A141">
        <v>140</v>
      </c>
      <c r="B141">
        <v>0.5</v>
      </c>
      <c r="C141">
        <v>5</v>
      </c>
      <c r="D141" t="s">
        <v>7</v>
      </c>
      <c r="E141">
        <v>2</v>
      </c>
    </row>
    <row r="142" spans="1:5" x14ac:dyDescent="0.25">
      <c r="A142">
        <v>141</v>
      </c>
      <c r="B142">
        <v>1.4</v>
      </c>
      <c r="C142">
        <v>1</v>
      </c>
      <c r="D142" t="s">
        <v>7</v>
      </c>
      <c r="E142">
        <v>2</v>
      </c>
    </row>
    <row r="143" spans="1:5" x14ac:dyDescent="0.25">
      <c r="A143">
        <v>142</v>
      </c>
      <c r="B143">
        <v>3.9</v>
      </c>
      <c r="C143">
        <v>3</v>
      </c>
      <c r="D143" t="s">
        <v>7</v>
      </c>
      <c r="E143">
        <v>3</v>
      </c>
    </row>
    <row r="144" spans="1:5" x14ac:dyDescent="0.25">
      <c r="A144">
        <v>143</v>
      </c>
      <c r="B144">
        <v>7.3</v>
      </c>
      <c r="C144">
        <v>13</v>
      </c>
      <c r="D144" t="s">
        <v>7</v>
      </c>
      <c r="E144">
        <v>3</v>
      </c>
    </row>
    <row r="145" spans="1:5" x14ac:dyDescent="0.25">
      <c r="A145">
        <v>144</v>
      </c>
      <c r="B145">
        <v>10.9</v>
      </c>
      <c r="C145">
        <v>12</v>
      </c>
      <c r="D145" t="s">
        <v>7</v>
      </c>
      <c r="E145">
        <v>3</v>
      </c>
    </row>
    <row r="146" spans="1:5" x14ac:dyDescent="0.25">
      <c r="A146">
        <v>145</v>
      </c>
      <c r="B146">
        <v>13.7</v>
      </c>
      <c r="C146">
        <v>9</v>
      </c>
      <c r="D146" t="s">
        <v>7</v>
      </c>
      <c r="E146">
        <v>4</v>
      </c>
    </row>
    <row r="147" spans="1:5" x14ac:dyDescent="0.25">
      <c r="A147">
        <v>146</v>
      </c>
      <c r="B147">
        <v>15.1</v>
      </c>
      <c r="C147">
        <v>21</v>
      </c>
      <c r="D147" t="s">
        <v>7</v>
      </c>
      <c r="E147">
        <v>4</v>
      </c>
    </row>
    <row r="148" spans="1:5" x14ac:dyDescent="0.25">
      <c r="A148">
        <v>147</v>
      </c>
      <c r="B148">
        <v>15.1</v>
      </c>
      <c r="C148">
        <v>14</v>
      </c>
      <c r="D148" t="s">
        <v>7</v>
      </c>
      <c r="E148">
        <v>4</v>
      </c>
    </row>
    <row r="149" spans="1:5" x14ac:dyDescent="0.25">
      <c r="A149">
        <v>148</v>
      </c>
      <c r="B149">
        <v>13.9</v>
      </c>
      <c r="C149">
        <v>11</v>
      </c>
      <c r="D149" t="s">
        <v>7</v>
      </c>
      <c r="E149">
        <v>5</v>
      </c>
    </row>
    <row r="150" spans="1:5" x14ac:dyDescent="0.25">
      <c r="A150">
        <v>149</v>
      </c>
      <c r="B150">
        <v>12.3</v>
      </c>
      <c r="C150">
        <v>20</v>
      </c>
      <c r="D150" t="s">
        <v>7</v>
      </c>
      <c r="E150">
        <v>5</v>
      </c>
    </row>
    <row r="151" spans="1:5" x14ac:dyDescent="0.25">
      <c r="A151">
        <v>150</v>
      </c>
      <c r="B151">
        <v>11.2</v>
      </c>
      <c r="C151">
        <v>0</v>
      </c>
      <c r="D151" t="s">
        <v>5</v>
      </c>
      <c r="E151">
        <v>0</v>
      </c>
    </row>
    <row r="152" spans="1:5" x14ac:dyDescent="0.25">
      <c r="A152">
        <v>151</v>
      </c>
      <c r="B152">
        <v>11.3</v>
      </c>
      <c r="C152">
        <v>6</v>
      </c>
      <c r="D152" t="s">
        <v>6</v>
      </c>
      <c r="E152">
        <v>1</v>
      </c>
    </row>
    <row r="153" spans="1:5" x14ac:dyDescent="0.25">
      <c r="A153">
        <v>152</v>
      </c>
      <c r="B153">
        <v>12.9</v>
      </c>
      <c r="C153">
        <v>3</v>
      </c>
      <c r="D153" t="s">
        <v>6</v>
      </c>
      <c r="E153">
        <v>1</v>
      </c>
    </row>
    <row r="154" spans="1:5" x14ac:dyDescent="0.25">
      <c r="A154">
        <v>153</v>
      </c>
      <c r="B154">
        <v>16</v>
      </c>
      <c r="C154">
        <v>6</v>
      </c>
      <c r="D154" t="s">
        <v>6</v>
      </c>
      <c r="E154">
        <v>1</v>
      </c>
    </row>
    <row r="155" spans="1:5" x14ac:dyDescent="0.25">
      <c r="A155">
        <v>154</v>
      </c>
      <c r="B155">
        <v>19.8</v>
      </c>
      <c r="C155">
        <v>2</v>
      </c>
      <c r="D155" t="s">
        <v>6</v>
      </c>
      <c r="E155">
        <v>2</v>
      </c>
    </row>
    <row r="156" spans="1:5" x14ac:dyDescent="0.25">
      <c r="A156">
        <v>155</v>
      </c>
      <c r="B156">
        <v>23.6</v>
      </c>
      <c r="C156">
        <v>11</v>
      </c>
      <c r="D156" t="s">
        <v>6</v>
      </c>
      <c r="E156">
        <v>2</v>
      </c>
    </row>
    <row r="157" spans="1:5" x14ac:dyDescent="0.25">
      <c r="A157">
        <v>156</v>
      </c>
      <c r="B157">
        <v>26.4</v>
      </c>
      <c r="C157">
        <v>11</v>
      </c>
      <c r="D157" t="s">
        <v>6</v>
      </c>
      <c r="E157">
        <v>2</v>
      </c>
    </row>
    <row r="158" spans="1:5" x14ac:dyDescent="0.25">
      <c r="A158">
        <v>157</v>
      </c>
      <c r="B158">
        <v>27.7</v>
      </c>
      <c r="C158">
        <v>5</v>
      </c>
      <c r="D158" t="s">
        <v>6</v>
      </c>
      <c r="E158">
        <v>3</v>
      </c>
    </row>
    <row r="159" spans="1:5" x14ac:dyDescent="0.25">
      <c r="A159">
        <v>158</v>
      </c>
      <c r="B159">
        <v>27.2</v>
      </c>
      <c r="C159">
        <v>18</v>
      </c>
      <c r="D159" t="s">
        <v>6</v>
      </c>
      <c r="E159">
        <v>3</v>
      </c>
    </row>
    <row r="160" spans="1:5" x14ac:dyDescent="0.25">
      <c r="A160">
        <v>159</v>
      </c>
      <c r="B160">
        <v>25.5</v>
      </c>
      <c r="C160">
        <v>5</v>
      </c>
      <c r="D160" t="s">
        <v>6</v>
      </c>
      <c r="E160">
        <v>3</v>
      </c>
    </row>
    <row r="161" spans="1:5" x14ac:dyDescent="0.25">
      <c r="A161">
        <v>160</v>
      </c>
      <c r="B161">
        <v>23.1</v>
      </c>
      <c r="C161">
        <v>8</v>
      </c>
      <c r="D161" t="s">
        <v>6</v>
      </c>
      <c r="E161">
        <v>4</v>
      </c>
    </row>
    <row r="162" spans="1:5" x14ac:dyDescent="0.25">
      <c r="A162">
        <v>161</v>
      </c>
      <c r="B162">
        <v>21</v>
      </c>
      <c r="C162">
        <v>22</v>
      </c>
      <c r="D162" t="s">
        <v>6</v>
      </c>
      <c r="E162">
        <v>4</v>
      </c>
    </row>
    <row r="163" spans="1:5" x14ac:dyDescent="0.25">
      <c r="A163">
        <v>162</v>
      </c>
      <c r="B163">
        <v>20</v>
      </c>
      <c r="C163">
        <v>19</v>
      </c>
      <c r="D163" t="s">
        <v>6</v>
      </c>
      <c r="E163">
        <v>4</v>
      </c>
    </row>
    <row r="164" spans="1:5" x14ac:dyDescent="0.25">
      <c r="A164">
        <v>163</v>
      </c>
      <c r="B164">
        <v>20.399999999999999</v>
      </c>
      <c r="C164">
        <v>23</v>
      </c>
      <c r="D164" t="s">
        <v>6</v>
      </c>
      <c r="E164">
        <v>5</v>
      </c>
    </row>
    <row r="165" spans="1:5" x14ac:dyDescent="0.25">
      <c r="A165">
        <v>164</v>
      </c>
      <c r="B165">
        <v>22.1</v>
      </c>
      <c r="C165">
        <v>0</v>
      </c>
      <c r="D165" t="s">
        <v>5</v>
      </c>
      <c r="E165">
        <v>0</v>
      </c>
    </row>
    <row r="166" spans="1:5" x14ac:dyDescent="0.25">
      <c r="A166">
        <v>165</v>
      </c>
      <c r="B166">
        <v>24.5</v>
      </c>
      <c r="C166">
        <v>1</v>
      </c>
      <c r="D166" t="s">
        <v>7</v>
      </c>
      <c r="E166">
        <v>1</v>
      </c>
    </row>
    <row r="167" spans="1:5" x14ac:dyDescent="0.25">
      <c r="A167">
        <v>166</v>
      </c>
      <c r="B167">
        <v>26.8</v>
      </c>
      <c r="C167">
        <v>2</v>
      </c>
      <c r="D167" t="s">
        <v>7</v>
      </c>
      <c r="E167">
        <v>1</v>
      </c>
    </row>
    <row r="168" spans="1:5" x14ac:dyDescent="0.25">
      <c r="A168">
        <v>167</v>
      </c>
      <c r="B168">
        <v>28</v>
      </c>
      <c r="C168">
        <v>4</v>
      </c>
      <c r="D168" t="s">
        <v>7</v>
      </c>
      <c r="E168">
        <v>1</v>
      </c>
    </row>
    <row r="169" spans="1:5" x14ac:dyDescent="0.25">
      <c r="A169">
        <v>168</v>
      </c>
      <c r="B169">
        <v>27.7</v>
      </c>
      <c r="C169">
        <v>8</v>
      </c>
      <c r="D169" t="s">
        <v>7</v>
      </c>
      <c r="E169">
        <v>2</v>
      </c>
    </row>
    <row r="170" spans="1:5" x14ac:dyDescent="0.25">
      <c r="A170">
        <v>169</v>
      </c>
      <c r="B170">
        <v>25.6</v>
      </c>
      <c r="C170">
        <v>4</v>
      </c>
      <c r="D170" t="s">
        <v>7</v>
      </c>
      <c r="E170">
        <v>2</v>
      </c>
    </row>
    <row r="171" spans="1:5" x14ac:dyDescent="0.25">
      <c r="A171">
        <v>170</v>
      </c>
      <c r="B171">
        <v>22.3</v>
      </c>
      <c r="C171">
        <v>7</v>
      </c>
      <c r="D171" t="s">
        <v>7</v>
      </c>
      <c r="E171">
        <v>2</v>
      </c>
    </row>
    <row r="172" spans="1:5" x14ac:dyDescent="0.25">
      <c r="A172">
        <v>171</v>
      </c>
      <c r="B172">
        <v>18.399999999999999</v>
      </c>
      <c r="C172">
        <v>6</v>
      </c>
      <c r="D172" t="s">
        <v>7</v>
      </c>
      <c r="E172">
        <v>3</v>
      </c>
    </row>
    <row r="173" spans="1:5" x14ac:dyDescent="0.25">
      <c r="A173">
        <v>172</v>
      </c>
      <c r="B173">
        <v>14.9</v>
      </c>
      <c r="C173">
        <v>18</v>
      </c>
      <c r="D173" t="s">
        <v>7</v>
      </c>
      <c r="E173">
        <v>3</v>
      </c>
    </row>
    <row r="174" spans="1:5" x14ac:dyDescent="0.25">
      <c r="A174">
        <v>173</v>
      </c>
      <c r="B174">
        <v>12.5</v>
      </c>
      <c r="C174">
        <v>6</v>
      </c>
      <c r="D174" t="s">
        <v>7</v>
      </c>
      <c r="E174">
        <v>3</v>
      </c>
    </row>
    <row r="175" spans="1:5" x14ac:dyDescent="0.25">
      <c r="A175">
        <v>174</v>
      </c>
      <c r="B175">
        <v>11.7</v>
      </c>
      <c r="C175">
        <v>20</v>
      </c>
      <c r="D175" t="s">
        <v>7</v>
      </c>
      <c r="E175">
        <v>4</v>
      </c>
    </row>
    <row r="176" spans="1:5" x14ac:dyDescent="0.25">
      <c r="A176">
        <v>175</v>
      </c>
      <c r="B176">
        <v>12.3</v>
      </c>
      <c r="C176">
        <v>14</v>
      </c>
      <c r="D176" t="s">
        <v>7</v>
      </c>
      <c r="E176">
        <v>4</v>
      </c>
    </row>
    <row r="177" spans="1:5" x14ac:dyDescent="0.25">
      <c r="A177">
        <v>176</v>
      </c>
      <c r="B177">
        <v>13.7</v>
      </c>
      <c r="C177">
        <v>22</v>
      </c>
      <c r="D177" t="s">
        <v>7</v>
      </c>
      <c r="E177">
        <v>4</v>
      </c>
    </row>
    <row r="178" spans="1:5" x14ac:dyDescent="0.25">
      <c r="A178">
        <v>177</v>
      </c>
      <c r="B178">
        <v>15.2</v>
      </c>
      <c r="C178">
        <v>23</v>
      </c>
      <c r="D178" t="s">
        <v>7</v>
      </c>
      <c r="E178">
        <v>5</v>
      </c>
    </row>
    <row r="179" spans="1:5" x14ac:dyDescent="0.25">
      <c r="A179">
        <v>178</v>
      </c>
      <c r="B179">
        <v>15.9</v>
      </c>
      <c r="C179">
        <v>0</v>
      </c>
      <c r="D179" t="s">
        <v>5</v>
      </c>
      <c r="E179">
        <v>0</v>
      </c>
    </row>
    <row r="180" spans="1:5" x14ac:dyDescent="0.25">
      <c r="A180">
        <v>179</v>
      </c>
      <c r="B180">
        <v>15.1</v>
      </c>
      <c r="C180">
        <v>1</v>
      </c>
      <c r="D180" t="s">
        <v>6</v>
      </c>
      <c r="E180">
        <v>1</v>
      </c>
    </row>
    <row r="181" spans="1:5" x14ac:dyDescent="0.25">
      <c r="A181">
        <v>180</v>
      </c>
      <c r="B181">
        <v>12.9</v>
      </c>
      <c r="C181">
        <v>1</v>
      </c>
      <c r="D181" t="s">
        <v>6</v>
      </c>
      <c r="E181">
        <v>1</v>
      </c>
    </row>
    <row r="182" spans="1:5" x14ac:dyDescent="0.25">
      <c r="A182">
        <v>181</v>
      </c>
      <c r="B182">
        <v>9.6</v>
      </c>
      <c r="C182">
        <v>1</v>
      </c>
      <c r="D182" t="s">
        <v>6</v>
      </c>
      <c r="E182">
        <v>1</v>
      </c>
    </row>
    <row r="183" spans="1:5" x14ac:dyDescent="0.25">
      <c r="A183">
        <v>182</v>
      </c>
      <c r="B183">
        <v>5.9</v>
      </c>
      <c r="C183">
        <v>2</v>
      </c>
      <c r="D183" t="s">
        <v>6</v>
      </c>
      <c r="E183">
        <v>2</v>
      </c>
    </row>
    <row r="184" spans="1:5" x14ac:dyDescent="0.25">
      <c r="A184">
        <v>183</v>
      </c>
      <c r="B184">
        <v>2.8</v>
      </c>
      <c r="C184">
        <v>6</v>
      </c>
      <c r="D184" t="s">
        <v>6</v>
      </c>
      <c r="E184">
        <v>2</v>
      </c>
    </row>
    <row r="185" spans="1:5" x14ac:dyDescent="0.25">
      <c r="A185">
        <v>184</v>
      </c>
      <c r="B185">
        <v>1</v>
      </c>
      <c r="C185">
        <v>9</v>
      </c>
      <c r="D185" t="s">
        <v>6</v>
      </c>
      <c r="E185">
        <v>2</v>
      </c>
    </row>
    <row r="186" spans="1:5" x14ac:dyDescent="0.25">
      <c r="A186">
        <v>185</v>
      </c>
      <c r="B186">
        <v>0.9</v>
      </c>
      <c r="C186">
        <v>6</v>
      </c>
      <c r="D186" t="s">
        <v>6</v>
      </c>
      <c r="E186">
        <v>3</v>
      </c>
    </row>
    <row r="187" spans="1:5" x14ac:dyDescent="0.25">
      <c r="A187">
        <v>186</v>
      </c>
      <c r="B187">
        <v>2.5</v>
      </c>
      <c r="C187">
        <v>1</v>
      </c>
      <c r="D187" t="s">
        <v>6</v>
      </c>
      <c r="E187">
        <v>3</v>
      </c>
    </row>
    <row r="188" spans="1:5" x14ac:dyDescent="0.25">
      <c r="A188">
        <v>187</v>
      </c>
      <c r="B188">
        <v>5</v>
      </c>
      <c r="C188">
        <v>3</v>
      </c>
      <c r="D188" t="s">
        <v>6</v>
      </c>
      <c r="E188">
        <v>3</v>
      </c>
    </row>
    <row r="189" spans="1:5" x14ac:dyDescent="0.25">
      <c r="A189">
        <v>188</v>
      </c>
      <c r="B189">
        <v>7.7</v>
      </c>
      <c r="C189">
        <v>7</v>
      </c>
      <c r="D189" t="s">
        <v>6</v>
      </c>
      <c r="E189">
        <v>4</v>
      </c>
    </row>
    <row r="190" spans="1:5" x14ac:dyDescent="0.25">
      <c r="A190">
        <v>189</v>
      </c>
      <c r="B190">
        <v>9.6999999999999993</v>
      </c>
      <c r="C190">
        <v>6</v>
      </c>
      <c r="D190" t="s">
        <v>6</v>
      </c>
      <c r="E190">
        <v>4</v>
      </c>
    </row>
    <row r="191" spans="1:5" x14ac:dyDescent="0.25">
      <c r="A191">
        <v>190</v>
      </c>
      <c r="B191">
        <v>10.4</v>
      </c>
      <c r="C191">
        <v>3</v>
      </c>
      <c r="D191" t="s">
        <v>6</v>
      </c>
      <c r="E191">
        <v>4</v>
      </c>
    </row>
    <row r="192" spans="1:5" x14ac:dyDescent="0.25">
      <c r="A192">
        <v>191</v>
      </c>
      <c r="B192">
        <v>9.6999999999999993</v>
      </c>
      <c r="C192">
        <v>22</v>
      </c>
      <c r="D192" t="s">
        <v>6</v>
      </c>
      <c r="E192">
        <v>5</v>
      </c>
    </row>
    <row r="193" spans="1:5" x14ac:dyDescent="0.25">
      <c r="A193">
        <v>192</v>
      </c>
      <c r="B193">
        <v>8</v>
      </c>
      <c r="C193">
        <v>0</v>
      </c>
      <c r="D193" t="s">
        <v>5</v>
      </c>
      <c r="E193">
        <v>0</v>
      </c>
    </row>
    <row r="194" spans="1:5" x14ac:dyDescent="0.25">
      <c r="A194">
        <v>193</v>
      </c>
      <c r="B194">
        <v>5.9</v>
      </c>
      <c r="C194">
        <v>3</v>
      </c>
      <c r="D194" t="s">
        <v>7</v>
      </c>
      <c r="E194">
        <v>1</v>
      </c>
    </row>
    <row r="195" spans="1:5" x14ac:dyDescent="0.25">
      <c r="A195">
        <v>194</v>
      </c>
      <c r="B195">
        <v>4.4000000000000004</v>
      </c>
      <c r="C195">
        <v>4</v>
      </c>
      <c r="D195" t="s">
        <v>7</v>
      </c>
      <c r="E195">
        <v>1</v>
      </c>
    </row>
    <row r="196" spans="1:5" x14ac:dyDescent="0.25">
      <c r="A196">
        <v>195</v>
      </c>
      <c r="B196">
        <v>4.2</v>
      </c>
      <c r="C196">
        <v>6</v>
      </c>
      <c r="D196" t="s">
        <v>7</v>
      </c>
      <c r="E196">
        <v>1</v>
      </c>
    </row>
    <row r="197" spans="1:5" x14ac:dyDescent="0.25">
      <c r="A197">
        <v>196</v>
      </c>
      <c r="B197">
        <v>5.6</v>
      </c>
      <c r="C197">
        <v>8</v>
      </c>
      <c r="D197" t="s">
        <v>7</v>
      </c>
      <c r="E197">
        <v>2</v>
      </c>
    </row>
    <row r="198" spans="1:5" x14ac:dyDescent="0.25">
      <c r="A198">
        <v>197</v>
      </c>
      <c r="B198">
        <v>8.6</v>
      </c>
      <c r="C198">
        <v>12</v>
      </c>
      <c r="D198" t="s">
        <v>7</v>
      </c>
      <c r="E198">
        <v>2</v>
      </c>
    </row>
    <row r="199" spans="1:5" x14ac:dyDescent="0.25">
      <c r="A199">
        <v>198</v>
      </c>
      <c r="B199">
        <v>12.5</v>
      </c>
      <c r="C199">
        <v>9</v>
      </c>
      <c r="D199" t="s">
        <v>7</v>
      </c>
      <c r="E199">
        <v>2</v>
      </c>
    </row>
    <row r="200" spans="1:5" x14ac:dyDescent="0.25">
      <c r="A200">
        <v>199</v>
      </c>
      <c r="B200">
        <v>16.399999999999999</v>
      </c>
      <c r="C200">
        <v>14</v>
      </c>
      <c r="D200" t="s">
        <v>7</v>
      </c>
      <c r="E200">
        <v>3</v>
      </c>
    </row>
    <row r="201" spans="1:5" x14ac:dyDescent="0.25">
      <c r="A201">
        <v>200</v>
      </c>
      <c r="B201">
        <v>19.5</v>
      </c>
      <c r="C201">
        <v>12</v>
      </c>
      <c r="D201" t="s">
        <v>7</v>
      </c>
      <c r="E201">
        <v>3</v>
      </c>
    </row>
    <row r="202" spans="1:5" x14ac:dyDescent="0.25">
      <c r="A202">
        <v>201</v>
      </c>
      <c r="B202">
        <v>21.2</v>
      </c>
      <c r="C202">
        <v>1</v>
      </c>
      <c r="D202" t="s">
        <v>7</v>
      </c>
      <c r="E202">
        <v>3</v>
      </c>
    </row>
    <row r="203" spans="1:5" x14ac:dyDescent="0.25">
      <c r="A203">
        <v>202</v>
      </c>
      <c r="B203">
        <v>21.3</v>
      </c>
      <c r="C203">
        <v>11</v>
      </c>
      <c r="D203" t="s">
        <v>7</v>
      </c>
      <c r="E203">
        <v>4</v>
      </c>
    </row>
    <row r="204" spans="1:5" x14ac:dyDescent="0.25">
      <c r="A204">
        <v>203</v>
      </c>
      <c r="B204">
        <v>20.100000000000001</v>
      </c>
      <c r="C204">
        <v>6</v>
      </c>
      <c r="D204" t="s">
        <v>7</v>
      </c>
      <c r="E204">
        <v>4</v>
      </c>
    </row>
    <row r="205" spans="1:5" x14ac:dyDescent="0.25">
      <c r="A205">
        <v>204</v>
      </c>
      <c r="B205">
        <v>18.399999999999999</v>
      </c>
      <c r="C205">
        <v>3</v>
      </c>
      <c r="D205" t="s">
        <v>7</v>
      </c>
      <c r="E205">
        <v>4</v>
      </c>
    </row>
    <row r="206" spans="1:5" x14ac:dyDescent="0.25">
      <c r="A206">
        <v>205</v>
      </c>
      <c r="B206">
        <v>17.100000000000001</v>
      </c>
      <c r="C206">
        <v>15</v>
      </c>
      <c r="D206" t="s">
        <v>7</v>
      </c>
      <c r="E206">
        <v>5</v>
      </c>
    </row>
    <row r="207" spans="1:5" x14ac:dyDescent="0.25">
      <c r="A207">
        <v>206</v>
      </c>
      <c r="B207">
        <v>16.899999999999999</v>
      </c>
      <c r="C207">
        <v>16</v>
      </c>
      <c r="D207" t="s">
        <v>7</v>
      </c>
      <c r="E207">
        <v>5</v>
      </c>
    </row>
    <row r="208" spans="1:5" x14ac:dyDescent="0.25">
      <c r="A208">
        <v>207</v>
      </c>
      <c r="B208">
        <v>18.2</v>
      </c>
      <c r="C208">
        <v>17</v>
      </c>
      <c r="D208" t="s">
        <v>7</v>
      </c>
      <c r="E208">
        <v>5</v>
      </c>
    </row>
    <row r="209" spans="1:5" x14ac:dyDescent="0.25">
      <c r="A209">
        <v>208</v>
      </c>
      <c r="B209">
        <v>20.7</v>
      </c>
      <c r="C209">
        <v>18</v>
      </c>
      <c r="D209" t="s">
        <v>7</v>
      </c>
      <c r="E209">
        <v>5</v>
      </c>
    </row>
    <row r="210" spans="1:5" x14ac:dyDescent="0.25">
      <c r="A210">
        <v>209</v>
      </c>
      <c r="B210">
        <v>24</v>
      </c>
      <c r="C210">
        <v>13</v>
      </c>
      <c r="D210" t="s">
        <v>7</v>
      </c>
      <c r="E210">
        <v>5</v>
      </c>
    </row>
    <row r="211" spans="1:5" x14ac:dyDescent="0.25">
      <c r="A211">
        <v>210</v>
      </c>
      <c r="B211">
        <v>27.2</v>
      </c>
      <c r="C211">
        <v>27</v>
      </c>
      <c r="D211" t="s">
        <v>7</v>
      </c>
      <c r="E211">
        <v>5</v>
      </c>
    </row>
    <row r="212" spans="1:5" x14ac:dyDescent="0.25">
      <c r="A212">
        <v>211</v>
      </c>
      <c r="B212">
        <v>29.4</v>
      </c>
      <c r="C212">
        <v>0</v>
      </c>
      <c r="D212" t="s">
        <v>5</v>
      </c>
      <c r="E212">
        <v>0</v>
      </c>
    </row>
    <row r="213" spans="1:5" x14ac:dyDescent="0.25">
      <c r="A213">
        <v>212</v>
      </c>
      <c r="B213">
        <v>29.9</v>
      </c>
      <c r="C213">
        <v>2</v>
      </c>
      <c r="D213" t="s">
        <v>6</v>
      </c>
      <c r="E213">
        <v>1</v>
      </c>
    </row>
    <row r="214" spans="1:5" x14ac:dyDescent="0.25">
      <c r="A214">
        <v>213</v>
      </c>
      <c r="B214">
        <v>28.8</v>
      </c>
      <c r="C214">
        <v>4</v>
      </c>
      <c r="D214" t="s">
        <v>6</v>
      </c>
      <c r="E214">
        <v>1</v>
      </c>
    </row>
    <row r="215" spans="1:5" x14ac:dyDescent="0.25">
      <c r="A215">
        <v>214</v>
      </c>
      <c r="B215">
        <v>26.2</v>
      </c>
      <c r="C215">
        <v>2</v>
      </c>
      <c r="D215" t="s">
        <v>6</v>
      </c>
      <c r="E215">
        <v>1</v>
      </c>
    </row>
    <row r="216" spans="1:5" x14ac:dyDescent="0.25">
      <c r="A216">
        <v>215</v>
      </c>
      <c r="B216">
        <v>23.1</v>
      </c>
      <c r="C216">
        <v>11</v>
      </c>
      <c r="D216" t="s">
        <v>6</v>
      </c>
      <c r="E216">
        <v>1</v>
      </c>
    </row>
    <row r="217" spans="1:5" x14ac:dyDescent="0.25">
      <c r="A217">
        <v>216</v>
      </c>
      <c r="B217">
        <v>20.3</v>
      </c>
      <c r="C217">
        <v>1</v>
      </c>
      <c r="D217" t="s">
        <v>6</v>
      </c>
      <c r="E217">
        <v>2</v>
      </c>
    </row>
    <row r="218" spans="1:5" x14ac:dyDescent="0.25">
      <c r="A218">
        <v>217</v>
      </c>
      <c r="B218">
        <v>18.5</v>
      </c>
      <c r="C218">
        <v>7</v>
      </c>
      <c r="D218" t="s">
        <v>6</v>
      </c>
      <c r="E218">
        <v>2</v>
      </c>
    </row>
    <row r="219" spans="1:5" x14ac:dyDescent="0.25">
      <c r="A219">
        <v>218</v>
      </c>
      <c r="B219">
        <v>18.2</v>
      </c>
      <c r="C219">
        <v>10</v>
      </c>
      <c r="D219" t="s">
        <v>6</v>
      </c>
      <c r="E219">
        <v>3</v>
      </c>
    </row>
    <row r="220" spans="1:5" x14ac:dyDescent="0.25">
      <c r="A220">
        <v>219</v>
      </c>
      <c r="B220">
        <v>19.100000000000001</v>
      </c>
      <c r="C220">
        <v>10</v>
      </c>
      <c r="D220" t="s">
        <v>6</v>
      </c>
      <c r="E220">
        <v>3</v>
      </c>
    </row>
    <row r="221" spans="1:5" x14ac:dyDescent="0.25">
      <c r="A221">
        <v>220</v>
      </c>
      <c r="B221">
        <v>20.9</v>
      </c>
      <c r="C221">
        <v>1</v>
      </c>
      <c r="D221" t="s">
        <v>6</v>
      </c>
      <c r="E221">
        <v>3</v>
      </c>
    </row>
    <row r="222" spans="1:5" x14ac:dyDescent="0.25">
      <c r="A222">
        <v>221</v>
      </c>
      <c r="B222">
        <v>22.5</v>
      </c>
      <c r="C222">
        <v>4</v>
      </c>
      <c r="D222" t="s">
        <v>6</v>
      </c>
      <c r="E222">
        <v>4</v>
      </c>
    </row>
    <row r="223" spans="1:5" x14ac:dyDescent="0.25">
      <c r="A223">
        <v>222</v>
      </c>
      <c r="B223">
        <v>23.2</v>
      </c>
      <c r="C223">
        <v>12</v>
      </c>
      <c r="D223" t="s">
        <v>6</v>
      </c>
      <c r="E223">
        <v>4</v>
      </c>
    </row>
    <row r="224" spans="1:5" x14ac:dyDescent="0.25">
      <c r="A224">
        <v>223</v>
      </c>
      <c r="B224">
        <v>22.4</v>
      </c>
      <c r="C224">
        <v>7</v>
      </c>
      <c r="D224" t="s">
        <v>6</v>
      </c>
      <c r="E224">
        <v>4</v>
      </c>
    </row>
    <row r="225" spans="1:5" x14ac:dyDescent="0.25">
      <c r="A225">
        <v>224</v>
      </c>
      <c r="B225">
        <v>20</v>
      </c>
      <c r="C225">
        <v>16</v>
      </c>
      <c r="D225" t="s">
        <v>6</v>
      </c>
      <c r="E225">
        <v>5</v>
      </c>
    </row>
    <row r="226" spans="1:5" x14ac:dyDescent="0.25">
      <c r="A226">
        <v>225</v>
      </c>
      <c r="B226">
        <v>16.399999999999999</v>
      </c>
      <c r="C226">
        <v>24</v>
      </c>
      <c r="D226" t="s">
        <v>6</v>
      </c>
      <c r="E226">
        <v>5</v>
      </c>
    </row>
    <row r="227" spans="1:5" x14ac:dyDescent="0.25">
      <c r="A227">
        <v>226</v>
      </c>
      <c r="B227">
        <v>12.3</v>
      </c>
      <c r="C227">
        <v>0</v>
      </c>
      <c r="D227" t="s">
        <v>5</v>
      </c>
      <c r="E227">
        <v>0</v>
      </c>
    </row>
    <row r="228" spans="1:5" x14ac:dyDescent="0.25">
      <c r="A228">
        <v>227</v>
      </c>
      <c r="B228">
        <v>8.6999999999999993</v>
      </c>
      <c r="C228">
        <v>5</v>
      </c>
      <c r="D228" t="s">
        <v>7</v>
      </c>
      <c r="E228">
        <v>1</v>
      </c>
    </row>
    <row r="229" spans="1:5" x14ac:dyDescent="0.25">
      <c r="A229">
        <v>228</v>
      </c>
      <c r="B229">
        <v>6.4</v>
      </c>
      <c r="C229">
        <v>1</v>
      </c>
      <c r="D229" t="s">
        <v>7</v>
      </c>
      <c r="E229">
        <v>1</v>
      </c>
    </row>
    <row r="230" spans="1:5" x14ac:dyDescent="0.25">
      <c r="A230">
        <v>229</v>
      </c>
      <c r="B230">
        <v>5.6</v>
      </c>
      <c r="C230">
        <v>6</v>
      </c>
      <c r="D230" t="s">
        <v>7</v>
      </c>
      <c r="E230">
        <v>1</v>
      </c>
    </row>
    <row r="231" spans="1:5" x14ac:dyDescent="0.25">
      <c r="A231">
        <v>230</v>
      </c>
      <c r="B231">
        <v>6.4</v>
      </c>
      <c r="C231">
        <v>12</v>
      </c>
      <c r="D231" t="s">
        <v>7</v>
      </c>
      <c r="E231">
        <v>2</v>
      </c>
    </row>
    <row r="232" spans="1:5" x14ac:dyDescent="0.25">
      <c r="A232">
        <v>231</v>
      </c>
      <c r="B232">
        <v>8.1999999999999993</v>
      </c>
      <c r="C232">
        <v>3</v>
      </c>
      <c r="D232" t="s">
        <v>7</v>
      </c>
      <c r="E232">
        <v>2</v>
      </c>
    </row>
    <row r="233" spans="1:5" x14ac:dyDescent="0.25">
      <c r="A233">
        <v>232</v>
      </c>
      <c r="B233">
        <v>10</v>
      </c>
      <c r="C233">
        <v>12</v>
      </c>
      <c r="D233" t="s">
        <v>7</v>
      </c>
      <c r="E233">
        <v>2</v>
      </c>
    </row>
    <row r="234" spans="1:5" x14ac:dyDescent="0.25">
      <c r="A234">
        <v>233</v>
      </c>
      <c r="B234">
        <v>11.1</v>
      </c>
      <c r="C234">
        <v>17</v>
      </c>
      <c r="D234" t="s">
        <v>7</v>
      </c>
      <c r="E234">
        <v>3</v>
      </c>
    </row>
    <row r="235" spans="1:5" x14ac:dyDescent="0.25">
      <c r="A235">
        <v>234</v>
      </c>
      <c r="B235">
        <v>10.9</v>
      </c>
      <c r="C235">
        <v>16</v>
      </c>
      <c r="D235" t="s">
        <v>7</v>
      </c>
      <c r="E235">
        <v>3</v>
      </c>
    </row>
    <row r="236" spans="1:5" x14ac:dyDescent="0.25">
      <c r="A236">
        <v>235</v>
      </c>
      <c r="B236">
        <v>9.3000000000000007</v>
      </c>
      <c r="C236">
        <v>3</v>
      </c>
      <c r="D236" t="s">
        <v>7</v>
      </c>
      <c r="E236">
        <v>3</v>
      </c>
    </row>
    <row r="237" spans="1:5" x14ac:dyDescent="0.25">
      <c r="A237">
        <v>236</v>
      </c>
      <c r="B237">
        <v>6.6</v>
      </c>
      <c r="C237">
        <v>21</v>
      </c>
      <c r="D237" t="s">
        <v>7</v>
      </c>
      <c r="E237">
        <v>4</v>
      </c>
    </row>
    <row r="238" spans="1:5" x14ac:dyDescent="0.25">
      <c r="A238">
        <v>237</v>
      </c>
      <c r="B238">
        <v>3.6</v>
      </c>
      <c r="C238">
        <v>18</v>
      </c>
      <c r="D238" t="s">
        <v>7</v>
      </c>
      <c r="E238">
        <v>4</v>
      </c>
    </row>
    <row r="239" spans="1:5" x14ac:dyDescent="0.25">
      <c r="A239">
        <v>238</v>
      </c>
      <c r="B239">
        <v>1.2</v>
      </c>
      <c r="C239">
        <v>13</v>
      </c>
      <c r="D239" t="s">
        <v>7</v>
      </c>
      <c r="E239">
        <v>4</v>
      </c>
    </row>
    <row r="240" spans="1:5" x14ac:dyDescent="0.25">
      <c r="A240">
        <v>239</v>
      </c>
      <c r="B240">
        <v>0.2</v>
      </c>
      <c r="C240">
        <v>29</v>
      </c>
      <c r="D240" t="s">
        <v>7</v>
      </c>
      <c r="E240">
        <v>5</v>
      </c>
    </row>
    <row r="241" spans="1:5" x14ac:dyDescent="0.25">
      <c r="A241">
        <v>240</v>
      </c>
      <c r="B241">
        <v>0.9</v>
      </c>
      <c r="C241">
        <v>0</v>
      </c>
      <c r="D241" t="s">
        <v>5</v>
      </c>
      <c r="E241">
        <v>0</v>
      </c>
    </row>
    <row r="242" spans="1:5" x14ac:dyDescent="0.25">
      <c r="A242">
        <v>241</v>
      </c>
      <c r="B242">
        <v>3.2</v>
      </c>
      <c r="C242">
        <v>6</v>
      </c>
      <c r="D242" t="s">
        <v>7</v>
      </c>
      <c r="E242">
        <v>1</v>
      </c>
    </row>
    <row r="243" spans="1:5" x14ac:dyDescent="0.25">
      <c r="A243">
        <v>242</v>
      </c>
      <c r="B243">
        <v>6.6</v>
      </c>
      <c r="C243">
        <v>5</v>
      </c>
      <c r="D243" t="s">
        <v>7</v>
      </c>
      <c r="E243">
        <v>1</v>
      </c>
    </row>
    <row r="244" spans="1:5" x14ac:dyDescent="0.25">
      <c r="A244">
        <v>243</v>
      </c>
      <c r="B244">
        <v>10</v>
      </c>
      <c r="C244">
        <v>2</v>
      </c>
      <c r="D244" t="s">
        <v>7</v>
      </c>
      <c r="E244">
        <v>1</v>
      </c>
    </row>
    <row r="245" spans="1:5" x14ac:dyDescent="0.25">
      <c r="A245">
        <v>244</v>
      </c>
      <c r="B245">
        <v>12.7</v>
      </c>
      <c r="C245">
        <v>8</v>
      </c>
      <c r="D245" t="s">
        <v>7</v>
      </c>
      <c r="E245">
        <v>2</v>
      </c>
    </row>
    <row r="246" spans="1:5" x14ac:dyDescent="0.25">
      <c r="A246">
        <v>245</v>
      </c>
      <c r="B246">
        <v>14.1</v>
      </c>
      <c r="C246">
        <v>1</v>
      </c>
      <c r="D246" t="s">
        <v>7</v>
      </c>
      <c r="E246">
        <v>2</v>
      </c>
    </row>
    <row r="247" spans="1:5" x14ac:dyDescent="0.25">
      <c r="A247">
        <v>246</v>
      </c>
      <c r="B247">
        <v>14</v>
      </c>
      <c r="C247">
        <v>11</v>
      </c>
      <c r="D247" t="s">
        <v>7</v>
      </c>
      <c r="E247">
        <v>2</v>
      </c>
    </row>
    <row r="248" spans="1:5" x14ac:dyDescent="0.25">
      <c r="A248">
        <v>247</v>
      </c>
      <c r="B248">
        <v>12.7</v>
      </c>
      <c r="C248">
        <v>13</v>
      </c>
      <c r="D248" t="s">
        <v>7</v>
      </c>
      <c r="E248">
        <v>3</v>
      </c>
    </row>
    <row r="249" spans="1:5" x14ac:dyDescent="0.25">
      <c r="A249">
        <v>248</v>
      </c>
      <c r="B249">
        <v>11.1</v>
      </c>
      <c r="C249">
        <v>18</v>
      </c>
      <c r="D249" t="s">
        <v>7</v>
      </c>
      <c r="E249">
        <v>3</v>
      </c>
    </row>
    <row r="250" spans="1:5" x14ac:dyDescent="0.25">
      <c r="A250">
        <v>249</v>
      </c>
      <c r="B250">
        <v>10</v>
      </c>
      <c r="C250">
        <v>15</v>
      </c>
      <c r="D250" t="s">
        <v>7</v>
      </c>
      <c r="E250">
        <v>3</v>
      </c>
    </row>
    <row r="251" spans="1:5" x14ac:dyDescent="0.25">
      <c r="A251">
        <v>250</v>
      </c>
      <c r="B251">
        <v>10.1</v>
      </c>
      <c r="C251">
        <v>12</v>
      </c>
      <c r="D251" t="s">
        <v>7</v>
      </c>
      <c r="E251">
        <v>4</v>
      </c>
    </row>
    <row r="252" spans="1:5" x14ac:dyDescent="0.25">
      <c r="A252">
        <v>251</v>
      </c>
      <c r="B252">
        <v>11.7</v>
      </c>
      <c r="C252">
        <v>2</v>
      </c>
      <c r="D252" t="s">
        <v>7</v>
      </c>
      <c r="E252">
        <v>4</v>
      </c>
    </row>
    <row r="253" spans="1:5" x14ac:dyDescent="0.25">
      <c r="A253">
        <v>252</v>
      </c>
      <c r="B253">
        <v>14.8</v>
      </c>
      <c r="C253">
        <v>21</v>
      </c>
      <c r="D253" t="s">
        <v>7</v>
      </c>
      <c r="E253">
        <v>4</v>
      </c>
    </row>
    <row r="254" spans="1:5" x14ac:dyDescent="0.25">
      <c r="A254">
        <v>253</v>
      </c>
      <c r="B254">
        <v>18.7</v>
      </c>
      <c r="C254">
        <v>28</v>
      </c>
      <c r="D254" t="s">
        <v>7</v>
      </c>
      <c r="E254">
        <v>5</v>
      </c>
    </row>
    <row r="255" spans="1:5" x14ac:dyDescent="0.25">
      <c r="A255">
        <v>254</v>
      </c>
      <c r="B255">
        <v>22.5</v>
      </c>
      <c r="C255">
        <v>0</v>
      </c>
      <c r="D255" t="s">
        <v>5</v>
      </c>
      <c r="E255">
        <v>0</v>
      </c>
    </row>
    <row r="256" spans="1:5" x14ac:dyDescent="0.25">
      <c r="A256">
        <v>255</v>
      </c>
      <c r="B256">
        <v>25.4</v>
      </c>
      <c r="C256">
        <v>3</v>
      </c>
      <c r="D256" t="s">
        <v>6</v>
      </c>
      <c r="E256">
        <v>1</v>
      </c>
    </row>
    <row r="257" spans="1:5" x14ac:dyDescent="0.25">
      <c r="A257">
        <v>256</v>
      </c>
      <c r="B257">
        <v>26.8</v>
      </c>
      <c r="C257">
        <v>5</v>
      </c>
      <c r="D257" t="s">
        <v>6</v>
      </c>
      <c r="E257">
        <v>1</v>
      </c>
    </row>
    <row r="258" spans="1:5" x14ac:dyDescent="0.25">
      <c r="A258">
        <v>257</v>
      </c>
      <c r="B258">
        <v>26.5</v>
      </c>
      <c r="C258">
        <v>5</v>
      </c>
      <c r="D258" t="s">
        <v>6</v>
      </c>
      <c r="E258">
        <v>1</v>
      </c>
    </row>
    <row r="259" spans="1:5" x14ac:dyDescent="0.25">
      <c r="A259">
        <v>258</v>
      </c>
      <c r="B259">
        <v>24.9</v>
      </c>
      <c r="C259">
        <v>7</v>
      </c>
      <c r="D259" t="s">
        <v>6</v>
      </c>
      <c r="E259">
        <v>2</v>
      </c>
    </row>
    <row r="260" spans="1:5" x14ac:dyDescent="0.25">
      <c r="A260">
        <v>259</v>
      </c>
      <c r="B260">
        <v>22.6</v>
      </c>
      <c r="C260">
        <v>1</v>
      </c>
      <c r="D260" t="s">
        <v>6</v>
      </c>
      <c r="E260">
        <v>2</v>
      </c>
    </row>
    <row r="261" spans="1:5" x14ac:dyDescent="0.25">
      <c r="A261">
        <v>260</v>
      </c>
      <c r="B261">
        <v>20.7</v>
      </c>
      <c r="C261">
        <v>6</v>
      </c>
      <c r="D261" t="s">
        <v>6</v>
      </c>
      <c r="E261">
        <v>2</v>
      </c>
    </row>
    <row r="262" spans="1:5" x14ac:dyDescent="0.25">
      <c r="A262">
        <v>261</v>
      </c>
      <c r="B262">
        <v>19.899999999999999</v>
      </c>
      <c r="C262">
        <v>6</v>
      </c>
      <c r="D262" t="s">
        <v>6</v>
      </c>
      <c r="E262">
        <v>3</v>
      </c>
    </row>
    <row r="263" spans="1:5" x14ac:dyDescent="0.25">
      <c r="A263">
        <v>262</v>
      </c>
      <c r="B263">
        <v>20.399999999999999</v>
      </c>
      <c r="C263">
        <v>10</v>
      </c>
      <c r="D263" t="s">
        <v>6</v>
      </c>
      <c r="E263">
        <v>3</v>
      </c>
    </row>
    <row r="264" spans="1:5" x14ac:dyDescent="0.25">
      <c r="A264">
        <v>263</v>
      </c>
      <c r="B264">
        <v>22.3</v>
      </c>
      <c r="C264">
        <v>16</v>
      </c>
      <c r="D264" t="s">
        <v>6</v>
      </c>
      <c r="E264">
        <v>3</v>
      </c>
    </row>
    <row r="265" spans="1:5" x14ac:dyDescent="0.25">
      <c r="A265">
        <v>264</v>
      </c>
      <c r="B265">
        <v>24.8</v>
      </c>
      <c r="C265">
        <v>9</v>
      </c>
      <c r="D265" t="s">
        <v>6</v>
      </c>
      <c r="E265">
        <v>4</v>
      </c>
    </row>
    <row r="266" spans="1:5" x14ac:dyDescent="0.25">
      <c r="A266">
        <v>265</v>
      </c>
      <c r="B266">
        <v>27.2</v>
      </c>
      <c r="C266">
        <v>18</v>
      </c>
      <c r="D266" t="s">
        <v>6</v>
      </c>
      <c r="E266">
        <v>4</v>
      </c>
    </row>
    <row r="267" spans="1:5" x14ac:dyDescent="0.25">
      <c r="A267">
        <v>266</v>
      </c>
      <c r="B267">
        <v>28.6</v>
      </c>
      <c r="C267">
        <v>4</v>
      </c>
      <c r="D267" t="s">
        <v>6</v>
      </c>
      <c r="E267">
        <v>4</v>
      </c>
    </row>
    <row r="268" spans="1:5" x14ac:dyDescent="0.25">
      <c r="A268">
        <v>267</v>
      </c>
      <c r="B268">
        <v>28.4</v>
      </c>
      <c r="C268">
        <v>22</v>
      </c>
      <c r="D268" t="s">
        <v>6</v>
      </c>
      <c r="E268">
        <v>5</v>
      </c>
    </row>
    <row r="269" spans="1:5" x14ac:dyDescent="0.25">
      <c r="A269">
        <v>268</v>
      </c>
      <c r="B269">
        <v>26.5</v>
      </c>
      <c r="C269">
        <v>0</v>
      </c>
      <c r="D269" t="s">
        <v>5</v>
      </c>
      <c r="E269">
        <v>0</v>
      </c>
    </row>
    <row r="270" spans="1:5" x14ac:dyDescent="0.25">
      <c r="A270">
        <v>269</v>
      </c>
      <c r="B270">
        <v>23.3</v>
      </c>
      <c r="C270">
        <v>4</v>
      </c>
      <c r="D270" t="s">
        <v>6</v>
      </c>
      <c r="E270">
        <v>1</v>
      </c>
    </row>
    <row r="271" spans="1:5" x14ac:dyDescent="0.25">
      <c r="A271">
        <v>270</v>
      </c>
      <c r="B271">
        <v>19.5</v>
      </c>
      <c r="C271">
        <v>6</v>
      </c>
      <c r="D271" t="s">
        <v>6</v>
      </c>
      <c r="E271">
        <v>1</v>
      </c>
    </row>
    <row r="272" spans="1:5" x14ac:dyDescent="0.25">
      <c r="A272">
        <v>271</v>
      </c>
      <c r="B272">
        <v>16</v>
      </c>
      <c r="C272">
        <v>6</v>
      </c>
      <c r="D272" t="s">
        <v>6</v>
      </c>
      <c r="E272">
        <v>1</v>
      </c>
    </row>
    <row r="273" spans="1:5" x14ac:dyDescent="0.25">
      <c r="A273">
        <v>272</v>
      </c>
      <c r="B273">
        <v>13.7</v>
      </c>
      <c r="C273">
        <v>9</v>
      </c>
      <c r="D273" t="s">
        <v>6</v>
      </c>
      <c r="E273">
        <v>2</v>
      </c>
    </row>
    <row r="274" spans="1:5" x14ac:dyDescent="0.25">
      <c r="A274">
        <v>273</v>
      </c>
      <c r="B274">
        <v>12.9</v>
      </c>
      <c r="C274">
        <v>7</v>
      </c>
      <c r="D274" t="s">
        <v>6</v>
      </c>
      <c r="E274">
        <v>2</v>
      </c>
    </row>
    <row r="275" spans="1:5" x14ac:dyDescent="0.25">
      <c r="A275">
        <v>274</v>
      </c>
      <c r="B275">
        <v>13.5</v>
      </c>
      <c r="C275">
        <v>1</v>
      </c>
      <c r="D275" t="s">
        <v>6</v>
      </c>
      <c r="E275">
        <v>2</v>
      </c>
    </row>
    <row r="276" spans="1:5" x14ac:dyDescent="0.25">
      <c r="A276">
        <v>275</v>
      </c>
      <c r="B276">
        <v>15</v>
      </c>
      <c r="C276">
        <v>18</v>
      </c>
      <c r="D276" t="s">
        <v>6</v>
      </c>
      <c r="E276">
        <v>3</v>
      </c>
    </row>
    <row r="277" spans="1:5" x14ac:dyDescent="0.25">
      <c r="A277">
        <v>276</v>
      </c>
      <c r="B277">
        <v>16.399999999999999</v>
      </c>
      <c r="C277">
        <v>13</v>
      </c>
      <c r="D277" t="s">
        <v>6</v>
      </c>
      <c r="E277">
        <v>3</v>
      </c>
    </row>
    <row r="278" spans="1:5" x14ac:dyDescent="0.25">
      <c r="A278">
        <v>277</v>
      </c>
      <c r="B278">
        <v>17.100000000000001</v>
      </c>
      <c r="C278">
        <v>2</v>
      </c>
      <c r="D278" t="s">
        <v>6</v>
      </c>
      <c r="E278">
        <v>3</v>
      </c>
    </row>
    <row r="279" spans="1:5" x14ac:dyDescent="0.25">
      <c r="A279">
        <v>278</v>
      </c>
      <c r="B279">
        <v>16.3</v>
      </c>
      <c r="C279">
        <v>10</v>
      </c>
      <c r="D279" t="s">
        <v>6</v>
      </c>
      <c r="E279">
        <v>4</v>
      </c>
    </row>
    <row r="280" spans="1:5" x14ac:dyDescent="0.25">
      <c r="A280">
        <v>279</v>
      </c>
      <c r="B280">
        <v>14</v>
      </c>
      <c r="C280">
        <v>6</v>
      </c>
      <c r="D280" t="s">
        <v>6</v>
      </c>
      <c r="E280">
        <v>4</v>
      </c>
    </row>
    <row r="281" spans="1:5" x14ac:dyDescent="0.25">
      <c r="A281">
        <v>280</v>
      </c>
      <c r="B281">
        <v>10.5</v>
      </c>
      <c r="C281">
        <v>20</v>
      </c>
      <c r="D281" t="s">
        <v>6</v>
      </c>
      <c r="E281">
        <v>4</v>
      </c>
    </row>
    <row r="282" spans="1:5" x14ac:dyDescent="0.25">
      <c r="A282">
        <v>281</v>
      </c>
      <c r="B282">
        <v>6.7</v>
      </c>
      <c r="C282">
        <v>17</v>
      </c>
      <c r="D282" t="s">
        <v>6</v>
      </c>
      <c r="E282">
        <v>5</v>
      </c>
    </row>
    <row r="283" spans="1:5" x14ac:dyDescent="0.25">
      <c r="A283">
        <v>282</v>
      </c>
      <c r="B283">
        <v>3.5</v>
      </c>
      <c r="C283">
        <v>13</v>
      </c>
      <c r="D283" t="s">
        <v>6</v>
      </c>
      <c r="E283">
        <v>5</v>
      </c>
    </row>
    <row r="284" spans="1:5" x14ac:dyDescent="0.25">
      <c r="A284">
        <v>283</v>
      </c>
      <c r="B284">
        <v>1.6</v>
      </c>
      <c r="C284">
        <v>18</v>
      </c>
      <c r="D284" t="s">
        <v>6</v>
      </c>
      <c r="E284">
        <v>5</v>
      </c>
    </row>
    <row r="285" spans="1:5" x14ac:dyDescent="0.25">
      <c r="A285">
        <v>284</v>
      </c>
      <c r="B285">
        <v>1.4</v>
      </c>
      <c r="C285">
        <v>20</v>
      </c>
      <c r="D285" t="s">
        <v>6</v>
      </c>
      <c r="E285">
        <v>5</v>
      </c>
    </row>
    <row r="286" spans="1:5" x14ac:dyDescent="0.25">
      <c r="A286">
        <v>285</v>
      </c>
      <c r="B286">
        <v>2.8</v>
      </c>
      <c r="C286">
        <v>0</v>
      </c>
      <c r="D286" t="s">
        <v>5</v>
      </c>
      <c r="E286">
        <v>0</v>
      </c>
    </row>
    <row r="287" spans="1:5" x14ac:dyDescent="0.25">
      <c r="A287">
        <v>286</v>
      </c>
      <c r="B287">
        <v>5.2</v>
      </c>
      <c r="C287">
        <v>6</v>
      </c>
      <c r="D287" t="s">
        <v>7</v>
      </c>
      <c r="E287">
        <v>1</v>
      </c>
    </row>
    <row r="288" spans="1:5" x14ac:dyDescent="0.25">
      <c r="A288">
        <v>287</v>
      </c>
      <c r="B288">
        <v>7.7</v>
      </c>
      <c r="C288">
        <v>5</v>
      </c>
      <c r="D288" t="s">
        <v>7</v>
      </c>
      <c r="E288">
        <v>1</v>
      </c>
    </row>
    <row r="289" spans="1:5" x14ac:dyDescent="0.25">
      <c r="A289">
        <v>288</v>
      </c>
      <c r="B289">
        <v>9.6</v>
      </c>
      <c r="C289">
        <v>1</v>
      </c>
      <c r="D289" t="s">
        <v>7</v>
      </c>
      <c r="E289">
        <v>1</v>
      </c>
    </row>
    <row r="290" spans="1:5" x14ac:dyDescent="0.25">
      <c r="A290">
        <v>289</v>
      </c>
      <c r="B290">
        <v>10.1</v>
      </c>
      <c r="C290">
        <v>8</v>
      </c>
      <c r="D290" t="s">
        <v>7</v>
      </c>
      <c r="E290">
        <v>2</v>
      </c>
    </row>
    <row r="291" spans="1:5" x14ac:dyDescent="0.25">
      <c r="A291">
        <v>290</v>
      </c>
      <c r="B291">
        <v>9.3000000000000007</v>
      </c>
      <c r="C291">
        <v>3</v>
      </c>
      <c r="D291" t="s">
        <v>7</v>
      </c>
      <c r="E291">
        <v>2</v>
      </c>
    </row>
    <row r="292" spans="1:5" x14ac:dyDescent="0.25">
      <c r="A292">
        <v>291</v>
      </c>
      <c r="B292">
        <v>7.4</v>
      </c>
      <c r="C292">
        <v>5</v>
      </c>
      <c r="D292" t="s">
        <v>7</v>
      </c>
      <c r="E292">
        <v>2</v>
      </c>
    </row>
    <row r="293" spans="1:5" x14ac:dyDescent="0.25">
      <c r="A293">
        <v>292</v>
      </c>
      <c r="B293">
        <v>5.0999999999999996</v>
      </c>
      <c r="C293">
        <v>17</v>
      </c>
      <c r="D293" t="s">
        <v>7</v>
      </c>
      <c r="E293">
        <v>3</v>
      </c>
    </row>
    <row r="294" spans="1:5" x14ac:dyDescent="0.25">
      <c r="A294">
        <v>293</v>
      </c>
      <c r="B294">
        <v>3.5</v>
      </c>
      <c r="C294">
        <v>9</v>
      </c>
      <c r="D294" t="s">
        <v>7</v>
      </c>
      <c r="E294">
        <v>3</v>
      </c>
    </row>
    <row r="295" spans="1:5" x14ac:dyDescent="0.25">
      <c r="A295">
        <v>294</v>
      </c>
      <c r="B295">
        <v>3.2</v>
      </c>
      <c r="C295">
        <v>4</v>
      </c>
      <c r="D295" t="s">
        <v>7</v>
      </c>
      <c r="E295">
        <v>3</v>
      </c>
    </row>
    <row r="296" spans="1:5" x14ac:dyDescent="0.25">
      <c r="A296">
        <v>295</v>
      </c>
      <c r="B296">
        <v>4.5999999999999996</v>
      </c>
      <c r="C296">
        <v>24</v>
      </c>
      <c r="D296" t="s">
        <v>7</v>
      </c>
      <c r="E296">
        <v>4</v>
      </c>
    </row>
    <row r="297" spans="1:5" x14ac:dyDescent="0.25">
      <c r="A297">
        <v>296</v>
      </c>
      <c r="B297">
        <v>7.5</v>
      </c>
      <c r="C297">
        <v>21</v>
      </c>
      <c r="D297" t="s">
        <v>7</v>
      </c>
      <c r="E297">
        <v>4</v>
      </c>
    </row>
    <row r="298" spans="1:5" x14ac:dyDescent="0.25">
      <c r="A298">
        <v>297</v>
      </c>
      <c r="B298">
        <v>11.3</v>
      </c>
      <c r="C298">
        <v>8</v>
      </c>
      <c r="D298" t="s">
        <v>7</v>
      </c>
      <c r="E298">
        <v>5</v>
      </c>
    </row>
    <row r="299" spans="1:5" x14ac:dyDescent="0.25">
      <c r="A299">
        <v>298</v>
      </c>
      <c r="B299">
        <v>15.2</v>
      </c>
      <c r="C299">
        <v>23</v>
      </c>
      <c r="D299" t="s">
        <v>7</v>
      </c>
      <c r="E299">
        <v>5</v>
      </c>
    </row>
    <row r="300" spans="1:5" x14ac:dyDescent="0.25">
      <c r="A300">
        <v>299</v>
      </c>
      <c r="B300">
        <v>18.3</v>
      </c>
      <c r="C300">
        <v>0</v>
      </c>
      <c r="D300" t="s">
        <v>5</v>
      </c>
      <c r="E300">
        <v>0</v>
      </c>
    </row>
    <row r="301" spans="1:5" x14ac:dyDescent="0.25">
      <c r="A301">
        <v>300</v>
      </c>
      <c r="B301">
        <v>19.899999999999999</v>
      </c>
      <c r="C301">
        <v>5</v>
      </c>
      <c r="D301" t="s">
        <v>6</v>
      </c>
      <c r="E301">
        <v>1</v>
      </c>
    </row>
    <row r="302" spans="1:5" x14ac:dyDescent="0.25">
      <c r="A302">
        <v>301</v>
      </c>
      <c r="B302">
        <v>20</v>
      </c>
      <c r="C302">
        <v>4</v>
      </c>
      <c r="D302" t="s">
        <v>5</v>
      </c>
      <c r="E302">
        <v>0</v>
      </c>
    </row>
    <row r="303" spans="1:5" x14ac:dyDescent="0.25">
      <c r="A303">
        <v>302</v>
      </c>
      <c r="B303">
        <v>18.899999999999999</v>
      </c>
      <c r="C303">
        <v>5</v>
      </c>
      <c r="D303" t="s">
        <v>5</v>
      </c>
      <c r="E303">
        <v>0</v>
      </c>
    </row>
    <row r="304" spans="1:5" x14ac:dyDescent="0.25">
      <c r="A304">
        <v>303</v>
      </c>
      <c r="B304">
        <v>17.3</v>
      </c>
      <c r="C304">
        <v>2</v>
      </c>
      <c r="D304" t="s">
        <v>5</v>
      </c>
      <c r="E304">
        <v>0</v>
      </c>
    </row>
    <row r="305" spans="1:5" x14ac:dyDescent="0.25">
      <c r="A305">
        <v>304</v>
      </c>
      <c r="B305">
        <v>16</v>
      </c>
      <c r="C305">
        <v>7</v>
      </c>
      <c r="D305" t="s">
        <v>5</v>
      </c>
      <c r="E305">
        <v>0</v>
      </c>
    </row>
    <row r="306" spans="1:5" x14ac:dyDescent="0.25">
      <c r="A306">
        <v>305</v>
      </c>
      <c r="B306">
        <v>15.9</v>
      </c>
      <c r="C306">
        <v>4</v>
      </c>
      <c r="D306" t="s">
        <v>5</v>
      </c>
      <c r="E306">
        <v>0</v>
      </c>
    </row>
    <row r="307" spans="1:5" x14ac:dyDescent="0.25">
      <c r="A307">
        <v>306</v>
      </c>
      <c r="B307">
        <v>17.3</v>
      </c>
      <c r="C307">
        <v>17</v>
      </c>
      <c r="D307" t="s">
        <v>5</v>
      </c>
      <c r="E307">
        <v>0</v>
      </c>
    </row>
    <row r="308" spans="1:5" x14ac:dyDescent="0.25">
      <c r="A308">
        <v>307</v>
      </c>
      <c r="B308">
        <v>20</v>
      </c>
      <c r="C308">
        <v>14</v>
      </c>
      <c r="D308" t="s">
        <v>5</v>
      </c>
      <c r="E308">
        <v>0</v>
      </c>
    </row>
    <row r="309" spans="1:5" x14ac:dyDescent="0.25">
      <c r="A309">
        <v>308</v>
      </c>
      <c r="B309">
        <v>23.4</v>
      </c>
      <c r="C309">
        <v>9</v>
      </c>
      <c r="D309" t="s">
        <v>5</v>
      </c>
      <c r="E309">
        <v>0</v>
      </c>
    </row>
    <row r="310" spans="1:5" x14ac:dyDescent="0.25">
      <c r="A310">
        <v>309</v>
      </c>
      <c r="B310">
        <v>26.8</v>
      </c>
      <c r="C310">
        <v>6</v>
      </c>
      <c r="D310" t="s">
        <v>5</v>
      </c>
      <c r="E310">
        <v>0</v>
      </c>
    </row>
    <row r="311" spans="1:5" x14ac:dyDescent="0.25">
      <c r="A311">
        <v>310</v>
      </c>
      <c r="B311">
        <v>29.1</v>
      </c>
      <c r="C311">
        <v>16</v>
      </c>
      <c r="D311" t="s">
        <v>5</v>
      </c>
      <c r="E311">
        <v>0</v>
      </c>
    </row>
    <row r="312" spans="1:5" x14ac:dyDescent="0.25">
      <c r="A312">
        <v>311</v>
      </c>
      <c r="B312">
        <v>29.8</v>
      </c>
      <c r="C312">
        <v>2</v>
      </c>
      <c r="D312" t="s">
        <v>5</v>
      </c>
      <c r="E312">
        <v>0</v>
      </c>
    </row>
    <row r="313" spans="1:5" x14ac:dyDescent="0.25">
      <c r="A313">
        <v>312</v>
      </c>
      <c r="B313">
        <v>28.8</v>
      </c>
      <c r="C313">
        <v>25</v>
      </c>
      <c r="D313" t="s">
        <v>5</v>
      </c>
      <c r="E313">
        <v>0</v>
      </c>
    </row>
    <row r="314" spans="1:5" x14ac:dyDescent="0.25">
      <c r="A314">
        <v>313</v>
      </c>
      <c r="B314">
        <v>26.4</v>
      </c>
      <c r="C314">
        <v>0</v>
      </c>
      <c r="D314" t="s">
        <v>5</v>
      </c>
      <c r="E314">
        <v>0</v>
      </c>
    </row>
    <row r="315" spans="1:5" x14ac:dyDescent="0.25">
      <c r="A315">
        <v>314</v>
      </c>
      <c r="B315">
        <v>23.4</v>
      </c>
      <c r="C315">
        <v>3</v>
      </c>
      <c r="D315" t="s">
        <v>5</v>
      </c>
      <c r="E315">
        <v>0</v>
      </c>
    </row>
    <row r="316" spans="1:5" x14ac:dyDescent="0.25">
      <c r="A316">
        <v>315</v>
      </c>
      <c r="B316">
        <v>20.7</v>
      </c>
      <c r="C316">
        <v>4</v>
      </c>
      <c r="D316" t="s">
        <v>5</v>
      </c>
      <c r="E316">
        <v>0</v>
      </c>
    </row>
    <row r="317" spans="1:5" x14ac:dyDescent="0.25">
      <c r="A317">
        <v>316</v>
      </c>
      <c r="B317">
        <v>19.100000000000001</v>
      </c>
      <c r="C317">
        <v>6</v>
      </c>
      <c r="D317" t="s">
        <v>5</v>
      </c>
      <c r="E317">
        <v>0</v>
      </c>
    </row>
    <row r="318" spans="1:5" x14ac:dyDescent="0.25">
      <c r="A318">
        <v>317</v>
      </c>
      <c r="B318">
        <v>18.899999999999999</v>
      </c>
      <c r="C318">
        <v>6</v>
      </c>
      <c r="D318" t="s">
        <v>5</v>
      </c>
      <c r="E318">
        <v>0</v>
      </c>
    </row>
    <row r="319" spans="1:5" x14ac:dyDescent="0.25">
      <c r="A319">
        <v>318</v>
      </c>
      <c r="B319">
        <v>20</v>
      </c>
      <c r="C319">
        <v>5</v>
      </c>
      <c r="D319" t="s">
        <v>5</v>
      </c>
      <c r="E319">
        <v>0</v>
      </c>
    </row>
    <row r="320" spans="1:5" x14ac:dyDescent="0.25">
      <c r="A320">
        <v>319</v>
      </c>
      <c r="B320">
        <v>21.8</v>
      </c>
      <c r="C320">
        <v>4</v>
      </c>
      <c r="D320" t="s">
        <v>5</v>
      </c>
      <c r="E320">
        <v>0</v>
      </c>
    </row>
    <row r="321" spans="1:5" x14ac:dyDescent="0.25">
      <c r="A321">
        <v>320</v>
      </c>
      <c r="B321">
        <v>23.6</v>
      </c>
      <c r="C321">
        <v>7</v>
      </c>
      <c r="D321" t="s">
        <v>5</v>
      </c>
      <c r="E321">
        <v>0</v>
      </c>
    </row>
    <row r="322" spans="1:5" x14ac:dyDescent="0.25">
      <c r="A322">
        <v>321</v>
      </c>
      <c r="B322">
        <v>24.4</v>
      </c>
      <c r="C322">
        <v>12</v>
      </c>
      <c r="D322" t="s">
        <v>5</v>
      </c>
      <c r="E322">
        <v>0</v>
      </c>
    </row>
    <row r="323" spans="1:5" x14ac:dyDescent="0.25">
      <c r="A323">
        <v>322</v>
      </c>
      <c r="B323">
        <v>23.6</v>
      </c>
      <c r="C323">
        <v>5</v>
      </c>
      <c r="D323" t="s">
        <v>5</v>
      </c>
      <c r="E323">
        <v>0</v>
      </c>
    </row>
    <row r="324" spans="1:5" x14ac:dyDescent="0.25">
      <c r="A324">
        <v>323</v>
      </c>
      <c r="B324">
        <v>21.3</v>
      </c>
      <c r="C324">
        <v>3</v>
      </c>
      <c r="D324" t="s">
        <v>5</v>
      </c>
      <c r="E324">
        <v>0</v>
      </c>
    </row>
    <row r="325" spans="1:5" x14ac:dyDescent="0.25">
      <c r="A325">
        <v>324</v>
      </c>
      <c r="B325">
        <v>17.7</v>
      </c>
      <c r="C325">
        <v>21</v>
      </c>
      <c r="D325" t="s">
        <v>5</v>
      </c>
      <c r="E325">
        <v>0</v>
      </c>
    </row>
    <row r="326" spans="1:5" x14ac:dyDescent="0.25">
      <c r="A326">
        <v>325</v>
      </c>
      <c r="B326">
        <v>13.6</v>
      </c>
      <c r="C326">
        <v>18</v>
      </c>
      <c r="D326" t="s">
        <v>5</v>
      </c>
      <c r="E326">
        <v>0</v>
      </c>
    </row>
    <row r="327" spans="1:5" x14ac:dyDescent="0.25">
      <c r="A327">
        <v>326</v>
      </c>
      <c r="B327">
        <v>10</v>
      </c>
      <c r="C327">
        <v>13</v>
      </c>
      <c r="D327" t="s">
        <v>5</v>
      </c>
      <c r="E327">
        <v>0</v>
      </c>
    </row>
    <row r="328" spans="1:5" x14ac:dyDescent="0.25">
      <c r="A328">
        <v>327</v>
      </c>
      <c r="B328">
        <v>7.6</v>
      </c>
      <c r="C328">
        <v>28</v>
      </c>
      <c r="D328" t="s">
        <v>5</v>
      </c>
      <c r="E328">
        <v>0</v>
      </c>
    </row>
    <row r="329" spans="1:5" x14ac:dyDescent="0.25">
      <c r="A329">
        <v>328</v>
      </c>
      <c r="B329">
        <v>6.8</v>
      </c>
      <c r="C329">
        <v>0</v>
      </c>
      <c r="D329" t="s">
        <v>5</v>
      </c>
      <c r="E329">
        <v>0</v>
      </c>
    </row>
    <row r="330" spans="1:5" x14ac:dyDescent="0.25">
      <c r="A330">
        <v>329</v>
      </c>
      <c r="B330">
        <v>7.5</v>
      </c>
      <c r="C330">
        <v>2</v>
      </c>
      <c r="D330" t="s">
        <v>5</v>
      </c>
      <c r="E330">
        <v>0</v>
      </c>
    </row>
    <row r="331" spans="1:5" x14ac:dyDescent="0.25">
      <c r="A331">
        <v>330</v>
      </c>
      <c r="B331">
        <v>9.1</v>
      </c>
      <c r="C331">
        <v>2</v>
      </c>
      <c r="D331" t="s">
        <v>5</v>
      </c>
      <c r="E331">
        <v>0</v>
      </c>
    </row>
    <row r="332" spans="1:5" x14ac:dyDescent="0.25">
      <c r="A332">
        <v>331</v>
      </c>
      <c r="B332">
        <v>10.9</v>
      </c>
      <c r="C332">
        <v>6</v>
      </c>
      <c r="D332" t="s">
        <v>5</v>
      </c>
      <c r="E332">
        <v>0</v>
      </c>
    </row>
    <row r="333" spans="1:5" x14ac:dyDescent="0.25">
      <c r="A333">
        <v>332</v>
      </c>
      <c r="B333">
        <v>11.8</v>
      </c>
      <c r="C333">
        <v>11</v>
      </c>
      <c r="D333" t="s">
        <v>5</v>
      </c>
      <c r="E333">
        <v>0</v>
      </c>
    </row>
    <row r="334" spans="1:5" x14ac:dyDescent="0.25">
      <c r="A334">
        <v>333</v>
      </c>
      <c r="B334">
        <v>11.5</v>
      </c>
      <c r="C334">
        <v>9</v>
      </c>
      <c r="D334" t="s">
        <v>5</v>
      </c>
      <c r="E334">
        <v>0</v>
      </c>
    </row>
    <row r="335" spans="1:5" x14ac:dyDescent="0.25">
      <c r="A335">
        <v>334</v>
      </c>
      <c r="B335">
        <v>9.6999999999999993</v>
      </c>
      <c r="C335">
        <v>7</v>
      </c>
      <c r="D335" t="s">
        <v>5</v>
      </c>
      <c r="E335">
        <v>0</v>
      </c>
    </row>
    <row r="336" spans="1:5" x14ac:dyDescent="0.25">
      <c r="A336">
        <v>335</v>
      </c>
      <c r="B336">
        <v>6.9</v>
      </c>
      <c r="C336">
        <v>17</v>
      </c>
      <c r="D336" t="s">
        <v>5</v>
      </c>
      <c r="E336">
        <v>0</v>
      </c>
    </row>
    <row r="337" spans="1:5" x14ac:dyDescent="0.25">
      <c r="A337">
        <v>336</v>
      </c>
      <c r="B337">
        <v>3.8</v>
      </c>
      <c r="C337">
        <v>1</v>
      </c>
      <c r="D337" t="s">
        <v>5</v>
      </c>
      <c r="E337">
        <v>0</v>
      </c>
    </row>
    <row r="338" spans="1:5" x14ac:dyDescent="0.25">
      <c r="A338">
        <v>337</v>
      </c>
      <c r="B338">
        <v>1.2</v>
      </c>
      <c r="C338">
        <v>2</v>
      </c>
      <c r="D338" t="s">
        <v>5</v>
      </c>
      <c r="E338">
        <v>0</v>
      </c>
    </row>
    <row r="339" spans="1:5" x14ac:dyDescent="0.25">
      <c r="A339">
        <v>338</v>
      </c>
      <c r="B339">
        <v>0.1</v>
      </c>
      <c r="C339">
        <v>15</v>
      </c>
      <c r="D339" t="s">
        <v>5</v>
      </c>
      <c r="E339">
        <v>0</v>
      </c>
    </row>
    <row r="340" spans="1:5" x14ac:dyDescent="0.25">
      <c r="A340">
        <v>339</v>
      </c>
      <c r="B340">
        <v>0.6</v>
      </c>
      <c r="C340">
        <v>21</v>
      </c>
      <c r="D340" t="s">
        <v>5</v>
      </c>
      <c r="E340">
        <v>0</v>
      </c>
    </row>
    <row r="341" spans="1:5" x14ac:dyDescent="0.25">
      <c r="A341">
        <v>340</v>
      </c>
      <c r="B341">
        <v>2.8</v>
      </c>
      <c r="C341">
        <v>8</v>
      </c>
      <c r="D341" t="s">
        <v>5</v>
      </c>
      <c r="E341">
        <v>0</v>
      </c>
    </row>
    <row r="342" spans="1:5" x14ac:dyDescent="0.25">
      <c r="A342">
        <v>341</v>
      </c>
      <c r="B342">
        <v>6</v>
      </c>
      <c r="C342">
        <v>27</v>
      </c>
      <c r="D342" t="s">
        <v>5</v>
      </c>
      <c r="E342">
        <v>0</v>
      </c>
    </row>
    <row r="343" spans="1:5" x14ac:dyDescent="0.25">
      <c r="A343">
        <v>342</v>
      </c>
      <c r="B343">
        <v>9.3000000000000007</v>
      </c>
      <c r="C343">
        <v>0</v>
      </c>
      <c r="D343" t="s">
        <v>5</v>
      </c>
      <c r="E343">
        <v>0</v>
      </c>
    </row>
    <row r="344" spans="1:5" x14ac:dyDescent="0.25">
      <c r="A344">
        <v>343</v>
      </c>
      <c r="B344">
        <v>11.8</v>
      </c>
      <c r="C344">
        <v>1</v>
      </c>
      <c r="D344" t="s">
        <v>5</v>
      </c>
      <c r="E344">
        <v>0</v>
      </c>
    </row>
    <row r="345" spans="1:5" x14ac:dyDescent="0.25">
      <c r="A345">
        <v>344</v>
      </c>
      <c r="B345">
        <v>13.1</v>
      </c>
      <c r="C345">
        <v>4</v>
      </c>
      <c r="D345" t="s">
        <v>5</v>
      </c>
      <c r="E345">
        <v>0</v>
      </c>
    </row>
    <row r="346" spans="1:5" x14ac:dyDescent="0.25">
      <c r="A346">
        <v>345</v>
      </c>
      <c r="B346">
        <v>12.9</v>
      </c>
      <c r="C346">
        <v>1</v>
      </c>
      <c r="D346" t="s">
        <v>5</v>
      </c>
      <c r="E346">
        <v>0</v>
      </c>
    </row>
    <row r="347" spans="1:5" x14ac:dyDescent="0.25">
      <c r="A347">
        <v>346</v>
      </c>
      <c r="B347">
        <v>11.6</v>
      </c>
      <c r="C347">
        <v>2</v>
      </c>
      <c r="D347" t="s">
        <v>5</v>
      </c>
      <c r="E347">
        <v>0</v>
      </c>
    </row>
    <row r="348" spans="1:5" x14ac:dyDescent="0.25">
      <c r="A348">
        <v>347</v>
      </c>
      <c r="B348">
        <v>9.9</v>
      </c>
      <c r="C348">
        <v>3</v>
      </c>
      <c r="D348" t="s">
        <v>5</v>
      </c>
      <c r="E348">
        <v>0</v>
      </c>
    </row>
    <row r="349" spans="1:5" x14ac:dyDescent="0.25">
      <c r="A349">
        <v>348</v>
      </c>
      <c r="B349">
        <v>8.6999999999999993</v>
      </c>
      <c r="C349">
        <v>8</v>
      </c>
      <c r="D349" t="s">
        <v>5</v>
      </c>
      <c r="E349">
        <v>0</v>
      </c>
    </row>
    <row r="350" spans="1:5" x14ac:dyDescent="0.25">
      <c r="A350">
        <v>349</v>
      </c>
      <c r="B350">
        <v>8.8000000000000007</v>
      </c>
      <c r="C350">
        <v>18</v>
      </c>
      <c r="D350" t="s">
        <v>5</v>
      </c>
      <c r="E350">
        <v>0</v>
      </c>
    </row>
    <row r="351" spans="1:5" x14ac:dyDescent="0.25">
      <c r="A351">
        <v>350</v>
      </c>
      <c r="B351">
        <v>10.5</v>
      </c>
      <c r="C351">
        <v>15</v>
      </c>
      <c r="D351" t="s">
        <v>5</v>
      </c>
      <c r="E351">
        <v>0</v>
      </c>
    </row>
    <row r="352" spans="1:5" x14ac:dyDescent="0.25">
      <c r="A352">
        <v>351</v>
      </c>
      <c r="B352">
        <v>13.5</v>
      </c>
      <c r="C352">
        <v>1</v>
      </c>
      <c r="D352" t="s">
        <v>5</v>
      </c>
      <c r="E352">
        <v>0</v>
      </c>
    </row>
    <row r="353" spans="1:5" x14ac:dyDescent="0.25">
      <c r="A353">
        <v>352</v>
      </c>
      <c r="B353">
        <v>17.5</v>
      </c>
      <c r="C353">
        <v>22</v>
      </c>
      <c r="D353" t="s">
        <v>5</v>
      </c>
      <c r="E353">
        <v>0</v>
      </c>
    </row>
    <row r="354" spans="1:5" x14ac:dyDescent="0.25">
      <c r="A354">
        <v>353</v>
      </c>
      <c r="B354">
        <v>21.4</v>
      </c>
      <c r="C354">
        <v>4</v>
      </c>
      <c r="D354" t="s">
        <v>5</v>
      </c>
      <c r="E354">
        <v>0</v>
      </c>
    </row>
    <row r="355" spans="1:5" x14ac:dyDescent="0.25">
      <c r="A355">
        <v>354</v>
      </c>
      <c r="B355">
        <v>24.4</v>
      </c>
      <c r="C355">
        <v>4</v>
      </c>
      <c r="D355" t="s">
        <v>5</v>
      </c>
      <c r="E355">
        <v>0</v>
      </c>
    </row>
    <row r="356" spans="1:5" x14ac:dyDescent="0.25">
      <c r="A356">
        <v>355</v>
      </c>
      <c r="B356">
        <v>25.8</v>
      </c>
      <c r="C356">
        <v>11</v>
      </c>
      <c r="D356" t="s">
        <v>5</v>
      </c>
      <c r="E356">
        <v>0</v>
      </c>
    </row>
    <row r="357" spans="1:5" x14ac:dyDescent="0.25">
      <c r="A357">
        <v>356</v>
      </c>
      <c r="B357">
        <v>25.6</v>
      </c>
      <c r="C357">
        <v>25</v>
      </c>
      <c r="D357" t="s">
        <v>5</v>
      </c>
      <c r="E357">
        <v>0</v>
      </c>
    </row>
    <row r="358" spans="1:5" x14ac:dyDescent="0.25">
      <c r="A358">
        <v>357</v>
      </c>
      <c r="B358">
        <v>24.1</v>
      </c>
      <c r="C358">
        <v>0</v>
      </c>
      <c r="D358" t="s">
        <v>5</v>
      </c>
      <c r="E358">
        <v>0</v>
      </c>
    </row>
    <row r="359" spans="1:5" x14ac:dyDescent="0.25">
      <c r="A359">
        <v>358</v>
      </c>
      <c r="B359">
        <v>22</v>
      </c>
      <c r="C359">
        <v>4</v>
      </c>
      <c r="D359" t="s">
        <v>5</v>
      </c>
      <c r="E359">
        <v>0</v>
      </c>
    </row>
    <row r="360" spans="1:5" x14ac:dyDescent="0.25">
      <c r="A360">
        <v>359</v>
      </c>
      <c r="B360">
        <v>20.3</v>
      </c>
      <c r="C360">
        <v>4</v>
      </c>
      <c r="D360" t="s">
        <v>5</v>
      </c>
      <c r="E360">
        <v>0</v>
      </c>
    </row>
    <row r="361" spans="1:5" x14ac:dyDescent="0.25">
      <c r="A361">
        <v>360</v>
      </c>
      <c r="B361">
        <v>19.600000000000001</v>
      </c>
      <c r="C361">
        <v>1</v>
      </c>
      <c r="D361" t="s">
        <v>5</v>
      </c>
      <c r="E361">
        <v>0</v>
      </c>
    </row>
    <row r="362" spans="1:5" x14ac:dyDescent="0.25">
      <c r="A362">
        <v>361</v>
      </c>
      <c r="B362">
        <v>20.3</v>
      </c>
      <c r="C362">
        <v>11</v>
      </c>
      <c r="D362" t="s">
        <v>5</v>
      </c>
      <c r="E362">
        <v>0</v>
      </c>
    </row>
    <row r="363" spans="1:5" x14ac:dyDescent="0.25">
      <c r="A363">
        <v>362</v>
      </c>
      <c r="B363">
        <v>22.3</v>
      </c>
      <c r="C363">
        <v>12</v>
      </c>
      <c r="D363" t="s">
        <v>5</v>
      </c>
      <c r="E363">
        <v>0</v>
      </c>
    </row>
    <row r="364" spans="1:5" x14ac:dyDescent="0.25">
      <c r="A364">
        <v>363</v>
      </c>
      <c r="B364">
        <v>25</v>
      </c>
      <c r="C364">
        <v>2</v>
      </c>
      <c r="D364" t="s">
        <v>5</v>
      </c>
      <c r="E364">
        <v>0</v>
      </c>
    </row>
    <row r="365" spans="1:5" x14ac:dyDescent="0.25">
      <c r="A365">
        <v>364</v>
      </c>
      <c r="B365">
        <v>27.5</v>
      </c>
      <c r="C365">
        <v>4</v>
      </c>
      <c r="D365" t="s">
        <v>5</v>
      </c>
      <c r="E365">
        <v>0</v>
      </c>
    </row>
    <row r="366" spans="1:5" x14ac:dyDescent="0.25">
      <c r="A366">
        <v>365</v>
      </c>
      <c r="B366">
        <v>29.1</v>
      </c>
      <c r="C366">
        <v>18</v>
      </c>
      <c r="D366" t="s">
        <v>5</v>
      </c>
      <c r="E366">
        <v>0</v>
      </c>
    </row>
    <row r="367" spans="1:5" x14ac:dyDescent="0.25">
      <c r="A367">
        <v>366</v>
      </c>
      <c r="B367">
        <v>29</v>
      </c>
      <c r="C367">
        <v>2</v>
      </c>
      <c r="D367" t="s">
        <v>5</v>
      </c>
      <c r="E367">
        <v>0</v>
      </c>
    </row>
    <row r="368" spans="1:5" x14ac:dyDescent="0.25">
      <c r="A368">
        <v>367</v>
      </c>
      <c r="B368">
        <v>27.2</v>
      </c>
      <c r="C368">
        <v>19</v>
      </c>
      <c r="D368" t="s">
        <v>5</v>
      </c>
      <c r="E368">
        <v>0</v>
      </c>
    </row>
    <row r="369" spans="1:5" x14ac:dyDescent="0.25">
      <c r="A369">
        <v>368</v>
      </c>
      <c r="B369">
        <v>24.1</v>
      </c>
      <c r="C369">
        <v>16</v>
      </c>
      <c r="D369" t="s">
        <v>5</v>
      </c>
      <c r="E369">
        <v>0</v>
      </c>
    </row>
    <row r="370" spans="1:5" x14ac:dyDescent="0.25">
      <c r="A370">
        <v>369</v>
      </c>
      <c r="B370">
        <v>20.399999999999999</v>
      </c>
      <c r="C370">
        <v>24</v>
      </c>
      <c r="D370" t="s">
        <v>5</v>
      </c>
      <c r="E370">
        <v>0</v>
      </c>
    </row>
    <row r="371" spans="1:5" x14ac:dyDescent="0.25">
      <c r="A371">
        <v>370</v>
      </c>
      <c r="B371">
        <v>17.100000000000001</v>
      </c>
      <c r="C371">
        <v>24</v>
      </c>
      <c r="D371" t="s">
        <v>5</v>
      </c>
      <c r="E371">
        <v>0</v>
      </c>
    </row>
    <row r="372" spans="1:5" x14ac:dyDescent="0.25">
      <c r="A372">
        <v>371</v>
      </c>
      <c r="B372">
        <v>14.9</v>
      </c>
      <c r="C372">
        <v>0</v>
      </c>
      <c r="D372" t="s">
        <v>5</v>
      </c>
      <c r="E372">
        <v>0</v>
      </c>
    </row>
    <row r="373" spans="1:5" x14ac:dyDescent="0.25">
      <c r="A373">
        <v>372</v>
      </c>
      <c r="B373">
        <v>14.1</v>
      </c>
      <c r="C373">
        <v>3</v>
      </c>
      <c r="D373" t="s">
        <v>5</v>
      </c>
      <c r="E373">
        <v>0</v>
      </c>
    </row>
    <row r="374" spans="1:5" x14ac:dyDescent="0.25">
      <c r="A374">
        <v>373</v>
      </c>
      <c r="B374">
        <v>14.8</v>
      </c>
      <c r="C374">
        <v>6</v>
      </c>
      <c r="D374" t="s">
        <v>5</v>
      </c>
      <c r="E374">
        <v>0</v>
      </c>
    </row>
    <row r="375" spans="1:5" x14ac:dyDescent="0.25">
      <c r="A375">
        <v>374</v>
      </c>
      <c r="B375">
        <v>16.3</v>
      </c>
      <c r="C375">
        <v>6</v>
      </c>
      <c r="D375" t="s">
        <v>5</v>
      </c>
      <c r="E375">
        <v>0</v>
      </c>
    </row>
    <row r="376" spans="1:5" x14ac:dyDescent="0.25">
      <c r="A376">
        <v>375</v>
      </c>
      <c r="B376">
        <v>17.7</v>
      </c>
      <c r="C376">
        <v>8</v>
      </c>
      <c r="D376" t="s">
        <v>5</v>
      </c>
      <c r="E376">
        <v>0</v>
      </c>
    </row>
    <row r="377" spans="1:5" x14ac:dyDescent="0.25">
      <c r="A377">
        <v>376</v>
      </c>
      <c r="B377">
        <v>18.3</v>
      </c>
      <c r="C377">
        <v>3</v>
      </c>
      <c r="D377" t="s">
        <v>5</v>
      </c>
      <c r="E377">
        <v>0</v>
      </c>
    </row>
    <row r="378" spans="1:5" x14ac:dyDescent="0.25">
      <c r="A378">
        <v>377</v>
      </c>
      <c r="B378">
        <v>17.5</v>
      </c>
      <c r="C378">
        <v>6</v>
      </c>
      <c r="D378" t="s">
        <v>5</v>
      </c>
      <c r="E378">
        <v>0</v>
      </c>
    </row>
    <row r="379" spans="1:5" x14ac:dyDescent="0.25">
      <c r="A379">
        <v>378</v>
      </c>
      <c r="B379">
        <v>15.1</v>
      </c>
      <c r="C379">
        <v>7</v>
      </c>
      <c r="D379" t="s">
        <v>5</v>
      </c>
      <c r="E379">
        <v>0</v>
      </c>
    </row>
    <row r="380" spans="1:5" x14ac:dyDescent="0.25">
      <c r="A380">
        <v>379</v>
      </c>
      <c r="B380">
        <v>11.6</v>
      </c>
      <c r="C380">
        <v>11</v>
      </c>
      <c r="D380" t="s">
        <v>5</v>
      </c>
      <c r="E380">
        <v>0</v>
      </c>
    </row>
    <row r="381" spans="1:5" x14ac:dyDescent="0.25">
      <c r="A381">
        <v>380</v>
      </c>
      <c r="B381">
        <v>7.7</v>
      </c>
      <c r="C381">
        <v>10</v>
      </c>
      <c r="D381" t="s">
        <v>5</v>
      </c>
      <c r="E381">
        <v>0</v>
      </c>
    </row>
    <row r="382" spans="1:5" x14ac:dyDescent="0.25">
      <c r="A382">
        <v>381</v>
      </c>
      <c r="B382">
        <v>4.4000000000000004</v>
      </c>
      <c r="C382">
        <v>21</v>
      </c>
      <c r="D382" t="s">
        <v>5</v>
      </c>
      <c r="E382">
        <v>0</v>
      </c>
    </row>
    <row r="383" spans="1:5" x14ac:dyDescent="0.25">
      <c r="A383">
        <v>382</v>
      </c>
      <c r="B383">
        <v>2.2999999999999998</v>
      </c>
      <c r="C383">
        <v>22</v>
      </c>
      <c r="D383" t="s">
        <v>5</v>
      </c>
      <c r="E383">
        <v>0</v>
      </c>
    </row>
    <row r="384" spans="1:5" x14ac:dyDescent="0.25">
      <c r="A384">
        <v>383</v>
      </c>
      <c r="B384">
        <v>2</v>
      </c>
      <c r="C384">
        <v>22</v>
      </c>
      <c r="D384" t="s">
        <v>5</v>
      </c>
      <c r="E384">
        <v>0</v>
      </c>
    </row>
    <row r="385" spans="1:5" x14ac:dyDescent="0.25">
      <c r="A385">
        <v>384</v>
      </c>
      <c r="B385">
        <v>3.2</v>
      </c>
      <c r="C385">
        <v>29</v>
      </c>
      <c r="D385" t="s">
        <v>5</v>
      </c>
      <c r="E385">
        <v>0</v>
      </c>
    </row>
    <row r="386" spans="1:5" x14ac:dyDescent="0.25">
      <c r="A386">
        <v>385</v>
      </c>
      <c r="B386">
        <v>5.5</v>
      </c>
      <c r="C386">
        <v>0</v>
      </c>
      <c r="D386" t="s">
        <v>5</v>
      </c>
      <c r="E386">
        <v>0</v>
      </c>
    </row>
    <row r="387" spans="1:5" x14ac:dyDescent="0.25">
      <c r="A387">
        <v>386</v>
      </c>
      <c r="B387">
        <v>7.9</v>
      </c>
      <c r="C387">
        <v>1</v>
      </c>
      <c r="D387" t="s">
        <v>5</v>
      </c>
      <c r="E387">
        <v>0</v>
      </c>
    </row>
    <row r="388" spans="1:5" x14ac:dyDescent="0.25">
      <c r="A388">
        <v>387</v>
      </c>
      <c r="B388">
        <v>9.6</v>
      </c>
      <c r="C388">
        <v>2</v>
      </c>
      <c r="D388" t="s">
        <v>5</v>
      </c>
      <c r="E388">
        <v>0</v>
      </c>
    </row>
    <row r="389" spans="1:5" x14ac:dyDescent="0.25">
      <c r="A389">
        <v>388</v>
      </c>
      <c r="B389">
        <v>10</v>
      </c>
      <c r="C389">
        <v>3</v>
      </c>
      <c r="D389" t="s">
        <v>5</v>
      </c>
      <c r="E389">
        <v>0</v>
      </c>
    </row>
    <row r="390" spans="1:5" x14ac:dyDescent="0.25">
      <c r="A390">
        <v>389</v>
      </c>
      <c r="B390">
        <v>9</v>
      </c>
      <c r="C390">
        <v>2</v>
      </c>
      <c r="D390" t="s">
        <v>5</v>
      </c>
      <c r="E390">
        <v>0</v>
      </c>
    </row>
    <row r="391" spans="1:5" x14ac:dyDescent="0.25">
      <c r="A391">
        <v>390</v>
      </c>
      <c r="B391">
        <v>6.9</v>
      </c>
      <c r="C391">
        <v>10</v>
      </c>
      <c r="D391" t="s">
        <v>5</v>
      </c>
      <c r="E391">
        <v>0</v>
      </c>
    </row>
    <row r="392" spans="1:5" x14ac:dyDescent="0.25">
      <c r="A392">
        <v>391</v>
      </c>
      <c r="B392">
        <v>4.5</v>
      </c>
      <c r="C392">
        <v>3</v>
      </c>
      <c r="D392" t="s">
        <v>5</v>
      </c>
      <c r="E392">
        <v>0</v>
      </c>
    </row>
    <row r="393" spans="1:5" x14ac:dyDescent="0.25">
      <c r="A393">
        <v>392</v>
      </c>
      <c r="B393">
        <v>2.8</v>
      </c>
      <c r="C393">
        <v>11</v>
      </c>
      <c r="D393" t="s">
        <v>5</v>
      </c>
      <c r="E393">
        <v>0</v>
      </c>
    </row>
    <row r="394" spans="1:5" x14ac:dyDescent="0.25">
      <c r="A394">
        <v>393</v>
      </c>
      <c r="B394">
        <v>2.2999999999999998</v>
      </c>
      <c r="C394">
        <v>17</v>
      </c>
      <c r="D394" t="s">
        <v>5</v>
      </c>
      <c r="E394">
        <v>0</v>
      </c>
    </row>
    <row r="395" spans="1:5" x14ac:dyDescent="0.25">
      <c r="A395">
        <v>394</v>
      </c>
      <c r="B395">
        <v>3.6</v>
      </c>
      <c r="C395">
        <v>1</v>
      </c>
      <c r="D395" t="s">
        <v>5</v>
      </c>
      <c r="E395">
        <v>0</v>
      </c>
    </row>
    <row r="396" spans="1:5" x14ac:dyDescent="0.25">
      <c r="A396">
        <v>395</v>
      </c>
      <c r="B396">
        <v>6.4</v>
      </c>
      <c r="C396">
        <v>8</v>
      </c>
      <c r="D396" t="s">
        <v>5</v>
      </c>
      <c r="E396">
        <v>0</v>
      </c>
    </row>
    <row r="397" spans="1:5" x14ac:dyDescent="0.25">
      <c r="A397">
        <v>396</v>
      </c>
      <c r="B397">
        <v>10.199999999999999</v>
      </c>
      <c r="C397">
        <v>11</v>
      </c>
      <c r="D397" t="s">
        <v>5</v>
      </c>
      <c r="E397">
        <v>0</v>
      </c>
    </row>
    <row r="398" spans="1:5" x14ac:dyDescent="0.25">
      <c r="A398">
        <v>397</v>
      </c>
      <c r="B398">
        <v>14</v>
      </c>
      <c r="C398">
        <v>23</v>
      </c>
      <c r="D398" t="s">
        <v>5</v>
      </c>
      <c r="E398">
        <v>0</v>
      </c>
    </row>
    <row r="399" spans="1:5" x14ac:dyDescent="0.25">
      <c r="A399">
        <v>398</v>
      </c>
      <c r="B399">
        <v>17.100000000000001</v>
      </c>
      <c r="C399">
        <v>29</v>
      </c>
      <c r="D399" t="s">
        <v>5</v>
      </c>
      <c r="E399">
        <v>0</v>
      </c>
    </row>
    <row r="400" spans="1:5" x14ac:dyDescent="0.25">
      <c r="A400">
        <v>399</v>
      </c>
      <c r="B400">
        <v>18.7</v>
      </c>
      <c r="C400">
        <v>0</v>
      </c>
      <c r="D400" t="s">
        <v>5</v>
      </c>
      <c r="E400">
        <v>0</v>
      </c>
    </row>
    <row r="401" spans="1:5" x14ac:dyDescent="0.25">
      <c r="A401">
        <v>400</v>
      </c>
      <c r="B401">
        <v>18.8</v>
      </c>
      <c r="C401">
        <v>5</v>
      </c>
      <c r="D401" t="s">
        <v>5</v>
      </c>
      <c r="E401">
        <v>0</v>
      </c>
    </row>
    <row r="402" spans="1:5" x14ac:dyDescent="0.25">
      <c r="A402">
        <v>401</v>
      </c>
      <c r="B402">
        <v>17.7</v>
      </c>
      <c r="C402">
        <v>2</v>
      </c>
      <c r="D402" t="s">
        <v>5</v>
      </c>
      <c r="E402">
        <v>0</v>
      </c>
    </row>
    <row r="403" spans="1:5" x14ac:dyDescent="0.25">
      <c r="A403">
        <v>402</v>
      </c>
      <c r="B403">
        <v>16.100000000000001</v>
      </c>
      <c r="C403">
        <v>2</v>
      </c>
      <c r="D403" t="s">
        <v>5</v>
      </c>
      <c r="E403">
        <v>0</v>
      </c>
    </row>
    <row r="404" spans="1:5" x14ac:dyDescent="0.25">
      <c r="A404">
        <v>403</v>
      </c>
      <c r="B404">
        <v>14.9</v>
      </c>
      <c r="C404">
        <v>7</v>
      </c>
      <c r="D404" t="s">
        <v>5</v>
      </c>
      <c r="E404">
        <v>0</v>
      </c>
    </row>
    <row r="405" spans="1:5" x14ac:dyDescent="0.25">
      <c r="A405">
        <v>404</v>
      </c>
      <c r="B405">
        <v>14.9</v>
      </c>
      <c r="C405">
        <v>2</v>
      </c>
      <c r="D405" t="s">
        <v>5</v>
      </c>
      <c r="E405">
        <v>0</v>
      </c>
    </row>
    <row r="406" spans="1:5" x14ac:dyDescent="0.25">
      <c r="A406">
        <v>405</v>
      </c>
      <c r="B406">
        <v>16.3</v>
      </c>
      <c r="C406">
        <v>3</v>
      </c>
      <c r="D406" t="s">
        <v>5</v>
      </c>
      <c r="E406">
        <v>0</v>
      </c>
    </row>
    <row r="407" spans="1:5" x14ac:dyDescent="0.25">
      <c r="A407">
        <v>406</v>
      </c>
      <c r="B407">
        <v>19.100000000000001</v>
      </c>
      <c r="C407">
        <v>14</v>
      </c>
      <c r="D407" t="s">
        <v>5</v>
      </c>
      <c r="E407">
        <v>0</v>
      </c>
    </row>
    <row r="408" spans="1:5" x14ac:dyDescent="0.25">
      <c r="A408">
        <v>407</v>
      </c>
      <c r="B408">
        <v>22.7</v>
      </c>
      <c r="C408">
        <v>12</v>
      </c>
      <c r="D408" t="s">
        <v>5</v>
      </c>
      <c r="E408">
        <v>0</v>
      </c>
    </row>
    <row r="409" spans="1:5" x14ac:dyDescent="0.25">
      <c r="A409">
        <v>408</v>
      </c>
      <c r="B409">
        <v>26.1</v>
      </c>
      <c r="C409">
        <v>9</v>
      </c>
      <c r="D409" t="s">
        <v>5</v>
      </c>
      <c r="E409">
        <v>0</v>
      </c>
    </row>
    <row r="410" spans="1:5" x14ac:dyDescent="0.25">
      <c r="A410">
        <v>409</v>
      </c>
      <c r="B410">
        <v>28.6</v>
      </c>
      <c r="C410">
        <v>14</v>
      </c>
      <c r="D410" t="s">
        <v>5</v>
      </c>
      <c r="E410">
        <v>0</v>
      </c>
    </row>
    <row r="411" spans="1:5" x14ac:dyDescent="0.25">
      <c r="A411">
        <v>410</v>
      </c>
      <c r="B411">
        <v>29.5</v>
      </c>
      <c r="C411">
        <v>17</v>
      </c>
      <c r="D411" t="s">
        <v>5</v>
      </c>
      <c r="E411">
        <v>0</v>
      </c>
    </row>
    <row r="412" spans="1:5" x14ac:dyDescent="0.25">
      <c r="A412">
        <v>411</v>
      </c>
      <c r="B412">
        <v>28.6</v>
      </c>
      <c r="C412">
        <v>9</v>
      </c>
      <c r="D412" t="s">
        <v>5</v>
      </c>
      <c r="E412">
        <v>0</v>
      </c>
    </row>
    <row r="413" spans="1:5" x14ac:dyDescent="0.25">
      <c r="A413">
        <v>412</v>
      </c>
      <c r="B413">
        <v>26.4</v>
      </c>
      <c r="C413">
        <v>28</v>
      </c>
      <c r="D413" t="s">
        <v>5</v>
      </c>
      <c r="E413">
        <v>0</v>
      </c>
    </row>
    <row r="414" spans="1:5" x14ac:dyDescent="0.25">
      <c r="A414">
        <v>413</v>
      </c>
      <c r="B414">
        <v>23.6</v>
      </c>
      <c r="C414">
        <v>0</v>
      </c>
      <c r="D414" t="s">
        <v>5</v>
      </c>
      <c r="E414">
        <v>0</v>
      </c>
    </row>
    <row r="415" spans="1:5" x14ac:dyDescent="0.25">
      <c r="A415">
        <v>414</v>
      </c>
      <c r="B415">
        <v>21</v>
      </c>
      <c r="C415">
        <v>1</v>
      </c>
      <c r="D415" t="s">
        <v>5</v>
      </c>
      <c r="E415">
        <v>0</v>
      </c>
    </row>
    <row r="416" spans="1:5" x14ac:dyDescent="0.25">
      <c r="A416">
        <v>415</v>
      </c>
      <c r="B416">
        <v>19.600000000000001</v>
      </c>
      <c r="C416">
        <v>6</v>
      </c>
      <c r="D416" t="s">
        <v>5</v>
      </c>
      <c r="E416">
        <v>0</v>
      </c>
    </row>
    <row r="417" spans="1:5" x14ac:dyDescent="0.25">
      <c r="A417">
        <v>416</v>
      </c>
      <c r="B417">
        <v>19.5</v>
      </c>
      <c r="C417">
        <v>4</v>
      </c>
      <c r="D417" t="s">
        <v>5</v>
      </c>
      <c r="E417">
        <v>0</v>
      </c>
    </row>
    <row r="418" spans="1:5" x14ac:dyDescent="0.25">
      <c r="A418">
        <v>417</v>
      </c>
      <c r="B418">
        <v>20.7</v>
      </c>
      <c r="C418">
        <v>10</v>
      </c>
      <c r="D418" t="s">
        <v>5</v>
      </c>
      <c r="E418">
        <v>0</v>
      </c>
    </row>
    <row r="419" spans="1:5" x14ac:dyDescent="0.25">
      <c r="A419">
        <v>418</v>
      </c>
      <c r="B419">
        <v>22.7</v>
      </c>
      <c r="C419">
        <v>4</v>
      </c>
      <c r="D419" t="s">
        <v>5</v>
      </c>
      <c r="E419">
        <v>0</v>
      </c>
    </row>
    <row r="420" spans="1:5" x14ac:dyDescent="0.25">
      <c r="A420">
        <v>419</v>
      </c>
      <c r="B420">
        <v>24.5</v>
      </c>
      <c r="C420">
        <v>5</v>
      </c>
      <c r="D420" t="s">
        <v>5</v>
      </c>
      <c r="E420">
        <v>0</v>
      </c>
    </row>
    <row r="421" spans="1:5" x14ac:dyDescent="0.25">
      <c r="A421">
        <v>420</v>
      </c>
      <c r="B421">
        <v>25.4</v>
      </c>
      <c r="C421">
        <v>8</v>
      </c>
      <c r="D421" t="s">
        <v>5</v>
      </c>
      <c r="E421">
        <v>0</v>
      </c>
    </row>
    <row r="422" spans="1:5" x14ac:dyDescent="0.25">
      <c r="A422">
        <v>421</v>
      </c>
      <c r="B422">
        <v>24.8</v>
      </c>
      <c r="C422">
        <v>12</v>
      </c>
      <c r="D422" t="s">
        <v>5</v>
      </c>
      <c r="E422">
        <v>0</v>
      </c>
    </row>
    <row r="423" spans="1:5" x14ac:dyDescent="0.25">
      <c r="A423">
        <v>422</v>
      </c>
      <c r="B423">
        <v>22.5</v>
      </c>
      <c r="C423">
        <v>8</v>
      </c>
      <c r="D423" t="s">
        <v>5</v>
      </c>
      <c r="E423">
        <v>0</v>
      </c>
    </row>
    <row r="424" spans="1:5" x14ac:dyDescent="0.25">
      <c r="A424">
        <v>423</v>
      </c>
      <c r="B424">
        <v>18.899999999999999</v>
      </c>
      <c r="C424">
        <v>7</v>
      </c>
      <c r="D424" t="s">
        <v>5</v>
      </c>
      <c r="E424">
        <v>0</v>
      </c>
    </row>
    <row r="425" spans="1:5" x14ac:dyDescent="0.25">
      <c r="A425">
        <v>424</v>
      </c>
      <c r="B425">
        <v>14.8</v>
      </c>
      <c r="C425">
        <v>8</v>
      </c>
      <c r="D425" t="s">
        <v>5</v>
      </c>
      <c r="E425">
        <v>0</v>
      </c>
    </row>
    <row r="426" spans="1:5" x14ac:dyDescent="0.25">
      <c r="A426">
        <v>425</v>
      </c>
      <c r="B426">
        <v>11.2</v>
      </c>
      <c r="C426">
        <v>7</v>
      </c>
      <c r="D426" t="s">
        <v>5</v>
      </c>
      <c r="E426">
        <v>0</v>
      </c>
    </row>
    <row r="427" spans="1:5" x14ac:dyDescent="0.25">
      <c r="A427">
        <v>426</v>
      </c>
      <c r="B427">
        <v>8.8000000000000007</v>
      </c>
      <c r="C427">
        <v>23</v>
      </c>
      <c r="D427" t="s">
        <v>5</v>
      </c>
      <c r="E427">
        <v>0</v>
      </c>
    </row>
    <row r="428" spans="1:5" x14ac:dyDescent="0.25">
      <c r="A428">
        <v>427</v>
      </c>
      <c r="B428">
        <v>8</v>
      </c>
      <c r="C428">
        <v>0</v>
      </c>
      <c r="D428" t="s">
        <v>5</v>
      </c>
      <c r="E428">
        <v>0</v>
      </c>
    </row>
    <row r="429" spans="1:5" x14ac:dyDescent="0.25">
      <c r="A429">
        <v>428</v>
      </c>
      <c r="B429">
        <v>8.6</v>
      </c>
      <c r="C429">
        <v>2</v>
      </c>
      <c r="D429" t="s">
        <v>5</v>
      </c>
      <c r="E429">
        <v>0</v>
      </c>
    </row>
    <row r="430" spans="1:5" x14ac:dyDescent="0.25">
      <c r="A430">
        <v>429</v>
      </c>
      <c r="B430">
        <v>10.199999999999999</v>
      </c>
      <c r="C430">
        <v>5</v>
      </c>
      <c r="D430" t="s">
        <v>5</v>
      </c>
      <c r="E430">
        <v>0</v>
      </c>
    </row>
    <row r="431" spans="1:5" x14ac:dyDescent="0.25">
      <c r="A431">
        <v>430</v>
      </c>
      <c r="B431">
        <v>11.8</v>
      </c>
      <c r="C431">
        <v>5</v>
      </c>
      <c r="D431" t="s">
        <v>5</v>
      </c>
      <c r="E431">
        <v>0</v>
      </c>
    </row>
    <row r="432" spans="1:5" x14ac:dyDescent="0.25">
      <c r="A432">
        <v>431</v>
      </c>
      <c r="B432">
        <v>12.7</v>
      </c>
      <c r="C432">
        <v>8</v>
      </c>
      <c r="D432" t="s">
        <v>5</v>
      </c>
      <c r="E432">
        <v>0</v>
      </c>
    </row>
    <row r="433" spans="1:5" x14ac:dyDescent="0.25">
      <c r="A433">
        <v>432</v>
      </c>
      <c r="B433">
        <v>12.2</v>
      </c>
      <c r="C433">
        <v>6</v>
      </c>
      <c r="D433" t="s">
        <v>5</v>
      </c>
      <c r="E433">
        <v>0</v>
      </c>
    </row>
    <row r="434" spans="1:5" x14ac:dyDescent="0.25">
      <c r="A434">
        <v>433</v>
      </c>
      <c r="B434">
        <v>10.3</v>
      </c>
      <c r="C434">
        <v>9</v>
      </c>
      <c r="D434" t="s">
        <v>5</v>
      </c>
      <c r="E434">
        <v>0</v>
      </c>
    </row>
    <row r="435" spans="1:5" x14ac:dyDescent="0.25">
      <c r="A435">
        <v>434</v>
      </c>
      <c r="B435">
        <v>7.4</v>
      </c>
      <c r="C435">
        <v>17</v>
      </c>
      <c r="D435" t="s">
        <v>5</v>
      </c>
      <c r="E435">
        <v>0</v>
      </c>
    </row>
    <row r="436" spans="1:5" x14ac:dyDescent="0.25">
      <c r="A436">
        <v>435</v>
      </c>
      <c r="B436">
        <v>4.0999999999999996</v>
      </c>
      <c r="C436">
        <v>17</v>
      </c>
      <c r="D436" t="s">
        <v>5</v>
      </c>
      <c r="E436">
        <v>0</v>
      </c>
    </row>
    <row r="437" spans="1:5" x14ac:dyDescent="0.25">
      <c r="A437">
        <v>436</v>
      </c>
      <c r="B437">
        <v>1.4</v>
      </c>
      <c r="C437">
        <v>7</v>
      </c>
      <c r="D437" t="s">
        <v>5</v>
      </c>
      <c r="E437">
        <v>0</v>
      </c>
    </row>
    <row r="438" spans="1:5" x14ac:dyDescent="0.25">
      <c r="A438">
        <v>437</v>
      </c>
      <c r="B438">
        <v>0.1</v>
      </c>
      <c r="C438">
        <v>24</v>
      </c>
      <c r="D438" t="s">
        <v>5</v>
      </c>
      <c r="E438">
        <v>0</v>
      </c>
    </row>
    <row r="439" spans="1:5" x14ac:dyDescent="0.25">
      <c r="A439">
        <v>438</v>
      </c>
      <c r="B439">
        <v>0.5</v>
      </c>
      <c r="C439">
        <v>16</v>
      </c>
      <c r="D439" t="s">
        <v>5</v>
      </c>
      <c r="E439">
        <v>0</v>
      </c>
    </row>
    <row r="440" spans="1:5" x14ac:dyDescent="0.25">
      <c r="A440">
        <v>439</v>
      </c>
      <c r="B440">
        <v>2.5</v>
      </c>
      <c r="C440">
        <v>2</v>
      </c>
      <c r="D440" t="s">
        <v>5</v>
      </c>
      <c r="E440">
        <v>0</v>
      </c>
    </row>
    <row r="441" spans="1:5" x14ac:dyDescent="0.25">
      <c r="A441">
        <v>440</v>
      </c>
      <c r="B441">
        <v>5.5</v>
      </c>
      <c r="C441">
        <v>17</v>
      </c>
      <c r="D441" t="s">
        <v>5</v>
      </c>
      <c r="E441">
        <v>0</v>
      </c>
    </row>
    <row r="442" spans="1:5" x14ac:dyDescent="0.25">
      <c r="A442">
        <v>441</v>
      </c>
      <c r="B442">
        <v>8.6999999999999993</v>
      </c>
      <c r="C442">
        <v>23</v>
      </c>
      <c r="D442" t="s">
        <v>5</v>
      </c>
      <c r="E442">
        <v>0</v>
      </c>
    </row>
    <row r="443" spans="1:5" x14ac:dyDescent="0.25">
      <c r="A443">
        <v>442</v>
      </c>
      <c r="B443">
        <v>11.1</v>
      </c>
      <c r="C443">
        <v>0</v>
      </c>
      <c r="D443" t="s">
        <v>5</v>
      </c>
      <c r="E443">
        <v>0</v>
      </c>
    </row>
    <row r="444" spans="1:5" x14ac:dyDescent="0.25">
      <c r="A444">
        <v>443</v>
      </c>
      <c r="B444">
        <v>12.2</v>
      </c>
      <c r="C444">
        <v>4</v>
      </c>
      <c r="D444" t="s">
        <v>5</v>
      </c>
      <c r="E444">
        <v>0</v>
      </c>
    </row>
    <row r="445" spans="1:5" x14ac:dyDescent="0.25">
      <c r="A445">
        <v>444</v>
      </c>
      <c r="B445">
        <v>11.9</v>
      </c>
      <c r="C445">
        <v>1</v>
      </c>
      <c r="D445" t="s">
        <v>5</v>
      </c>
      <c r="E445">
        <v>0</v>
      </c>
    </row>
    <row r="446" spans="1:5" x14ac:dyDescent="0.25">
      <c r="A446">
        <v>445</v>
      </c>
      <c r="B446">
        <v>10.5</v>
      </c>
      <c r="C446">
        <v>1</v>
      </c>
      <c r="D446" t="s">
        <v>5</v>
      </c>
      <c r="E446">
        <v>0</v>
      </c>
    </row>
    <row r="447" spans="1:5" x14ac:dyDescent="0.25">
      <c r="A447">
        <v>446</v>
      </c>
      <c r="B447">
        <v>8.8000000000000007</v>
      </c>
      <c r="C447">
        <v>6</v>
      </c>
      <c r="D447" t="s">
        <v>5</v>
      </c>
      <c r="E447">
        <v>0</v>
      </c>
    </row>
    <row r="448" spans="1:5" x14ac:dyDescent="0.25">
      <c r="A448">
        <v>447</v>
      </c>
      <c r="B448">
        <v>7.5</v>
      </c>
      <c r="C448">
        <v>10</v>
      </c>
      <c r="D448" t="s">
        <v>5</v>
      </c>
      <c r="E448">
        <v>0</v>
      </c>
    </row>
    <row r="449" spans="1:5" x14ac:dyDescent="0.25">
      <c r="A449">
        <v>448</v>
      </c>
      <c r="B449">
        <v>7.6</v>
      </c>
      <c r="C449">
        <v>10</v>
      </c>
      <c r="D449" t="s">
        <v>5</v>
      </c>
      <c r="E449">
        <v>0</v>
      </c>
    </row>
    <row r="450" spans="1:5" x14ac:dyDescent="0.25">
      <c r="A450">
        <v>449</v>
      </c>
      <c r="B450">
        <v>9.1999999999999993</v>
      </c>
      <c r="C450">
        <v>2</v>
      </c>
      <c r="D450" t="s">
        <v>5</v>
      </c>
      <c r="E450">
        <v>0</v>
      </c>
    </row>
    <row r="451" spans="1:5" x14ac:dyDescent="0.25">
      <c r="A451">
        <v>450</v>
      </c>
      <c r="B451">
        <v>12.3</v>
      </c>
      <c r="C451">
        <v>7</v>
      </c>
      <c r="D451" t="s">
        <v>5</v>
      </c>
      <c r="E451">
        <v>0</v>
      </c>
    </row>
    <row r="452" spans="1:5" x14ac:dyDescent="0.25">
      <c r="A452">
        <v>451</v>
      </c>
      <c r="B452">
        <v>16.3</v>
      </c>
      <c r="C452">
        <v>18</v>
      </c>
      <c r="D452" t="s">
        <v>5</v>
      </c>
      <c r="E452">
        <v>0</v>
      </c>
    </row>
    <row r="453" spans="1:5" x14ac:dyDescent="0.25">
      <c r="A453">
        <v>452</v>
      </c>
      <c r="B453">
        <v>20.2</v>
      </c>
      <c r="C453">
        <v>23</v>
      </c>
      <c r="D453" t="s">
        <v>5</v>
      </c>
      <c r="E453">
        <v>0</v>
      </c>
    </row>
    <row r="454" spans="1:5" x14ac:dyDescent="0.25">
      <c r="A454">
        <v>453</v>
      </c>
      <c r="B454">
        <v>23.2</v>
      </c>
      <c r="C454">
        <v>7</v>
      </c>
      <c r="D454" t="s">
        <v>5</v>
      </c>
      <c r="E454">
        <v>0</v>
      </c>
    </row>
    <row r="455" spans="1:5" x14ac:dyDescent="0.25">
      <c r="A455">
        <v>454</v>
      </c>
      <c r="B455">
        <v>24.8</v>
      </c>
      <c r="C455">
        <v>20</v>
      </c>
      <c r="D455" t="s">
        <v>5</v>
      </c>
      <c r="E455">
        <v>0</v>
      </c>
    </row>
    <row r="456" spans="1:5" x14ac:dyDescent="0.25">
      <c r="A456">
        <v>455</v>
      </c>
      <c r="B456">
        <v>24.9</v>
      </c>
      <c r="C456">
        <v>14</v>
      </c>
      <c r="D456" t="s">
        <v>5</v>
      </c>
      <c r="E456">
        <v>0</v>
      </c>
    </row>
    <row r="457" spans="1:5" x14ac:dyDescent="0.25">
      <c r="A457">
        <v>456</v>
      </c>
      <c r="B457">
        <v>23.3</v>
      </c>
      <c r="C457">
        <v>11</v>
      </c>
      <c r="D457" t="s">
        <v>5</v>
      </c>
      <c r="E457">
        <v>0</v>
      </c>
    </row>
    <row r="458" spans="1:5" x14ac:dyDescent="0.25">
      <c r="A458">
        <v>457</v>
      </c>
      <c r="B458">
        <v>21.3</v>
      </c>
      <c r="C458">
        <v>10</v>
      </c>
      <c r="D458" t="s">
        <v>5</v>
      </c>
      <c r="E458">
        <v>0</v>
      </c>
    </row>
    <row r="459" spans="1:5" x14ac:dyDescent="0.25">
      <c r="A459">
        <v>458</v>
      </c>
      <c r="B459">
        <v>19.7</v>
      </c>
      <c r="C459">
        <v>13</v>
      </c>
      <c r="D459" t="s">
        <v>5</v>
      </c>
      <c r="E459">
        <v>0</v>
      </c>
    </row>
    <row r="460" spans="1:5" x14ac:dyDescent="0.25">
      <c r="A460">
        <v>459</v>
      </c>
      <c r="B460">
        <v>19.100000000000001</v>
      </c>
      <c r="C460">
        <v>24</v>
      </c>
      <c r="D460" t="s">
        <v>5</v>
      </c>
      <c r="E460">
        <v>0</v>
      </c>
    </row>
    <row r="461" spans="1:5" x14ac:dyDescent="0.25">
      <c r="A461">
        <v>460</v>
      </c>
      <c r="B461">
        <v>20</v>
      </c>
      <c r="C461">
        <v>0</v>
      </c>
      <c r="D461" t="s">
        <v>5</v>
      </c>
      <c r="E461">
        <v>0</v>
      </c>
    </row>
    <row r="462" spans="1:5" x14ac:dyDescent="0.25">
      <c r="A462">
        <v>461</v>
      </c>
      <c r="B462">
        <v>22.1</v>
      </c>
      <c r="C462">
        <v>1</v>
      </c>
      <c r="D462" t="s">
        <v>5</v>
      </c>
      <c r="E462">
        <v>0</v>
      </c>
    </row>
    <row r="463" spans="1:5" x14ac:dyDescent="0.25">
      <c r="A463">
        <v>462</v>
      </c>
      <c r="B463">
        <v>25</v>
      </c>
      <c r="C463">
        <v>4</v>
      </c>
      <c r="D463" t="s">
        <v>5</v>
      </c>
      <c r="E463">
        <v>0</v>
      </c>
    </row>
    <row r="464" spans="1:5" x14ac:dyDescent="0.25">
      <c r="A464">
        <v>463</v>
      </c>
      <c r="B464">
        <v>27.7</v>
      </c>
      <c r="C464">
        <v>1</v>
      </c>
      <c r="D464" t="s">
        <v>5</v>
      </c>
      <c r="E464">
        <v>0</v>
      </c>
    </row>
    <row r="465" spans="1:5" x14ac:dyDescent="0.25">
      <c r="A465">
        <v>464</v>
      </c>
      <c r="B465">
        <v>29.4</v>
      </c>
      <c r="C465">
        <v>12</v>
      </c>
      <c r="D465" t="s">
        <v>5</v>
      </c>
      <c r="E465">
        <v>0</v>
      </c>
    </row>
    <row r="466" spans="1:5" x14ac:dyDescent="0.25">
      <c r="A466">
        <v>465</v>
      </c>
      <c r="B466">
        <v>29.5</v>
      </c>
      <c r="C466">
        <v>12</v>
      </c>
      <c r="D466" t="s">
        <v>5</v>
      </c>
      <c r="E466">
        <v>0</v>
      </c>
    </row>
    <row r="467" spans="1:5" x14ac:dyDescent="0.25">
      <c r="A467">
        <v>466</v>
      </c>
      <c r="B467">
        <v>27.8</v>
      </c>
      <c r="C467">
        <v>8</v>
      </c>
      <c r="D467" t="s">
        <v>5</v>
      </c>
      <c r="E467">
        <v>0</v>
      </c>
    </row>
    <row r="468" spans="1:5" x14ac:dyDescent="0.25">
      <c r="A468">
        <v>467</v>
      </c>
      <c r="B468">
        <v>24.9</v>
      </c>
      <c r="C468">
        <v>13</v>
      </c>
      <c r="D468" t="s">
        <v>5</v>
      </c>
      <c r="E468">
        <v>0</v>
      </c>
    </row>
    <row r="469" spans="1:5" x14ac:dyDescent="0.25">
      <c r="A469">
        <v>468</v>
      </c>
      <c r="B469">
        <v>21.3</v>
      </c>
      <c r="C469">
        <v>18</v>
      </c>
      <c r="D469" t="s">
        <v>5</v>
      </c>
      <c r="E469">
        <v>0</v>
      </c>
    </row>
    <row r="470" spans="1:5" x14ac:dyDescent="0.25">
      <c r="A470">
        <v>469</v>
      </c>
      <c r="B470">
        <v>18.100000000000001</v>
      </c>
      <c r="C470">
        <v>15</v>
      </c>
      <c r="D470" t="s">
        <v>5</v>
      </c>
      <c r="E470">
        <v>0</v>
      </c>
    </row>
    <row r="471" spans="1:5" x14ac:dyDescent="0.25">
      <c r="A471">
        <v>470</v>
      </c>
      <c r="B471">
        <v>15.9</v>
      </c>
      <c r="C471">
        <v>10</v>
      </c>
      <c r="D471" t="s">
        <v>5</v>
      </c>
      <c r="E471">
        <v>0</v>
      </c>
    </row>
    <row r="472" spans="1:5" x14ac:dyDescent="0.25">
      <c r="A472">
        <v>471</v>
      </c>
      <c r="B472">
        <v>15.3</v>
      </c>
      <c r="C472">
        <v>7</v>
      </c>
      <c r="D472" t="s">
        <v>5</v>
      </c>
      <c r="E472">
        <v>0</v>
      </c>
    </row>
    <row r="473" spans="1:5" x14ac:dyDescent="0.25">
      <c r="A473">
        <v>472</v>
      </c>
      <c r="B473">
        <v>16</v>
      </c>
      <c r="C473">
        <v>5</v>
      </c>
      <c r="D473" t="s">
        <v>5</v>
      </c>
      <c r="E473">
        <v>0</v>
      </c>
    </row>
    <row r="474" spans="1:5" x14ac:dyDescent="0.25">
      <c r="A474">
        <v>473</v>
      </c>
      <c r="B474">
        <v>17.5</v>
      </c>
      <c r="C474">
        <v>26</v>
      </c>
      <c r="D474" t="s">
        <v>5</v>
      </c>
      <c r="E474">
        <v>0</v>
      </c>
    </row>
    <row r="475" spans="1:5" x14ac:dyDescent="0.25">
      <c r="A475">
        <v>474</v>
      </c>
      <c r="B475">
        <v>19</v>
      </c>
      <c r="C475">
        <v>0</v>
      </c>
      <c r="D475" t="s">
        <v>5</v>
      </c>
      <c r="E475">
        <v>0</v>
      </c>
    </row>
    <row r="476" spans="1:5" x14ac:dyDescent="0.25">
      <c r="A476">
        <v>475</v>
      </c>
      <c r="B476">
        <v>19.5</v>
      </c>
      <c r="C476">
        <v>2</v>
      </c>
      <c r="D476" t="s">
        <v>5</v>
      </c>
      <c r="E476">
        <v>0</v>
      </c>
    </row>
    <row r="477" spans="1:5" x14ac:dyDescent="0.25">
      <c r="A477">
        <v>476</v>
      </c>
      <c r="B477">
        <v>18.7</v>
      </c>
      <c r="C477">
        <v>6</v>
      </c>
      <c r="D477" t="s">
        <v>5</v>
      </c>
      <c r="E477">
        <v>0</v>
      </c>
    </row>
    <row r="478" spans="1:5" x14ac:dyDescent="0.25">
      <c r="A478">
        <v>477</v>
      </c>
      <c r="B478">
        <v>16.3</v>
      </c>
      <c r="C478">
        <v>5</v>
      </c>
      <c r="D478" t="s">
        <v>5</v>
      </c>
      <c r="E478">
        <v>0</v>
      </c>
    </row>
    <row r="479" spans="1:5" x14ac:dyDescent="0.25">
      <c r="A479">
        <v>478</v>
      </c>
      <c r="B479">
        <v>12.7</v>
      </c>
      <c r="C479">
        <v>6</v>
      </c>
      <c r="D479" t="s">
        <v>5</v>
      </c>
      <c r="E479">
        <v>0</v>
      </c>
    </row>
    <row r="480" spans="1:5" x14ac:dyDescent="0.25">
      <c r="A480">
        <v>479</v>
      </c>
      <c r="B480">
        <v>8.8000000000000007</v>
      </c>
      <c r="C480">
        <v>7</v>
      </c>
      <c r="D480" t="s">
        <v>5</v>
      </c>
      <c r="E480">
        <v>0</v>
      </c>
    </row>
    <row r="481" spans="1:5" x14ac:dyDescent="0.25">
      <c r="A481">
        <v>480</v>
      </c>
      <c r="B481">
        <v>5.3</v>
      </c>
      <c r="C481">
        <v>2</v>
      </c>
      <c r="D481" t="s">
        <v>5</v>
      </c>
      <c r="E481">
        <v>0</v>
      </c>
    </row>
    <row r="482" spans="1:5" x14ac:dyDescent="0.25">
      <c r="A482">
        <v>481</v>
      </c>
      <c r="B482">
        <v>3.2</v>
      </c>
      <c r="C482">
        <v>7</v>
      </c>
      <c r="D482" t="s">
        <v>5</v>
      </c>
      <c r="E482">
        <v>0</v>
      </c>
    </row>
    <row r="483" spans="1:5" x14ac:dyDescent="0.25">
      <c r="A483">
        <v>482</v>
      </c>
      <c r="B483">
        <v>2.7</v>
      </c>
      <c r="C483">
        <v>7</v>
      </c>
      <c r="D483" t="s">
        <v>5</v>
      </c>
      <c r="E483">
        <v>0</v>
      </c>
    </row>
    <row r="484" spans="1:5" x14ac:dyDescent="0.25">
      <c r="A484">
        <v>483</v>
      </c>
      <c r="B484">
        <v>3.9</v>
      </c>
      <c r="C484">
        <v>8</v>
      </c>
      <c r="D484" t="s">
        <v>5</v>
      </c>
      <c r="E484">
        <v>0</v>
      </c>
    </row>
    <row r="485" spans="1:5" x14ac:dyDescent="0.25">
      <c r="A485">
        <v>484</v>
      </c>
      <c r="B485">
        <v>6</v>
      </c>
      <c r="C485">
        <v>18</v>
      </c>
      <c r="D485" t="s">
        <v>5</v>
      </c>
      <c r="E485">
        <v>0</v>
      </c>
    </row>
    <row r="486" spans="1:5" x14ac:dyDescent="0.25">
      <c r="A486">
        <v>485</v>
      </c>
      <c r="B486">
        <v>8.1999999999999993</v>
      </c>
      <c r="C486">
        <v>23</v>
      </c>
      <c r="D486" t="s">
        <v>5</v>
      </c>
      <c r="E486">
        <v>0</v>
      </c>
    </row>
    <row r="487" spans="1:5" x14ac:dyDescent="0.25">
      <c r="A487">
        <v>486</v>
      </c>
      <c r="B487">
        <v>9.6999999999999993</v>
      </c>
      <c r="C487">
        <v>23</v>
      </c>
      <c r="D487" t="s">
        <v>5</v>
      </c>
      <c r="E487">
        <v>0</v>
      </c>
    </row>
    <row r="488" spans="1:5" x14ac:dyDescent="0.25">
      <c r="A488">
        <v>487</v>
      </c>
      <c r="B488">
        <v>10</v>
      </c>
      <c r="C488">
        <v>11</v>
      </c>
      <c r="D488" t="s">
        <v>5</v>
      </c>
      <c r="E488">
        <v>0</v>
      </c>
    </row>
    <row r="489" spans="1:5" x14ac:dyDescent="0.25">
      <c r="A489">
        <v>488</v>
      </c>
      <c r="B489">
        <v>8.8000000000000007</v>
      </c>
      <c r="C489">
        <v>16</v>
      </c>
      <c r="D489" t="s">
        <v>5</v>
      </c>
      <c r="E489">
        <v>0</v>
      </c>
    </row>
    <row r="490" spans="1:5" x14ac:dyDescent="0.25">
      <c r="A490">
        <v>489</v>
      </c>
      <c r="B490">
        <v>6.6</v>
      </c>
      <c r="C490">
        <v>22</v>
      </c>
      <c r="D490" t="s">
        <v>5</v>
      </c>
      <c r="E490">
        <v>0</v>
      </c>
    </row>
    <row r="491" spans="1:5" x14ac:dyDescent="0.25">
      <c r="A491">
        <v>490</v>
      </c>
      <c r="B491">
        <v>4.0999999999999996</v>
      </c>
      <c r="C491">
        <v>0</v>
      </c>
      <c r="D491" t="s">
        <v>5</v>
      </c>
      <c r="E491">
        <v>0</v>
      </c>
    </row>
    <row r="492" spans="1:5" x14ac:dyDescent="0.25">
      <c r="A492">
        <v>491</v>
      </c>
      <c r="B492">
        <v>2.2000000000000002</v>
      </c>
      <c r="C492">
        <v>1</v>
      </c>
      <c r="D492" t="s">
        <v>5</v>
      </c>
      <c r="E492">
        <v>0</v>
      </c>
    </row>
    <row r="493" spans="1:5" x14ac:dyDescent="0.25">
      <c r="A493">
        <v>492</v>
      </c>
      <c r="B493">
        <v>1.6</v>
      </c>
      <c r="C493">
        <v>4</v>
      </c>
      <c r="D493" t="s">
        <v>5</v>
      </c>
      <c r="E493">
        <v>0</v>
      </c>
    </row>
    <row r="494" spans="1:5" x14ac:dyDescent="0.25">
      <c r="A494">
        <v>493</v>
      </c>
      <c r="B494">
        <v>2.7</v>
      </c>
      <c r="C494">
        <v>1</v>
      </c>
      <c r="D494" t="s">
        <v>5</v>
      </c>
      <c r="E494">
        <v>0</v>
      </c>
    </row>
    <row r="495" spans="1:5" x14ac:dyDescent="0.25">
      <c r="A495">
        <v>494</v>
      </c>
      <c r="B495">
        <v>5.4</v>
      </c>
      <c r="C495">
        <v>9</v>
      </c>
      <c r="D495" t="s">
        <v>5</v>
      </c>
      <c r="E495">
        <v>0</v>
      </c>
    </row>
    <row r="496" spans="1:5" x14ac:dyDescent="0.25">
      <c r="A496">
        <v>495</v>
      </c>
      <c r="B496">
        <v>9.1</v>
      </c>
      <c r="C496">
        <v>11</v>
      </c>
      <c r="D496" t="s">
        <v>5</v>
      </c>
      <c r="E496">
        <v>0</v>
      </c>
    </row>
    <row r="497" spans="1:5" x14ac:dyDescent="0.25">
      <c r="A497">
        <v>496</v>
      </c>
      <c r="B497">
        <v>12.9</v>
      </c>
      <c r="C497">
        <v>8</v>
      </c>
      <c r="D497" t="s">
        <v>5</v>
      </c>
      <c r="E497">
        <v>0</v>
      </c>
    </row>
    <row r="498" spans="1:5" x14ac:dyDescent="0.25">
      <c r="A498">
        <v>497</v>
      </c>
      <c r="B498">
        <v>15.9</v>
      </c>
      <c r="C498">
        <v>16</v>
      </c>
      <c r="D498" t="s">
        <v>5</v>
      </c>
      <c r="E498">
        <v>0</v>
      </c>
    </row>
    <row r="499" spans="1:5" x14ac:dyDescent="0.25">
      <c r="A499">
        <v>498</v>
      </c>
      <c r="B499">
        <v>17.5</v>
      </c>
      <c r="C499">
        <v>15</v>
      </c>
      <c r="D499" t="s">
        <v>5</v>
      </c>
      <c r="E499">
        <v>0</v>
      </c>
    </row>
    <row r="500" spans="1:5" x14ac:dyDescent="0.25">
      <c r="A500">
        <v>499</v>
      </c>
      <c r="B500">
        <v>17.5</v>
      </c>
      <c r="C500">
        <v>8</v>
      </c>
      <c r="D500" t="s">
        <v>5</v>
      </c>
      <c r="E500">
        <v>0</v>
      </c>
    </row>
    <row r="501" spans="1:5" x14ac:dyDescent="0.25">
      <c r="A501">
        <v>500</v>
      </c>
      <c r="B501">
        <v>16.399999999999999</v>
      </c>
      <c r="C501">
        <v>14</v>
      </c>
      <c r="D501" t="s">
        <v>5</v>
      </c>
      <c r="E5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3483-A310-4178-9D7F-25A6E949FD4E}">
  <dimension ref="A1:I501"/>
  <sheetViews>
    <sheetView workbookViewId="0">
      <selection activeCell="E32" sqref="A1:G501"/>
    </sheetView>
  </sheetViews>
  <sheetFormatPr defaultRowHeight="15" x14ac:dyDescent="0.25"/>
  <cols>
    <col min="2" max="2" width="12.5703125" customWidth="1"/>
    <col min="3" max="3" width="10" customWidth="1"/>
    <col min="4" max="4" width="10.7109375" customWidth="1"/>
    <col min="5" max="5" width="18.28515625" customWidth="1"/>
    <col min="6" max="6" width="11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10</v>
      </c>
    </row>
    <row r="2" spans="1:9" x14ac:dyDescent="0.25">
      <c r="A2">
        <v>1</v>
      </c>
      <c r="B2">
        <v>19</v>
      </c>
      <c r="C2">
        <v>0</v>
      </c>
      <c r="D2" t="s">
        <v>5</v>
      </c>
      <c r="E2">
        <v>0</v>
      </c>
      <c r="F2">
        <v>0</v>
      </c>
      <c r="I2" t="s">
        <v>11</v>
      </c>
    </row>
    <row r="3" spans="1:9" x14ac:dyDescent="0.25">
      <c r="A3">
        <v>2</v>
      </c>
      <c r="B3">
        <v>22</v>
      </c>
      <c r="C3">
        <v>1</v>
      </c>
      <c r="D3" t="s">
        <v>6</v>
      </c>
      <c r="E3">
        <v>1</v>
      </c>
      <c r="F3" t="s">
        <v>9</v>
      </c>
      <c r="G3">
        <f>IF(F3 = "TAK",G2+1,0)</f>
        <v>1</v>
      </c>
      <c r="I3">
        <f>MAX(G:G)</f>
        <v>8</v>
      </c>
    </row>
    <row r="4" spans="1:9" x14ac:dyDescent="0.25">
      <c r="A4">
        <v>3</v>
      </c>
      <c r="B4">
        <v>23.6</v>
      </c>
      <c r="C4">
        <v>4</v>
      </c>
      <c r="D4" t="s">
        <v>6</v>
      </c>
      <c r="E4">
        <v>1</v>
      </c>
      <c r="F4" t="str">
        <f>IF(B3&lt;B4,"TAK","NIE")</f>
        <v>TAK</v>
      </c>
      <c r="G4">
        <f t="shared" ref="G4:G67" si="0">IF(F4 = "TAK",G3+1,0)</f>
        <v>2</v>
      </c>
    </row>
    <row r="5" spans="1:9" x14ac:dyDescent="0.25">
      <c r="A5">
        <v>4</v>
      </c>
      <c r="B5">
        <v>23.6</v>
      </c>
      <c r="C5">
        <v>4</v>
      </c>
      <c r="D5" t="s">
        <v>6</v>
      </c>
      <c r="E5">
        <v>1</v>
      </c>
      <c r="F5" t="str">
        <f t="shared" ref="F5:F68" si="1">IF(B4&lt;B5,"TAK","NIE")</f>
        <v>NIE</v>
      </c>
      <c r="G5">
        <f t="shared" si="0"/>
        <v>0</v>
      </c>
    </row>
    <row r="6" spans="1:9" x14ac:dyDescent="0.25">
      <c r="A6">
        <v>5</v>
      </c>
      <c r="B6">
        <v>22.3</v>
      </c>
      <c r="C6">
        <v>10</v>
      </c>
      <c r="D6" t="s">
        <v>6</v>
      </c>
      <c r="E6">
        <v>2</v>
      </c>
      <c r="F6" t="str">
        <f t="shared" si="1"/>
        <v>NIE</v>
      </c>
      <c r="G6">
        <f t="shared" si="0"/>
        <v>0</v>
      </c>
    </row>
    <row r="7" spans="1:9" x14ac:dyDescent="0.25">
      <c r="A7">
        <v>6</v>
      </c>
      <c r="B7">
        <v>20.399999999999999</v>
      </c>
      <c r="C7">
        <v>8</v>
      </c>
      <c r="D7" t="s">
        <v>6</v>
      </c>
      <c r="E7">
        <v>2</v>
      </c>
      <c r="F7" t="str">
        <f t="shared" si="1"/>
        <v>NIE</v>
      </c>
      <c r="G7">
        <f t="shared" si="0"/>
        <v>0</v>
      </c>
    </row>
    <row r="8" spans="1:9" x14ac:dyDescent="0.25">
      <c r="A8">
        <v>7</v>
      </c>
      <c r="B8">
        <v>18.899999999999999</v>
      </c>
      <c r="C8">
        <v>10</v>
      </c>
      <c r="D8" t="s">
        <v>6</v>
      </c>
      <c r="E8">
        <v>2</v>
      </c>
      <c r="F8" t="str">
        <f t="shared" si="1"/>
        <v>NIE</v>
      </c>
      <c r="G8">
        <f t="shared" si="0"/>
        <v>0</v>
      </c>
    </row>
    <row r="9" spans="1:9" x14ac:dyDescent="0.25">
      <c r="A9">
        <v>8</v>
      </c>
      <c r="B9">
        <v>18.5</v>
      </c>
      <c r="C9">
        <v>11</v>
      </c>
      <c r="D9" t="s">
        <v>6</v>
      </c>
      <c r="E9">
        <v>3</v>
      </c>
      <c r="F9" t="str">
        <f t="shared" si="1"/>
        <v>NIE</v>
      </c>
      <c r="G9">
        <f t="shared" si="0"/>
        <v>0</v>
      </c>
    </row>
    <row r="10" spans="1:9" x14ac:dyDescent="0.25">
      <c r="A10">
        <v>9</v>
      </c>
      <c r="B10">
        <v>19.5</v>
      </c>
      <c r="C10">
        <v>14</v>
      </c>
      <c r="D10" t="s">
        <v>6</v>
      </c>
      <c r="E10">
        <v>3</v>
      </c>
      <c r="F10" t="str">
        <f t="shared" si="1"/>
        <v>TAK</v>
      </c>
      <c r="G10">
        <f t="shared" si="0"/>
        <v>1</v>
      </c>
    </row>
    <row r="11" spans="1:9" x14ac:dyDescent="0.25">
      <c r="A11">
        <v>10</v>
      </c>
      <c r="B11">
        <v>21.8</v>
      </c>
      <c r="C11">
        <v>15</v>
      </c>
      <c r="D11" t="s">
        <v>6</v>
      </c>
      <c r="E11">
        <v>3</v>
      </c>
      <c r="F11" t="str">
        <f t="shared" si="1"/>
        <v>TAK</v>
      </c>
      <c r="G11">
        <f t="shared" si="0"/>
        <v>2</v>
      </c>
    </row>
    <row r="12" spans="1:9" x14ac:dyDescent="0.25">
      <c r="A12">
        <v>11</v>
      </c>
      <c r="B12">
        <v>24.8</v>
      </c>
      <c r="C12">
        <v>3</v>
      </c>
      <c r="D12" t="s">
        <v>6</v>
      </c>
      <c r="E12">
        <v>4</v>
      </c>
      <c r="F12" t="str">
        <f t="shared" si="1"/>
        <v>TAK</v>
      </c>
      <c r="G12">
        <f t="shared" si="0"/>
        <v>3</v>
      </c>
    </row>
    <row r="13" spans="1:9" x14ac:dyDescent="0.25">
      <c r="A13">
        <v>12</v>
      </c>
      <c r="B13">
        <v>27.7</v>
      </c>
      <c r="C13">
        <v>23</v>
      </c>
      <c r="D13" t="s">
        <v>6</v>
      </c>
      <c r="E13">
        <v>4</v>
      </c>
      <c r="F13" t="str">
        <f t="shared" si="1"/>
        <v>TAK</v>
      </c>
      <c r="G13">
        <f t="shared" si="0"/>
        <v>4</v>
      </c>
    </row>
    <row r="14" spans="1:9" x14ac:dyDescent="0.25">
      <c r="A14">
        <v>13</v>
      </c>
      <c r="B14">
        <v>29.5</v>
      </c>
      <c r="C14">
        <v>17</v>
      </c>
      <c r="D14" t="s">
        <v>6</v>
      </c>
      <c r="E14">
        <v>4</v>
      </c>
      <c r="F14" t="str">
        <f t="shared" si="1"/>
        <v>TAK</v>
      </c>
      <c r="G14">
        <f t="shared" si="0"/>
        <v>5</v>
      </c>
    </row>
    <row r="15" spans="1:9" x14ac:dyDescent="0.25">
      <c r="A15">
        <v>14</v>
      </c>
      <c r="B15">
        <v>29.8</v>
      </c>
      <c r="C15">
        <v>15</v>
      </c>
      <c r="D15" t="s">
        <v>6</v>
      </c>
      <c r="E15">
        <v>5</v>
      </c>
      <c r="F15" t="str">
        <f t="shared" si="1"/>
        <v>TAK</v>
      </c>
      <c r="G15">
        <f t="shared" si="0"/>
        <v>6</v>
      </c>
    </row>
    <row r="16" spans="1:9" x14ac:dyDescent="0.25">
      <c r="A16">
        <v>15</v>
      </c>
      <c r="B16">
        <v>28.3</v>
      </c>
      <c r="C16">
        <v>22</v>
      </c>
      <c r="D16" t="s">
        <v>6</v>
      </c>
      <c r="E16">
        <v>5</v>
      </c>
      <c r="F16" t="str">
        <f t="shared" si="1"/>
        <v>NIE</v>
      </c>
      <c r="G16">
        <f t="shared" si="0"/>
        <v>0</v>
      </c>
    </row>
    <row r="17" spans="1:7" x14ac:dyDescent="0.25">
      <c r="A17">
        <v>16</v>
      </c>
      <c r="B17">
        <v>25.5</v>
      </c>
      <c r="C17">
        <v>0</v>
      </c>
      <c r="D17" t="s">
        <v>5</v>
      </c>
      <c r="E17">
        <v>0</v>
      </c>
      <c r="F17" t="str">
        <f t="shared" si="1"/>
        <v>NIE</v>
      </c>
      <c r="G17">
        <f t="shared" si="0"/>
        <v>0</v>
      </c>
    </row>
    <row r="18" spans="1:7" x14ac:dyDescent="0.25">
      <c r="A18">
        <v>17</v>
      </c>
      <c r="B18">
        <v>22</v>
      </c>
      <c r="C18">
        <v>2</v>
      </c>
      <c r="D18" t="s">
        <v>6</v>
      </c>
      <c r="E18">
        <v>1</v>
      </c>
      <c r="F18" t="str">
        <f t="shared" si="1"/>
        <v>NIE</v>
      </c>
      <c r="G18">
        <f t="shared" si="0"/>
        <v>0</v>
      </c>
    </row>
    <row r="19" spans="1:7" x14ac:dyDescent="0.25">
      <c r="A19">
        <v>18</v>
      </c>
      <c r="B19">
        <v>18.899999999999999</v>
      </c>
      <c r="C19">
        <v>1</v>
      </c>
      <c r="D19" t="s">
        <v>6</v>
      </c>
      <c r="E19">
        <v>1</v>
      </c>
      <c r="F19" t="str">
        <f t="shared" si="1"/>
        <v>NIE</v>
      </c>
      <c r="G19">
        <f t="shared" si="0"/>
        <v>0</v>
      </c>
    </row>
    <row r="20" spans="1:7" x14ac:dyDescent="0.25">
      <c r="A20">
        <v>19</v>
      </c>
      <c r="B20">
        <v>16.899999999999999</v>
      </c>
      <c r="C20">
        <v>1</v>
      </c>
      <c r="D20" t="s">
        <v>6</v>
      </c>
      <c r="E20">
        <v>1</v>
      </c>
      <c r="F20" t="str">
        <f t="shared" si="1"/>
        <v>NIE</v>
      </c>
      <c r="G20">
        <f t="shared" si="0"/>
        <v>0</v>
      </c>
    </row>
    <row r="21" spans="1:7" x14ac:dyDescent="0.25">
      <c r="A21">
        <v>20</v>
      </c>
      <c r="B21">
        <v>16.3</v>
      </c>
      <c r="C21">
        <v>12</v>
      </c>
      <c r="D21" t="s">
        <v>6</v>
      </c>
      <c r="E21">
        <v>2</v>
      </c>
      <c r="F21" t="str">
        <f t="shared" si="1"/>
        <v>NIE</v>
      </c>
      <c r="G21">
        <f t="shared" si="0"/>
        <v>0</v>
      </c>
    </row>
    <row r="22" spans="1:7" x14ac:dyDescent="0.25">
      <c r="A22">
        <v>21</v>
      </c>
      <c r="B22">
        <v>17.100000000000001</v>
      </c>
      <c r="C22">
        <v>11</v>
      </c>
      <c r="D22" t="s">
        <v>6</v>
      </c>
      <c r="E22">
        <v>2</v>
      </c>
      <c r="F22" t="str">
        <f t="shared" si="1"/>
        <v>TAK</v>
      </c>
      <c r="G22">
        <f t="shared" si="0"/>
        <v>1</v>
      </c>
    </row>
    <row r="23" spans="1:7" x14ac:dyDescent="0.25">
      <c r="A23">
        <v>22</v>
      </c>
      <c r="B23">
        <v>18.7</v>
      </c>
      <c r="C23">
        <v>6</v>
      </c>
      <c r="D23" t="s">
        <v>6</v>
      </c>
      <c r="E23">
        <v>2</v>
      </c>
      <c r="F23" t="str">
        <f t="shared" si="1"/>
        <v>TAK</v>
      </c>
      <c r="G23">
        <f t="shared" si="0"/>
        <v>2</v>
      </c>
    </row>
    <row r="24" spans="1:7" x14ac:dyDescent="0.25">
      <c r="A24">
        <v>23</v>
      </c>
      <c r="B24">
        <v>20.2</v>
      </c>
      <c r="C24">
        <v>18</v>
      </c>
      <c r="D24" t="s">
        <v>6</v>
      </c>
      <c r="E24">
        <v>2</v>
      </c>
      <c r="F24" t="str">
        <f t="shared" si="1"/>
        <v>TAK</v>
      </c>
      <c r="G24">
        <f t="shared" si="0"/>
        <v>3</v>
      </c>
    </row>
    <row r="25" spans="1:7" x14ac:dyDescent="0.25">
      <c r="A25">
        <v>24</v>
      </c>
      <c r="B25">
        <v>20.8</v>
      </c>
      <c r="C25">
        <v>15</v>
      </c>
      <c r="D25" t="s">
        <v>6</v>
      </c>
      <c r="E25">
        <v>3</v>
      </c>
      <c r="F25" t="str">
        <f t="shared" si="1"/>
        <v>TAK</v>
      </c>
      <c r="G25">
        <f t="shared" si="0"/>
        <v>4</v>
      </c>
    </row>
    <row r="26" spans="1:7" x14ac:dyDescent="0.25">
      <c r="A26">
        <v>25</v>
      </c>
      <c r="B26">
        <v>19.899999999999999</v>
      </c>
      <c r="C26">
        <v>5</v>
      </c>
      <c r="D26" t="s">
        <v>6</v>
      </c>
      <c r="E26">
        <v>3</v>
      </c>
      <c r="F26" t="str">
        <f t="shared" si="1"/>
        <v>NIE</v>
      </c>
      <c r="G26">
        <f t="shared" si="0"/>
        <v>0</v>
      </c>
    </row>
    <row r="27" spans="1:7" x14ac:dyDescent="0.25">
      <c r="A27">
        <v>26</v>
      </c>
      <c r="B27">
        <v>17.5</v>
      </c>
      <c r="C27">
        <v>19</v>
      </c>
      <c r="D27" t="s">
        <v>6</v>
      </c>
      <c r="E27">
        <v>4</v>
      </c>
      <c r="F27" t="str">
        <f t="shared" si="1"/>
        <v>NIE</v>
      </c>
      <c r="G27">
        <f t="shared" si="0"/>
        <v>0</v>
      </c>
    </row>
    <row r="28" spans="1:7" x14ac:dyDescent="0.25">
      <c r="A28">
        <v>27</v>
      </c>
      <c r="B28">
        <v>13.9</v>
      </c>
      <c r="C28">
        <v>18</v>
      </c>
      <c r="D28" t="s">
        <v>6</v>
      </c>
      <c r="E28">
        <v>4</v>
      </c>
      <c r="F28" t="str">
        <f t="shared" si="1"/>
        <v>NIE</v>
      </c>
      <c r="G28">
        <f t="shared" si="0"/>
        <v>0</v>
      </c>
    </row>
    <row r="29" spans="1:7" x14ac:dyDescent="0.25">
      <c r="A29">
        <v>28</v>
      </c>
      <c r="B29">
        <v>9.9</v>
      </c>
      <c r="C29">
        <v>4</v>
      </c>
      <c r="D29" t="s">
        <v>6</v>
      </c>
      <c r="E29">
        <v>4</v>
      </c>
      <c r="F29" t="str">
        <f t="shared" si="1"/>
        <v>NIE</v>
      </c>
      <c r="G29">
        <f t="shared" si="0"/>
        <v>0</v>
      </c>
    </row>
    <row r="30" spans="1:7" x14ac:dyDescent="0.25">
      <c r="A30">
        <v>29</v>
      </c>
      <c r="B30">
        <v>6.4</v>
      </c>
      <c r="C30">
        <v>17</v>
      </c>
      <c r="D30" t="s">
        <v>6</v>
      </c>
      <c r="E30">
        <v>5</v>
      </c>
      <c r="F30" t="str">
        <f t="shared" si="1"/>
        <v>NIE</v>
      </c>
      <c r="G30">
        <f t="shared" si="0"/>
        <v>0</v>
      </c>
    </row>
    <row r="31" spans="1:7" x14ac:dyDescent="0.25">
      <c r="A31">
        <v>30</v>
      </c>
      <c r="B31">
        <v>4.2</v>
      </c>
      <c r="C31">
        <v>14</v>
      </c>
      <c r="D31" t="s">
        <v>6</v>
      </c>
      <c r="E31">
        <v>5</v>
      </c>
      <c r="F31" t="str">
        <f t="shared" si="1"/>
        <v>NIE</v>
      </c>
      <c r="G31">
        <f t="shared" si="0"/>
        <v>0</v>
      </c>
    </row>
    <row r="32" spans="1:7" x14ac:dyDescent="0.25">
      <c r="A32">
        <v>31</v>
      </c>
      <c r="B32">
        <v>3.6</v>
      </c>
      <c r="C32">
        <v>12</v>
      </c>
      <c r="D32" t="s">
        <v>6</v>
      </c>
      <c r="E32">
        <v>5</v>
      </c>
      <c r="F32" t="str">
        <f t="shared" si="1"/>
        <v>NIE</v>
      </c>
      <c r="G32">
        <f t="shared" si="0"/>
        <v>0</v>
      </c>
    </row>
    <row r="33" spans="1:7" x14ac:dyDescent="0.25">
      <c r="A33">
        <v>32</v>
      </c>
      <c r="B33">
        <v>4.5999999999999996</v>
      </c>
      <c r="C33">
        <v>11</v>
      </c>
      <c r="D33" t="s">
        <v>6</v>
      </c>
      <c r="E33">
        <v>5</v>
      </c>
      <c r="F33" t="str">
        <f t="shared" si="1"/>
        <v>TAK</v>
      </c>
      <c r="G33">
        <f t="shared" si="0"/>
        <v>1</v>
      </c>
    </row>
    <row r="34" spans="1:7" x14ac:dyDescent="0.25">
      <c r="A34">
        <v>33</v>
      </c>
      <c r="B34">
        <v>6.6</v>
      </c>
      <c r="C34">
        <v>17</v>
      </c>
      <c r="D34" t="s">
        <v>6</v>
      </c>
      <c r="E34">
        <v>5</v>
      </c>
      <c r="F34" t="str">
        <f t="shared" si="1"/>
        <v>TAK</v>
      </c>
      <c r="G34">
        <f t="shared" si="0"/>
        <v>2</v>
      </c>
    </row>
    <row r="35" spans="1:7" x14ac:dyDescent="0.25">
      <c r="A35">
        <v>34</v>
      </c>
      <c r="B35">
        <v>8.6999999999999993</v>
      </c>
      <c r="C35">
        <v>26</v>
      </c>
      <c r="D35" t="s">
        <v>6</v>
      </c>
      <c r="E35">
        <v>5</v>
      </c>
      <c r="F35" t="str">
        <f t="shared" si="1"/>
        <v>TAK</v>
      </c>
      <c r="G35">
        <f t="shared" si="0"/>
        <v>3</v>
      </c>
    </row>
    <row r="36" spans="1:7" x14ac:dyDescent="0.25">
      <c r="A36">
        <v>35</v>
      </c>
      <c r="B36">
        <v>10</v>
      </c>
      <c r="C36">
        <v>0</v>
      </c>
      <c r="D36" t="s">
        <v>5</v>
      </c>
      <c r="E36">
        <v>0</v>
      </c>
      <c r="F36" t="str">
        <f t="shared" si="1"/>
        <v>TAK</v>
      </c>
      <c r="G36">
        <f t="shared" si="0"/>
        <v>4</v>
      </c>
    </row>
    <row r="37" spans="1:7" x14ac:dyDescent="0.25">
      <c r="A37">
        <v>36</v>
      </c>
      <c r="B37">
        <v>10.1</v>
      </c>
      <c r="C37">
        <v>3</v>
      </c>
      <c r="D37" t="s">
        <v>6</v>
      </c>
      <c r="E37">
        <v>1</v>
      </c>
      <c r="F37" t="str">
        <f t="shared" si="1"/>
        <v>TAK</v>
      </c>
      <c r="G37">
        <f t="shared" si="0"/>
        <v>5</v>
      </c>
    </row>
    <row r="38" spans="1:7" x14ac:dyDescent="0.25">
      <c r="A38">
        <v>37</v>
      </c>
      <c r="B38">
        <v>8.8000000000000007</v>
      </c>
      <c r="C38">
        <v>3</v>
      </c>
      <c r="D38" t="s">
        <v>6</v>
      </c>
      <c r="E38">
        <v>1</v>
      </c>
      <c r="F38" t="str">
        <f t="shared" si="1"/>
        <v>NIE</v>
      </c>
      <c r="G38">
        <f t="shared" si="0"/>
        <v>0</v>
      </c>
    </row>
    <row r="39" spans="1:7" x14ac:dyDescent="0.25">
      <c r="A39">
        <v>38</v>
      </c>
      <c r="B39">
        <v>6.4</v>
      </c>
      <c r="C39">
        <v>5</v>
      </c>
      <c r="D39" t="s">
        <v>6</v>
      </c>
      <c r="E39">
        <v>1</v>
      </c>
      <c r="F39" t="str">
        <f t="shared" si="1"/>
        <v>NIE</v>
      </c>
      <c r="G39">
        <f t="shared" si="0"/>
        <v>0</v>
      </c>
    </row>
    <row r="40" spans="1:7" x14ac:dyDescent="0.25">
      <c r="A40">
        <v>39</v>
      </c>
      <c r="B40">
        <v>3.8</v>
      </c>
      <c r="C40">
        <v>11</v>
      </c>
      <c r="D40" t="s">
        <v>6</v>
      </c>
      <c r="E40">
        <v>2</v>
      </c>
      <c r="F40" t="str">
        <f t="shared" si="1"/>
        <v>NIE</v>
      </c>
      <c r="G40">
        <f t="shared" si="0"/>
        <v>0</v>
      </c>
    </row>
    <row r="41" spans="1:7" x14ac:dyDescent="0.25">
      <c r="A41">
        <v>40</v>
      </c>
      <c r="B41">
        <v>1.7</v>
      </c>
      <c r="C41">
        <v>6</v>
      </c>
      <c r="D41" t="s">
        <v>6</v>
      </c>
      <c r="E41">
        <v>2</v>
      </c>
      <c r="F41" t="str">
        <f t="shared" si="1"/>
        <v>NIE</v>
      </c>
      <c r="G41">
        <f t="shared" si="0"/>
        <v>0</v>
      </c>
    </row>
    <row r="42" spans="1:7" x14ac:dyDescent="0.25">
      <c r="A42">
        <v>41</v>
      </c>
      <c r="B42">
        <v>1</v>
      </c>
      <c r="C42">
        <v>3</v>
      </c>
      <c r="D42" t="s">
        <v>6</v>
      </c>
      <c r="E42">
        <v>2</v>
      </c>
      <c r="F42" t="str">
        <f t="shared" si="1"/>
        <v>NIE</v>
      </c>
      <c r="G42">
        <f t="shared" si="0"/>
        <v>0</v>
      </c>
    </row>
    <row r="43" spans="1:7" x14ac:dyDescent="0.25">
      <c r="A43">
        <v>42</v>
      </c>
      <c r="B43">
        <v>2</v>
      </c>
      <c r="C43">
        <v>17</v>
      </c>
      <c r="D43" t="s">
        <v>6</v>
      </c>
      <c r="E43">
        <v>3</v>
      </c>
      <c r="F43" t="str">
        <f t="shared" si="1"/>
        <v>TAK</v>
      </c>
      <c r="G43">
        <f t="shared" si="0"/>
        <v>1</v>
      </c>
    </row>
    <row r="44" spans="1:7" x14ac:dyDescent="0.25">
      <c r="A44">
        <v>43</v>
      </c>
      <c r="B44">
        <v>4.5999999999999996</v>
      </c>
      <c r="C44">
        <v>5</v>
      </c>
      <c r="D44" t="s">
        <v>6</v>
      </c>
      <c r="E44">
        <v>3</v>
      </c>
      <c r="F44" t="str">
        <f t="shared" si="1"/>
        <v>TAK</v>
      </c>
      <c r="G44">
        <f t="shared" si="0"/>
        <v>2</v>
      </c>
    </row>
    <row r="45" spans="1:7" x14ac:dyDescent="0.25">
      <c r="A45">
        <v>44</v>
      </c>
      <c r="B45">
        <v>8.1999999999999993</v>
      </c>
      <c r="C45">
        <v>8</v>
      </c>
      <c r="D45" t="s">
        <v>6</v>
      </c>
      <c r="E45">
        <v>3</v>
      </c>
      <c r="F45" t="str">
        <f t="shared" si="1"/>
        <v>TAK</v>
      </c>
      <c r="G45">
        <f t="shared" si="0"/>
        <v>3</v>
      </c>
    </row>
    <row r="46" spans="1:7" x14ac:dyDescent="0.25">
      <c r="A46">
        <v>45</v>
      </c>
      <c r="B46">
        <v>11.8</v>
      </c>
      <c r="C46">
        <v>2</v>
      </c>
      <c r="D46" t="s">
        <v>6</v>
      </c>
      <c r="E46">
        <v>4</v>
      </c>
      <c r="F46" t="str">
        <f t="shared" si="1"/>
        <v>TAK</v>
      </c>
      <c r="G46">
        <f t="shared" si="0"/>
        <v>4</v>
      </c>
    </row>
    <row r="47" spans="1:7" x14ac:dyDescent="0.25">
      <c r="A47">
        <v>46</v>
      </c>
      <c r="B47">
        <v>14.7</v>
      </c>
      <c r="C47">
        <v>1</v>
      </c>
      <c r="D47" t="s">
        <v>6</v>
      </c>
      <c r="E47">
        <v>4</v>
      </c>
      <c r="F47" t="str">
        <f t="shared" si="1"/>
        <v>TAK</v>
      </c>
      <c r="G47">
        <f t="shared" si="0"/>
        <v>5</v>
      </c>
    </row>
    <row r="48" spans="1:7" x14ac:dyDescent="0.25">
      <c r="A48">
        <v>47</v>
      </c>
      <c r="B48">
        <v>16.3</v>
      </c>
      <c r="C48">
        <v>11</v>
      </c>
      <c r="D48" t="s">
        <v>6</v>
      </c>
      <c r="E48">
        <v>4</v>
      </c>
      <c r="F48" t="str">
        <f t="shared" si="1"/>
        <v>TAK</v>
      </c>
      <c r="G48">
        <f t="shared" si="0"/>
        <v>6</v>
      </c>
    </row>
    <row r="49" spans="1:7" x14ac:dyDescent="0.25">
      <c r="A49">
        <v>48</v>
      </c>
      <c r="B49">
        <v>16.3</v>
      </c>
      <c r="C49">
        <v>25</v>
      </c>
      <c r="D49" t="s">
        <v>6</v>
      </c>
      <c r="E49">
        <v>5</v>
      </c>
      <c r="F49" t="str">
        <f t="shared" si="1"/>
        <v>NIE</v>
      </c>
      <c r="G49">
        <f t="shared" si="0"/>
        <v>0</v>
      </c>
    </row>
    <row r="50" spans="1:7" x14ac:dyDescent="0.25">
      <c r="A50">
        <v>49</v>
      </c>
      <c r="B50">
        <v>15.2</v>
      </c>
      <c r="C50">
        <v>0</v>
      </c>
      <c r="D50" t="s">
        <v>5</v>
      </c>
      <c r="E50">
        <v>0</v>
      </c>
      <c r="F50" t="str">
        <f t="shared" si="1"/>
        <v>NIE</v>
      </c>
      <c r="G50">
        <f t="shared" si="0"/>
        <v>0</v>
      </c>
    </row>
    <row r="51" spans="1:7" x14ac:dyDescent="0.25">
      <c r="A51">
        <v>50</v>
      </c>
      <c r="B51">
        <v>13.6</v>
      </c>
      <c r="C51">
        <v>2</v>
      </c>
      <c r="D51" t="s">
        <v>6</v>
      </c>
      <c r="E51">
        <v>1</v>
      </c>
      <c r="F51" t="str">
        <f t="shared" si="1"/>
        <v>NIE</v>
      </c>
      <c r="G51">
        <f t="shared" si="0"/>
        <v>0</v>
      </c>
    </row>
    <row r="52" spans="1:7" x14ac:dyDescent="0.25">
      <c r="A52">
        <v>51</v>
      </c>
      <c r="B52">
        <v>12.5</v>
      </c>
      <c r="C52">
        <v>3</v>
      </c>
      <c r="D52" t="s">
        <v>6</v>
      </c>
      <c r="E52">
        <v>1</v>
      </c>
      <c r="F52" t="str">
        <f t="shared" si="1"/>
        <v>NIE</v>
      </c>
      <c r="G52">
        <f t="shared" si="0"/>
        <v>0</v>
      </c>
    </row>
    <row r="53" spans="1:7" x14ac:dyDescent="0.25">
      <c r="A53">
        <v>52</v>
      </c>
      <c r="B53">
        <v>12.5</v>
      </c>
      <c r="C53">
        <v>2</v>
      </c>
      <c r="D53" t="s">
        <v>6</v>
      </c>
      <c r="E53">
        <v>1</v>
      </c>
      <c r="F53" t="str">
        <f t="shared" si="1"/>
        <v>NIE</v>
      </c>
      <c r="G53">
        <f t="shared" si="0"/>
        <v>0</v>
      </c>
    </row>
    <row r="54" spans="1:7" x14ac:dyDescent="0.25">
      <c r="A54">
        <v>53</v>
      </c>
      <c r="B54">
        <v>14.1</v>
      </c>
      <c r="C54">
        <v>4</v>
      </c>
      <c r="D54" t="s">
        <v>6</v>
      </c>
      <c r="E54">
        <v>2</v>
      </c>
      <c r="F54" t="str">
        <f t="shared" si="1"/>
        <v>TAK</v>
      </c>
      <c r="G54">
        <f t="shared" si="0"/>
        <v>1</v>
      </c>
    </row>
    <row r="55" spans="1:7" x14ac:dyDescent="0.25">
      <c r="A55">
        <v>54</v>
      </c>
      <c r="B55">
        <v>17.100000000000001</v>
      </c>
      <c r="C55">
        <v>5</v>
      </c>
      <c r="D55" t="s">
        <v>6</v>
      </c>
      <c r="E55">
        <v>2</v>
      </c>
      <c r="F55" t="str">
        <f t="shared" si="1"/>
        <v>TAK</v>
      </c>
      <c r="G55">
        <f t="shared" si="0"/>
        <v>2</v>
      </c>
    </row>
    <row r="56" spans="1:7" x14ac:dyDescent="0.25">
      <c r="A56">
        <v>55</v>
      </c>
      <c r="B56">
        <v>20.9</v>
      </c>
      <c r="C56">
        <v>9</v>
      </c>
      <c r="D56" t="s">
        <v>6</v>
      </c>
      <c r="E56">
        <v>2</v>
      </c>
      <c r="F56" t="str">
        <f t="shared" si="1"/>
        <v>TAK</v>
      </c>
      <c r="G56">
        <f t="shared" si="0"/>
        <v>3</v>
      </c>
    </row>
    <row r="57" spans="1:7" x14ac:dyDescent="0.25">
      <c r="A57">
        <v>56</v>
      </c>
      <c r="B57">
        <v>24.5</v>
      </c>
      <c r="C57">
        <v>2</v>
      </c>
      <c r="D57" t="s">
        <v>6</v>
      </c>
      <c r="E57">
        <v>3</v>
      </c>
      <c r="F57" t="str">
        <f t="shared" si="1"/>
        <v>TAK</v>
      </c>
      <c r="G57">
        <f t="shared" si="0"/>
        <v>4</v>
      </c>
    </row>
    <row r="58" spans="1:7" x14ac:dyDescent="0.25">
      <c r="A58">
        <v>57</v>
      </c>
      <c r="B58">
        <v>27.3</v>
      </c>
      <c r="C58">
        <v>16</v>
      </c>
      <c r="D58" t="s">
        <v>6</v>
      </c>
      <c r="E58">
        <v>3</v>
      </c>
      <c r="F58" t="str">
        <f t="shared" si="1"/>
        <v>TAK</v>
      </c>
      <c r="G58">
        <f t="shared" si="0"/>
        <v>5</v>
      </c>
    </row>
    <row r="59" spans="1:7" x14ac:dyDescent="0.25">
      <c r="A59">
        <v>58</v>
      </c>
      <c r="B59">
        <v>28.4</v>
      </c>
      <c r="C59">
        <v>14</v>
      </c>
      <c r="D59" t="s">
        <v>6</v>
      </c>
      <c r="E59">
        <v>3</v>
      </c>
      <c r="F59" t="str">
        <f t="shared" si="1"/>
        <v>TAK</v>
      </c>
      <c r="G59">
        <f t="shared" si="0"/>
        <v>6</v>
      </c>
    </row>
    <row r="60" spans="1:7" x14ac:dyDescent="0.25">
      <c r="A60">
        <v>59</v>
      </c>
      <c r="B60">
        <v>27.8</v>
      </c>
      <c r="C60">
        <v>14</v>
      </c>
      <c r="D60" t="s">
        <v>6</v>
      </c>
      <c r="E60">
        <v>3</v>
      </c>
      <c r="F60" t="str">
        <f t="shared" si="1"/>
        <v>NIE</v>
      </c>
      <c r="G60">
        <f t="shared" si="0"/>
        <v>0</v>
      </c>
    </row>
    <row r="61" spans="1:7" x14ac:dyDescent="0.25">
      <c r="A61">
        <v>60</v>
      </c>
      <c r="B61">
        <v>25.9</v>
      </c>
      <c r="C61">
        <v>6</v>
      </c>
      <c r="D61" t="s">
        <v>6</v>
      </c>
      <c r="E61">
        <v>4</v>
      </c>
      <c r="F61" t="str">
        <f t="shared" si="1"/>
        <v>NIE</v>
      </c>
      <c r="G61">
        <f t="shared" si="0"/>
        <v>0</v>
      </c>
    </row>
    <row r="62" spans="1:7" x14ac:dyDescent="0.25">
      <c r="A62">
        <v>61</v>
      </c>
      <c r="B62">
        <v>23.4</v>
      </c>
      <c r="C62">
        <v>21</v>
      </c>
      <c r="D62" t="s">
        <v>6</v>
      </c>
      <c r="E62">
        <v>4</v>
      </c>
      <c r="F62" t="str">
        <f t="shared" si="1"/>
        <v>NIE</v>
      </c>
      <c r="G62">
        <f t="shared" si="0"/>
        <v>0</v>
      </c>
    </row>
    <row r="63" spans="1:7" x14ac:dyDescent="0.25">
      <c r="A63">
        <v>62</v>
      </c>
      <c r="B63">
        <v>21.2</v>
      </c>
      <c r="C63">
        <v>21</v>
      </c>
      <c r="D63" t="s">
        <v>6</v>
      </c>
      <c r="E63">
        <v>5</v>
      </c>
      <c r="F63" t="str">
        <f t="shared" si="1"/>
        <v>NIE</v>
      </c>
      <c r="G63">
        <f t="shared" si="0"/>
        <v>0</v>
      </c>
    </row>
    <row r="64" spans="1:7" x14ac:dyDescent="0.25">
      <c r="A64">
        <v>63</v>
      </c>
      <c r="B64">
        <v>20</v>
      </c>
      <c r="C64">
        <v>0</v>
      </c>
      <c r="D64" t="s">
        <v>5</v>
      </c>
      <c r="E64">
        <v>0</v>
      </c>
      <c r="F64" t="str">
        <f t="shared" si="1"/>
        <v>NIE</v>
      </c>
      <c r="G64">
        <f t="shared" si="0"/>
        <v>0</v>
      </c>
    </row>
    <row r="65" spans="1:7" x14ac:dyDescent="0.25">
      <c r="A65">
        <v>64</v>
      </c>
      <c r="B65">
        <v>20.3</v>
      </c>
      <c r="C65">
        <v>4</v>
      </c>
      <c r="D65" t="s">
        <v>6</v>
      </c>
      <c r="E65">
        <v>1</v>
      </c>
      <c r="F65" t="str">
        <f t="shared" si="1"/>
        <v>TAK</v>
      </c>
      <c r="G65">
        <f t="shared" si="0"/>
        <v>1</v>
      </c>
    </row>
    <row r="66" spans="1:7" x14ac:dyDescent="0.25">
      <c r="A66">
        <v>65</v>
      </c>
      <c r="B66">
        <v>21.8</v>
      </c>
      <c r="C66">
        <v>6</v>
      </c>
      <c r="D66" t="s">
        <v>6</v>
      </c>
      <c r="E66">
        <v>1</v>
      </c>
      <c r="F66" t="str">
        <f t="shared" si="1"/>
        <v>TAK</v>
      </c>
      <c r="G66">
        <f t="shared" si="0"/>
        <v>2</v>
      </c>
    </row>
    <row r="67" spans="1:7" x14ac:dyDescent="0.25">
      <c r="A67">
        <v>66</v>
      </c>
      <c r="B67">
        <v>24</v>
      </c>
      <c r="C67">
        <v>3</v>
      </c>
      <c r="D67" t="s">
        <v>6</v>
      </c>
      <c r="E67">
        <v>1</v>
      </c>
      <c r="F67" t="str">
        <f t="shared" si="1"/>
        <v>TAK</v>
      </c>
      <c r="G67">
        <f t="shared" si="0"/>
        <v>3</v>
      </c>
    </row>
    <row r="68" spans="1:7" x14ac:dyDescent="0.25">
      <c r="A68">
        <v>67</v>
      </c>
      <c r="B68">
        <v>26.1</v>
      </c>
      <c r="C68">
        <v>7</v>
      </c>
      <c r="D68" t="s">
        <v>6</v>
      </c>
      <c r="E68">
        <v>2</v>
      </c>
      <c r="F68" t="str">
        <f t="shared" si="1"/>
        <v>TAK</v>
      </c>
      <c r="G68">
        <f t="shared" ref="G68:G131" si="2">IF(F68 = "TAK",G67+1,0)</f>
        <v>4</v>
      </c>
    </row>
    <row r="69" spans="1:7" x14ac:dyDescent="0.25">
      <c r="A69">
        <v>68</v>
      </c>
      <c r="B69">
        <v>27.3</v>
      </c>
      <c r="C69">
        <v>6</v>
      </c>
      <c r="D69" t="s">
        <v>6</v>
      </c>
      <c r="E69">
        <v>2</v>
      </c>
      <c r="F69" t="str">
        <f t="shared" ref="F69:F132" si="3">IF(B68&lt;B69,"TAK","NIE")</f>
        <v>TAK</v>
      </c>
      <c r="G69">
        <f t="shared" si="2"/>
        <v>5</v>
      </c>
    </row>
    <row r="70" spans="1:7" x14ac:dyDescent="0.25">
      <c r="A70">
        <v>69</v>
      </c>
      <c r="B70">
        <v>26.8</v>
      </c>
      <c r="C70">
        <v>8</v>
      </c>
      <c r="D70" t="s">
        <v>6</v>
      </c>
      <c r="E70">
        <v>2</v>
      </c>
      <c r="F70" t="str">
        <f t="shared" si="3"/>
        <v>NIE</v>
      </c>
      <c r="G70">
        <f t="shared" si="2"/>
        <v>0</v>
      </c>
    </row>
    <row r="71" spans="1:7" x14ac:dyDescent="0.25">
      <c r="A71">
        <v>70</v>
      </c>
      <c r="B71">
        <v>24.7</v>
      </c>
      <c r="C71">
        <v>3</v>
      </c>
      <c r="D71" t="s">
        <v>6</v>
      </c>
      <c r="E71">
        <v>3</v>
      </c>
      <c r="F71" t="str">
        <f t="shared" si="3"/>
        <v>NIE</v>
      </c>
      <c r="G71">
        <f t="shared" si="2"/>
        <v>0</v>
      </c>
    </row>
    <row r="72" spans="1:7" x14ac:dyDescent="0.25">
      <c r="A72">
        <v>71</v>
      </c>
      <c r="B72">
        <v>21.2</v>
      </c>
      <c r="C72">
        <v>16</v>
      </c>
      <c r="D72" t="s">
        <v>6</v>
      </c>
      <c r="E72">
        <v>3</v>
      </c>
      <c r="F72" t="str">
        <f t="shared" si="3"/>
        <v>NIE</v>
      </c>
      <c r="G72">
        <f t="shared" si="2"/>
        <v>0</v>
      </c>
    </row>
    <row r="73" spans="1:7" x14ac:dyDescent="0.25">
      <c r="A73">
        <v>72</v>
      </c>
      <c r="B73">
        <v>17.3</v>
      </c>
      <c r="C73">
        <v>8</v>
      </c>
      <c r="D73" t="s">
        <v>6</v>
      </c>
      <c r="E73">
        <v>3</v>
      </c>
      <c r="F73" t="str">
        <f t="shared" si="3"/>
        <v>NIE</v>
      </c>
      <c r="G73">
        <f t="shared" si="2"/>
        <v>0</v>
      </c>
    </row>
    <row r="74" spans="1:7" x14ac:dyDescent="0.25">
      <c r="A74">
        <v>73</v>
      </c>
      <c r="B74">
        <v>13.7</v>
      </c>
      <c r="C74">
        <v>19</v>
      </c>
      <c r="D74" t="s">
        <v>6</v>
      </c>
      <c r="E74">
        <v>4</v>
      </c>
      <c r="F74" t="str">
        <f t="shared" si="3"/>
        <v>NIE</v>
      </c>
      <c r="G74">
        <f t="shared" si="2"/>
        <v>0</v>
      </c>
    </row>
    <row r="75" spans="1:7" x14ac:dyDescent="0.25">
      <c r="A75">
        <v>74</v>
      </c>
      <c r="B75">
        <v>11.3</v>
      </c>
      <c r="C75">
        <v>5</v>
      </c>
      <c r="D75" t="s">
        <v>6</v>
      </c>
      <c r="E75">
        <v>4</v>
      </c>
      <c r="F75" t="str">
        <f t="shared" si="3"/>
        <v>NIE</v>
      </c>
      <c r="G75">
        <f t="shared" si="2"/>
        <v>0</v>
      </c>
    </row>
    <row r="76" spans="1:7" x14ac:dyDescent="0.25">
      <c r="A76">
        <v>75</v>
      </c>
      <c r="B76">
        <v>10.5</v>
      </c>
      <c r="C76">
        <v>2</v>
      </c>
      <c r="D76" t="s">
        <v>6</v>
      </c>
      <c r="E76">
        <v>4</v>
      </c>
      <c r="F76" t="str">
        <f t="shared" si="3"/>
        <v>NIE</v>
      </c>
      <c r="G76">
        <f t="shared" si="2"/>
        <v>0</v>
      </c>
    </row>
    <row r="77" spans="1:7" x14ac:dyDescent="0.25">
      <c r="A77">
        <v>76</v>
      </c>
      <c r="B77">
        <v>11</v>
      </c>
      <c r="C77">
        <v>22</v>
      </c>
      <c r="D77" t="s">
        <v>6</v>
      </c>
      <c r="E77">
        <v>5</v>
      </c>
      <c r="F77" t="str">
        <f t="shared" si="3"/>
        <v>TAK</v>
      </c>
      <c r="G77">
        <f t="shared" si="2"/>
        <v>1</v>
      </c>
    </row>
    <row r="78" spans="1:7" x14ac:dyDescent="0.25">
      <c r="A78">
        <v>77</v>
      </c>
      <c r="B78">
        <v>12.5</v>
      </c>
      <c r="C78">
        <v>0</v>
      </c>
      <c r="D78" t="s">
        <v>5</v>
      </c>
      <c r="E78">
        <v>0</v>
      </c>
      <c r="F78" t="str">
        <f t="shared" si="3"/>
        <v>TAK</v>
      </c>
      <c r="G78">
        <f t="shared" si="2"/>
        <v>2</v>
      </c>
    </row>
    <row r="79" spans="1:7" x14ac:dyDescent="0.25">
      <c r="A79">
        <v>78</v>
      </c>
      <c r="B79">
        <v>14</v>
      </c>
      <c r="C79">
        <v>2</v>
      </c>
      <c r="D79" t="s">
        <v>6</v>
      </c>
      <c r="E79">
        <v>1</v>
      </c>
      <c r="F79" t="str">
        <f t="shared" si="3"/>
        <v>TAK</v>
      </c>
      <c r="G79">
        <f t="shared" si="2"/>
        <v>3</v>
      </c>
    </row>
    <row r="80" spans="1:7" x14ac:dyDescent="0.25">
      <c r="A80">
        <v>79</v>
      </c>
      <c r="B80">
        <v>14.7</v>
      </c>
      <c r="C80">
        <v>4</v>
      </c>
      <c r="D80" t="s">
        <v>6</v>
      </c>
      <c r="E80">
        <v>1</v>
      </c>
      <c r="F80" t="str">
        <f t="shared" si="3"/>
        <v>TAK</v>
      </c>
      <c r="G80">
        <f t="shared" si="2"/>
        <v>4</v>
      </c>
    </row>
    <row r="81" spans="1:7" x14ac:dyDescent="0.25">
      <c r="A81">
        <v>80</v>
      </c>
      <c r="B81">
        <v>14.1</v>
      </c>
      <c r="C81">
        <v>5</v>
      </c>
      <c r="D81" t="s">
        <v>7</v>
      </c>
      <c r="E81">
        <v>1</v>
      </c>
      <c r="F81" t="str">
        <f t="shared" si="3"/>
        <v>NIE</v>
      </c>
      <c r="G81">
        <f t="shared" si="2"/>
        <v>0</v>
      </c>
    </row>
    <row r="82" spans="1:7" x14ac:dyDescent="0.25">
      <c r="A82">
        <v>81</v>
      </c>
      <c r="B82">
        <v>11.9</v>
      </c>
      <c r="C82">
        <v>8</v>
      </c>
      <c r="D82" t="s">
        <v>6</v>
      </c>
      <c r="E82">
        <v>2</v>
      </c>
      <c r="F82" t="str">
        <f t="shared" si="3"/>
        <v>NIE</v>
      </c>
      <c r="G82">
        <f t="shared" si="2"/>
        <v>0</v>
      </c>
    </row>
    <row r="83" spans="1:7" x14ac:dyDescent="0.25">
      <c r="A83">
        <v>82</v>
      </c>
      <c r="B83">
        <v>8.6999999999999993</v>
      </c>
      <c r="C83">
        <v>6</v>
      </c>
      <c r="D83" t="s">
        <v>6</v>
      </c>
      <c r="E83">
        <v>2</v>
      </c>
      <c r="F83" t="str">
        <f t="shared" si="3"/>
        <v>NIE</v>
      </c>
      <c r="G83">
        <f t="shared" si="2"/>
        <v>0</v>
      </c>
    </row>
    <row r="84" spans="1:7" x14ac:dyDescent="0.25">
      <c r="A84">
        <v>83</v>
      </c>
      <c r="B84">
        <v>5.0999999999999996</v>
      </c>
      <c r="C84">
        <v>3</v>
      </c>
      <c r="D84" t="s">
        <v>6</v>
      </c>
      <c r="E84">
        <v>2</v>
      </c>
      <c r="F84" t="str">
        <f t="shared" si="3"/>
        <v>NIE</v>
      </c>
      <c r="G84">
        <f t="shared" si="2"/>
        <v>0</v>
      </c>
    </row>
    <row r="85" spans="1:7" x14ac:dyDescent="0.25">
      <c r="A85">
        <v>84</v>
      </c>
      <c r="B85">
        <v>2.2000000000000002</v>
      </c>
      <c r="C85">
        <v>1</v>
      </c>
      <c r="D85" t="s">
        <v>6</v>
      </c>
      <c r="E85">
        <v>3</v>
      </c>
      <c r="F85" t="str">
        <f t="shared" si="3"/>
        <v>NIE</v>
      </c>
      <c r="G85">
        <f t="shared" si="2"/>
        <v>0</v>
      </c>
    </row>
    <row r="86" spans="1:7" x14ac:dyDescent="0.25">
      <c r="A86">
        <v>85</v>
      </c>
      <c r="B86">
        <v>0.5</v>
      </c>
      <c r="C86">
        <v>5</v>
      </c>
      <c r="D86" t="s">
        <v>6</v>
      </c>
      <c r="E86">
        <v>3</v>
      </c>
      <c r="F86" t="str">
        <f t="shared" si="3"/>
        <v>NIE</v>
      </c>
      <c r="G86">
        <f t="shared" si="2"/>
        <v>0</v>
      </c>
    </row>
    <row r="87" spans="1:7" x14ac:dyDescent="0.25">
      <c r="A87">
        <v>86</v>
      </c>
      <c r="B87">
        <v>0.6</v>
      </c>
      <c r="C87">
        <v>13</v>
      </c>
      <c r="D87" t="s">
        <v>6</v>
      </c>
      <c r="E87">
        <v>3</v>
      </c>
      <c r="F87" t="str">
        <f t="shared" si="3"/>
        <v>TAK</v>
      </c>
      <c r="G87">
        <f t="shared" si="2"/>
        <v>1</v>
      </c>
    </row>
    <row r="88" spans="1:7" x14ac:dyDescent="0.25">
      <c r="A88">
        <v>87</v>
      </c>
      <c r="B88">
        <v>2.2999999999999998</v>
      </c>
      <c r="C88">
        <v>4</v>
      </c>
      <c r="D88" t="s">
        <v>6</v>
      </c>
      <c r="E88">
        <v>4</v>
      </c>
      <c r="F88" t="str">
        <f t="shared" si="3"/>
        <v>TAK</v>
      </c>
      <c r="G88">
        <f t="shared" si="2"/>
        <v>2</v>
      </c>
    </row>
    <row r="89" spans="1:7" x14ac:dyDescent="0.25">
      <c r="A89">
        <v>88</v>
      </c>
      <c r="B89">
        <v>5</v>
      </c>
      <c r="C89">
        <v>9</v>
      </c>
      <c r="D89" t="s">
        <v>6</v>
      </c>
      <c r="E89">
        <v>4</v>
      </c>
      <c r="F89" t="str">
        <f t="shared" si="3"/>
        <v>TAK</v>
      </c>
      <c r="G89">
        <f t="shared" si="2"/>
        <v>3</v>
      </c>
    </row>
    <row r="90" spans="1:7" x14ac:dyDescent="0.25">
      <c r="A90">
        <v>89</v>
      </c>
      <c r="B90">
        <v>7.9</v>
      </c>
      <c r="C90">
        <v>24</v>
      </c>
      <c r="D90" t="s">
        <v>6</v>
      </c>
      <c r="E90">
        <v>4</v>
      </c>
      <c r="F90" t="str">
        <f t="shared" si="3"/>
        <v>TAK</v>
      </c>
      <c r="G90">
        <f t="shared" si="2"/>
        <v>4</v>
      </c>
    </row>
    <row r="91" spans="1:7" x14ac:dyDescent="0.25">
      <c r="A91">
        <v>90</v>
      </c>
      <c r="B91">
        <v>10</v>
      </c>
      <c r="C91">
        <v>15</v>
      </c>
      <c r="D91" t="s">
        <v>6</v>
      </c>
      <c r="E91">
        <v>5</v>
      </c>
      <c r="F91" t="str">
        <f t="shared" si="3"/>
        <v>TAK</v>
      </c>
      <c r="G91">
        <f t="shared" si="2"/>
        <v>5</v>
      </c>
    </row>
    <row r="92" spans="1:7" x14ac:dyDescent="0.25">
      <c r="A92">
        <v>91</v>
      </c>
      <c r="B92">
        <v>10.9</v>
      </c>
      <c r="C92">
        <v>29</v>
      </c>
      <c r="D92" t="s">
        <v>6</v>
      </c>
      <c r="E92">
        <v>5</v>
      </c>
      <c r="F92" t="str">
        <f t="shared" si="3"/>
        <v>TAK</v>
      </c>
      <c r="G92">
        <f t="shared" si="2"/>
        <v>6</v>
      </c>
    </row>
    <row r="93" spans="1:7" x14ac:dyDescent="0.25">
      <c r="A93">
        <v>92</v>
      </c>
      <c r="B93">
        <v>10.3</v>
      </c>
      <c r="C93">
        <v>0</v>
      </c>
      <c r="D93" t="s">
        <v>5</v>
      </c>
      <c r="E93">
        <v>0</v>
      </c>
      <c r="F93" t="str">
        <f t="shared" si="3"/>
        <v>NIE</v>
      </c>
      <c r="G93">
        <f t="shared" si="2"/>
        <v>0</v>
      </c>
    </row>
    <row r="94" spans="1:7" x14ac:dyDescent="0.25">
      <c r="A94">
        <v>93</v>
      </c>
      <c r="B94">
        <v>8.6999999999999993</v>
      </c>
      <c r="C94">
        <v>1</v>
      </c>
      <c r="D94" t="s">
        <v>7</v>
      </c>
      <c r="E94">
        <v>1</v>
      </c>
      <c r="F94" t="str">
        <f t="shared" si="3"/>
        <v>NIE</v>
      </c>
      <c r="G94">
        <f t="shared" si="2"/>
        <v>0</v>
      </c>
    </row>
    <row r="95" spans="1:7" x14ac:dyDescent="0.25">
      <c r="A95">
        <v>94</v>
      </c>
      <c r="B95">
        <v>6.7</v>
      </c>
      <c r="C95">
        <v>3</v>
      </c>
      <c r="D95" t="s">
        <v>7</v>
      </c>
      <c r="E95">
        <v>1</v>
      </c>
      <c r="F95" t="str">
        <f t="shared" si="3"/>
        <v>NIE</v>
      </c>
      <c r="G95">
        <f t="shared" si="2"/>
        <v>0</v>
      </c>
    </row>
    <row r="96" spans="1:7" x14ac:dyDescent="0.25">
      <c r="A96">
        <v>95</v>
      </c>
      <c r="B96">
        <v>5.3</v>
      </c>
      <c r="C96">
        <v>6</v>
      </c>
      <c r="D96" t="s">
        <v>7</v>
      </c>
      <c r="E96">
        <v>1</v>
      </c>
      <c r="F96" t="str">
        <f t="shared" si="3"/>
        <v>NIE</v>
      </c>
      <c r="G96">
        <f t="shared" si="2"/>
        <v>0</v>
      </c>
    </row>
    <row r="97" spans="1:7" x14ac:dyDescent="0.25">
      <c r="A97">
        <v>96</v>
      </c>
      <c r="B97">
        <v>5.2</v>
      </c>
      <c r="C97">
        <v>3</v>
      </c>
      <c r="D97" t="s">
        <v>7</v>
      </c>
      <c r="E97">
        <v>2</v>
      </c>
      <c r="F97" t="str">
        <f t="shared" si="3"/>
        <v>NIE</v>
      </c>
      <c r="G97">
        <f t="shared" si="2"/>
        <v>0</v>
      </c>
    </row>
    <row r="98" spans="1:7" x14ac:dyDescent="0.25">
      <c r="A98">
        <v>97</v>
      </c>
      <c r="B98">
        <v>6.8</v>
      </c>
      <c r="C98">
        <v>2</v>
      </c>
      <c r="D98" t="s">
        <v>7</v>
      </c>
      <c r="E98">
        <v>2</v>
      </c>
      <c r="F98" t="str">
        <f t="shared" si="3"/>
        <v>TAK</v>
      </c>
      <c r="G98">
        <f t="shared" si="2"/>
        <v>1</v>
      </c>
    </row>
    <row r="99" spans="1:7" x14ac:dyDescent="0.25">
      <c r="A99">
        <v>98</v>
      </c>
      <c r="B99">
        <v>9.8000000000000007</v>
      </c>
      <c r="C99">
        <v>11</v>
      </c>
      <c r="D99" t="s">
        <v>7</v>
      </c>
      <c r="E99">
        <v>2</v>
      </c>
      <c r="F99" t="str">
        <f t="shared" si="3"/>
        <v>TAK</v>
      </c>
      <c r="G99">
        <f t="shared" si="2"/>
        <v>2</v>
      </c>
    </row>
    <row r="100" spans="1:7" x14ac:dyDescent="0.25">
      <c r="A100">
        <v>99</v>
      </c>
      <c r="B100">
        <v>13.7</v>
      </c>
      <c r="C100">
        <v>8</v>
      </c>
      <c r="D100" t="s">
        <v>7</v>
      </c>
      <c r="E100">
        <v>3</v>
      </c>
      <c r="F100" t="str">
        <f t="shared" si="3"/>
        <v>TAK</v>
      </c>
      <c r="G100">
        <f t="shared" si="2"/>
        <v>3</v>
      </c>
    </row>
    <row r="101" spans="1:7" x14ac:dyDescent="0.25">
      <c r="A101">
        <v>100</v>
      </c>
      <c r="B101">
        <v>17.7</v>
      </c>
      <c r="C101">
        <v>6</v>
      </c>
      <c r="D101" t="s">
        <v>7</v>
      </c>
      <c r="E101">
        <v>3</v>
      </c>
      <c r="F101" t="str">
        <f t="shared" si="3"/>
        <v>TAK</v>
      </c>
      <c r="G101">
        <f t="shared" si="2"/>
        <v>4</v>
      </c>
    </row>
    <row r="102" spans="1:7" x14ac:dyDescent="0.25">
      <c r="A102">
        <v>101</v>
      </c>
      <c r="B102">
        <v>20.8</v>
      </c>
      <c r="C102">
        <v>5</v>
      </c>
      <c r="D102" t="s">
        <v>7</v>
      </c>
      <c r="E102">
        <v>3</v>
      </c>
      <c r="F102" t="str">
        <f t="shared" si="3"/>
        <v>TAK</v>
      </c>
      <c r="G102">
        <f t="shared" si="2"/>
        <v>5</v>
      </c>
    </row>
    <row r="103" spans="1:7" x14ac:dyDescent="0.25">
      <c r="A103">
        <v>102</v>
      </c>
      <c r="B103">
        <v>22.4</v>
      </c>
      <c r="C103">
        <v>20</v>
      </c>
      <c r="D103" t="s">
        <v>7</v>
      </c>
      <c r="E103">
        <v>4</v>
      </c>
      <c r="F103" t="str">
        <f t="shared" si="3"/>
        <v>TAK</v>
      </c>
      <c r="G103">
        <f t="shared" si="2"/>
        <v>6</v>
      </c>
    </row>
    <row r="104" spans="1:7" x14ac:dyDescent="0.25">
      <c r="A104">
        <v>103</v>
      </c>
      <c r="B104">
        <v>22.5</v>
      </c>
      <c r="C104">
        <v>17</v>
      </c>
      <c r="D104" t="s">
        <v>7</v>
      </c>
      <c r="E104">
        <v>4</v>
      </c>
      <c r="F104" t="str">
        <f t="shared" si="3"/>
        <v>TAK</v>
      </c>
      <c r="G104">
        <f t="shared" si="2"/>
        <v>7</v>
      </c>
    </row>
    <row r="105" spans="1:7" x14ac:dyDescent="0.25">
      <c r="A105">
        <v>104</v>
      </c>
      <c r="B105">
        <v>21.2</v>
      </c>
      <c r="C105">
        <v>11</v>
      </c>
      <c r="D105" t="s">
        <v>7</v>
      </c>
      <c r="E105">
        <v>4</v>
      </c>
      <c r="F105" t="str">
        <f t="shared" si="3"/>
        <v>NIE</v>
      </c>
      <c r="G105">
        <f t="shared" si="2"/>
        <v>0</v>
      </c>
    </row>
    <row r="106" spans="1:7" x14ac:dyDescent="0.25">
      <c r="A106">
        <v>105</v>
      </c>
      <c r="B106">
        <v>19.5</v>
      </c>
      <c r="C106">
        <v>27</v>
      </c>
      <c r="D106" t="s">
        <v>7</v>
      </c>
      <c r="E106">
        <v>5</v>
      </c>
      <c r="F106" t="str">
        <f t="shared" si="3"/>
        <v>NIE</v>
      </c>
      <c r="G106">
        <f t="shared" si="2"/>
        <v>0</v>
      </c>
    </row>
    <row r="107" spans="1:7" x14ac:dyDescent="0.25">
      <c r="A107">
        <v>106</v>
      </c>
      <c r="B107">
        <v>18.100000000000001</v>
      </c>
      <c r="C107">
        <v>0</v>
      </c>
      <c r="D107" t="s">
        <v>5</v>
      </c>
      <c r="E107">
        <v>0</v>
      </c>
      <c r="F107" t="str">
        <f t="shared" si="3"/>
        <v>NIE</v>
      </c>
      <c r="G107">
        <f t="shared" si="2"/>
        <v>0</v>
      </c>
    </row>
    <row r="108" spans="1:7" x14ac:dyDescent="0.25">
      <c r="A108">
        <v>107</v>
      </c>
      <c r="B108">
        <v>17.8</v>
      </c>
      <c r="C108">
        <v>5</v>
      </c>
      <c r="D108" t="s">
        <v>6</v>
      </c>
      <c r="E108">
        <v>1</v>
      </c>
      <c r="F108" t="str">
        <f t="shared" si="3"/>
        <v>NIE</v>
      </c>
      <c r="G108">
        <f t="shared" si="2"/>
        <v>0</v>
      </c>
    </row>
    <row r="109" spans="1:7" x14ac:dyDescent="0.25">
      <c r="A109">
        <v>108</v>
      </c>
      <c r="B109">
        <v>18.899999999999999</v>
      </c>
      <c r="C109">
        <v>3</v>
      </c>
      <c r="D109" t="s">
        <v>6</v>
      </c>
      <c r="E109">
        <v>1</v>
      </c>
      <c r="F109" t="str">
        <f t="shared" si="3"/>
        <v>TAK</v>
      </c>
      <c r="G109">
        <f t="shared" si="2"/>
        <v>1</v>
      </c>
    </row>
    <row r="110" spans="1:7" x14ac:dyDescent="0.25">
      <c r="A110">
        <v>109</v>
      </c>
      <c r="B110">
        <v>21.3</v>
      </c>
      <c r="C110">
        <v>1</v>
      </c>
      <c r="D110" t="s">
        <v>6</v>
      </c>
      <c r="E110">
        <v>1</v>
      </c>
      <c r="F110" t="str">
        <f t="shared" si="3"/>
        <v>TAK</v>
      </c>
      <c r="G110">
        <f t="shared" si="2"/>
        <v>2</v>
      </c>
    </row>
    <row r="111" spans="1:7" x14ac:dyDescent="0.25">
      <c r="A111">
        <v>110</v>
      </c>
      <c r="B111">
        <v>24.5</v>
      </c>
      <c r="C111">
        <v>7</v>
      </c>
      <c r="D111" t="s">
        <v>6</v>
      </c>
      <c r="E111">
        <v>2</v>
      </c>
      <c r="F111" t="str">
        <f t="shared" si="3"/>
        <v>TAK</v>
      </c>
      <c r="G111">
        <f t="shared" si="2"/>
        <v>3</v>
      </c>
    </row>
    <row r="112" spans="1:7" x14ac:dyDescent="0.25">
      <c r="A112">
        <v>111</v>
      </c>
      <c r="B112">
        <v>27.5</v>
      </c>
      <c r="C112">
        <v>12</v>
      </c>
      <c r="D112" t="s">
        <v>6</v>
      </c>
      <c r="E112">
        <v>2</v>
      </c>
      <c r="F112" t="str">
        <f t="shared" si="3"/>
        <v>TAK</v>
      </c>
      <c r="G112">
        <f t="shared" si="2"/>
        <v>4</v>
      </c>
    </row>
    <row r="113" spans="1:7" x14ac:dyDescent="0.25">
      <c r="A113">
        <v>112</v>
      </c>
      <c r="B113">
        <v>29.5</v>
      </c>
      <c r="C113">
        <v>6</v>
      </c>
      <c r="D113" t="s">
        <v>6</v>
      </c>
      <c r="E113">
        <v>2</v>
      </c>
      <c r="F113" t="str">
        <f t="shared" si="3"/>
        <v>TAK</v>
      </c>
      <c r="G113">
        <f t="shared" si="2"/>
        <v>5</v>
      </c>
    </row>
    <row r="114" spans="1:7" x14ac:dyDescent="0.25">
      <c r="A114">
        <v>113</v>
      </c>
      <c r="B114">
        <v>29.9</v>
      </c>
      <c r="C114">
        <v>5</v>
      </c>
      <c r="D114" t="s">
        <v>6</v>
      </c>
      <c r="E114">
        <v>3</v>
      </c>
      <c r="F114" t="str">
        <f t="shared" si="3"/>
        <v>TAK</v>
      </c>
      <c r="G114">
        <f t="shared" si="2"/>
        <v>6</v>
      </c>
    </row>
    <row r="115" spans="1:7" x14ac:dyDescent="0.25">
      <c r="A115">
        <v>114</v>
      </c>
      <c r="B115">
        <v>28.6</v>
      </c>
      <c r="C115">
        <v>6</v>
      </c>
      <c r="D115" t="s">
        <v>6</v>
      </c>
      <c r="E115">
        <v>3</v>
      </c>
      <c r="F115" t="str">
        <f t="shared" si="3"/>
        <v>NIE</v>
      </c>
      <c r="G115">
        <f t="shared" si="2"/>
        <v>0</v>
      </c>
    </row>
    <row r="116" spans="1:7" x14ac:dyDescent="0.25">
      <c r="A116">
        <v>115</v>
      </c>
      <c r="B116">
        <v>25.9</v>
      </c>
      <c r="C116">
        <v>6</v>
      </c>
      <c r="D116" t="s">
        <v>6</v>
      </c>
      <c r="E116">
        <v>3</v>
      </c>
      <c r="F116" t="str">
        <f t="shared" si="3"/>
        <v>NIE</v>
      </c>
      <c r="G116">
        <f t="shared" si="2"/>
        <v>0</v>
      </c>
    </row>
    <row r="117" spans="1:7" x14ac:dyDescent="0.25">
      <c r="A117">
        <v>116</v>
      </c>
      <c r="B117">
        <v>22.6</v>
      </c>
      <c r="C117">
        <v>23</v>
      </c>
      <c r="D117" t="s">
        <v>6</v>
      </c>
      <c r="E117">
        <v>4</v>
      </c>
      <c r="F117" t="str">
        <f t="shared" si="3"/>
        <v>NIE</v>
      </c>
      <c r="G117">
        <f t="shared" si="2"/>
        <v>0</v>
      </c>
    </row>
    <row r="118" spans="1:7" x14ac:dyDescent="0.25">
      <c r="A118">
        <v>117</v>
      </c>
      <c r="B118">
        <v>19.7</v>
      </c>
      <c r="C118">
        <v>16</v>
      </c>
      <c r="D118" t="s">
        <v>6</v>
      </c>
      <c r="E118">
        <v>4</v>
      </c>
      <c r="F118" t="str">
        <f t="shared" si="3"/>
        <v>NIE</v>
      </c>
      <c r="G118">
        <f t="shared" si="2"/>
        <v>0</v>
      </c>
    </row>
    <row r="119" spans="1:7" x14ac:dyDescent="0.25">
      <c r="A119">
        <v>118</v>
      </c>
      <c r="B119">
        <v>17.8</v>
      </c>
      <c r="C119">
        <v>1</v>
      </c>
      <c r="D119" t="s">
        <v>6</v>
      </c>
      <c r="E119">
        <v>4</v>
      </c>
      <c r="F119" t="str">
        <f t="shared" si="3"/>
        <v>NIE</v>
      </c>
      <c r="G119">
        <f t="shared" si="2"/>
        <v>0</v>
      </c>
    </row>
    <row r="120" spans="1:7" x14ac:dyDescent="0.25">
      <c r="A120">
        <v>119</v>
      </c>
      <c r="B120">
        <v>17.3</v>
      </c>
      <c r="C120">
        <v>27</v>
      </c>
      <c r="D120" t="s">
        <v>6</v>
      </c>
      <c r="E120">
        <v>5</v>
      </c>
      <c r="F120" t="str">
        <f t="shared" si="3"/>
        <v>NIE</v>
      </c>
      <c r="G120">
        <f t="shared" si="2"/>
        <v>0</v>
      </c>
    </row>
    <row r="121" spans="1:7" x14ac:dyDescent="0.25">
      <c r="A121">
        <v>120</v>
      </c>
      <c r="B121">
        <v>18.2</v>
      </c>
      <c r="C121">
        <v>0</v>
      </c>
      <c r="D121" t="s">
        <v>5</v>
      </c>
      <c r="E121">
        <v>0</v>
      </c>
      <c r="F121" t="str">
        <f t="shared" si="3"/>
        <v>TAK</v>
      </c>
      <c r="G121">
        <f t="shared" si="2"/>
        <v>1</v>
      </c>
    </row>
    <row r="122" spans="1:7" x14ac:dyDescent="0.25">
      <c r="A122">
        <v>121</v>
      </c>
      <c r="B122">
        <v>19.8</v>
      </c>
      <c r="C122">
        <v>1</v>
      </c>
      <c r="D122" t="s">
        <v>6</v>
      </c>
      <c r="E122">
        <v>1</v>
      </c>
      <c r="F122" t="str">
        <f t="shared" si="3"/>
        <v>TAK</v>
      </c>
      <c r="G122">
        <f t="shared" si="2"/>
        <v>2</v>
      </c>
    </row>
    <row r="123" spans="1:7" x14ac:dyDescent="0.25">
      <c r="A123">
        <v>122</v>
      </c>
      <c r="B123">
        <v>21.4</v>
      </c>
      <c r="C123">
        <v>1</v>
      </c>
      <c r="D123" t="s">
        <v>6</v>
      </c>
      <c r="E123">
        <v>1</v>
      </c>
      <c r="F123" t="str">
        <f t="shared" si="3"/>
        <v>TAK</v>
      </c>
      <c r="G123">
        <f t="shared" si="2"/>
        <v>3</v>
      </c>
    </row>
    <row r="124" spans="1:7" x14ac:dyDescent="0.25">
      <c r="A124">
        <v>123</v>
      </c>
      <c r="B124">
        <v>22</v>
      </c>
      <c r="C124">
        <v>6</v>
      </c>
      <c r="D124" t="s">
        <v>6</v>
      </c>
      <c r="E124">
        <v>1</v>
      </c>
      <c r="F124" t="str">
        <f t="shared" si="3"/>
        <v>TAK</v>
      </c>
      <c r="G124">
        <f t="shared" si="2"/>
        <v>4</v>
      </c>
    </row>
    <row r="125" spans="1:7" x14ac:dyDescent="0.25">
      <c r="A125">
        <v>124</v>
      </c>
      <c r="B125">
        <v>21.2</v>
      </c>
      <c r="C125">
        <v>9</v>
      </c>
      <c r="D125" t="s">
        <v>6</v>
      </c>
      <c r="E125">
        <v>2</v>
      </c>
      <c r="F125" t="str">
        <f t="shared" si="3"/>
        <v>NIE</v>
      </c>
      <c r="G125">
        <f t="shared" si="2"/>
        <v>0</v>
      </c>
    </row>
    <row r="126" spans="1:7" x14ac:dyDescent="0.25">
      <c r="A126">
        <v>125</v>
      </c>
      <c r="B126">
        <v>18.8</v>
      </c>
      <c r="C126">
        <v>7</v>
      </c>
      <c r="D126" t="s">
        <v>6</v>
      </c>
      <c r="E126">
        <v>2</v>
      </c>
      <c r="F126" t="str">
        <f t="shared" si="3"/>
        <v>NIE</v>
      </c>
      <c r="G126">
        <f t="shared" si="2"/>
        <v>0</v>
      </c>
    </row>
    <row r="127" spans="1:7" x14ac:dyDescent="0.25">
      <c r="A127">
        <v>126</v>
      </c>
      <c r="B127">
        <v>15.2</v>
      </c>
      <c r="C127">
        <v>12</v>
      </c>
      <c r="D127" t="s">
        <v>6</v>
      </c>
      <c r="E127">
        <v>2</v>
      </c>
      <c r="F127" t="str">
        <f t="shared" si="3"/>
        <v>NIE</v>
      </c>
      <c r="G127">
        <f t="shared" si="2"/>
        <v>0</v>
      </c>
    </row>
    <row r="128" spans="1:7" x14ac:dyDescent="0.25">
      <c r="A128">
        <v>127</v>
      </c>
      <c r="B128">
        <v>11.1</v>
      </c>
      <c r="C128">
        <v>15</v>
      </c>
      <c r="D128" t="s">
        <v>6</v>
      </c>
      <c r="E128">
        <v>3</v>
      </c>
      <c r="F128" t="str">
        <f t="shared" si="3"/>
        <v>NIE</v>
      </c>
      <c r="G128">
        <f t="shared" si="2"/>
        <v>0</v>
      </c>
    </row>
    <row r="129" spans="1:7" x14ac:dyDescent="0.25">
      <c r="A129">
        <v>128</v>
      </c>
      <c r="B129">
        <v>7.5</v>
      </c>
      <c r="C129">
        <v>10</v>
      </c>
      <c r="D129" t="s">
        <v>6</v>
      </c>
      <c r="E129">
        <v>3</v>
      </c>
      <c r="F129" t="str">
        <f t="shared" si="3"/>
        <v>NIE</v>
      </c>
      <c r="G129">
        <f t="shared" si="2"/>
        <v>0</v>
      </c>
    </row>
    <row r="130" spans="1:7" x14ac:dyDescent="0.25">
      <c r="A130">
        <v>129</v>
      </c>
      <c r="B130">
        <v>5.2</v>
      </c>
      <c r="C130">
        <v>5</v>
      </c>
      <c r="D130" t="s">
        <v>6</v>
      </c>
      <c r="E130">
        <v>3</v>
      </c>
      <c r="F130" t="str">
        <f t="shared" si="3"/>
        <v>NIE</v>
      </c>
      <c r="G130">
        <f t="shared" si="2"/>
        <v>0</v>
      </c>
    </row>
    <row r="131" spans="1:7" x14ac:dyDescent="0.25">
      <c r="A131">
        <v>130</v>
      </c>
      <c r="B131">
        <v>4.5999999999999996</v>
      </c>
      <c r="C131">
        <v>23</v>
      </c>
      <c r="D131" t="s">
        <v>6</v>
      </c>
      <c r="E131">
        <v>4</v>
      </c>
      <c r="F131" t="str">
        <f t="shared" si="3"/>
        <v>NIE</v>
      </c>
      <c r="G131">
        <f t="shared" si="2"/>
        <v>0</v>
      </c>
    </row>
    <row r="132" spans="1:7" x14ac:dyDescent="0.25">
      <c r="A132">
        <v>131</v>
      </c>
      <c r="B132">
        <v>5.5</v>
      </c>
      <c r="C132">
        <v>11</v>
      </c>
      <c r="D132" t="s">
        <v>6</v>
      </c>
      <c r="E132">
        <v>4</v>
      </c>
      <c r="F132" t="str">
        <f t="shared" si="3"/>
        <v>TAK</v>
      </c>
      <c r="G132">
        <f t="shared" ref="G132:G195" si="4">IF(F132 = "TAK",G131+1,0)</f>
        <v>1</v>
      </c>
    </row>
    <row r="133" spans="1:7" x14ac:dyDescent="0.25">
      <c r="A133">
        <v>132</v>
      </c>
      <c r="B133">
        <v>7.3</v>
      </c>
      <c r="C133">
        <v>23</v>
      </c>
      <c r="D133" t="s">
        <v>6</v>
      </c>
      <c r="E133">
        <v>4</v>
      </c>
      <c r="F133" t="str">
        <f t="shared" ref="F133:F196" si="5">IF(B132&lt;B133,"TAK","NIE")</f>
        <v>TAK</v>
      </c>
      <c r="G133">
        <f t="shared" si="4"/>
        <v>2</v>
      </c>
    </row>
    <row r="134" spans="1:7" x14ac:dyDescent="0.25">
      <c r="A134">
        <v>133</v>
      </c>
      <c r="B134">
        <v>9.3000000000000007</v>
      </c>
      <c r="C134">
        <v>16</v>
      </c>
      <c r="D134" t="s">
        <v>6</v>
      </c>
      <c r="E134">
        <v>5</v>
      </c>
      <c r="F134" t="str">
        <f t="shared" si="5"/>
        <v>TAK</v>
      </c>
      <c r="G134">
        <f t="shared" si="4"/>
        <v>3</v>
      </c>
    </row>
    <row r="135" spans="1:7" x14ac:dyDescent="0.25">
      <c r="A135">
        <v>134</v>
      </c>
      <c r="B135">
        <v>10.5</v>
      </c>
      <c r="C135">
        <v>21</v>
      </c>
      <c r="D135" t="s">
        <v>6</v>
      </c>
      <c r="E135">
        <v>5</v>
      </c>
      <c r="F135" t="str">
        <f t="shared" si="5"/>
        <v>TAK</v>
      </c>
      <c r="G135">
        <f t="shared" si="4"/>
        <v>4</v>
      </c>
    </row>
    <row r="136" spans="1:7" x14ac:dyDescent="0.25">
      <c r="A136">
        <v>135</v>
      </c>
      <c r="B136">
        <v>10.4</v>
      </c>
      <c r="C136">
        <v>0</v>
      </c>
      <c r="D136" t="s">
        <v>5</v>
      </c>
      <c r="E136">
        <v>0</v>
      </c>
      <c r="F136" t="str">
        <f t="shared" si="5"/>
        <v>NIE</v>
      </c>
      <c r="G136">
        <f t="shared" si="4"/>
        <v>0</v>
      </c>
    </row>
    <row r="137" spans="1:7" x14ac:dyDescent="0.25">
      <c r="A137">
        <v>136</v>
      </c>
      <c r="B137">
        <v>9</v>
      </c>
      <c r="C137">
        <v>4</v>
      </c>
      <c r="D137" t="s">
        <v>7</v>
      </c>
      <c r="E137">
        <v>1</v>
      </c>
      <c r="F137" t="str">
        <f t="shared" si="5"/>
        <v>NIE</v>
      </c>
      <c r="G137">
        <f t="shared" si="4"/>
        <v>0</v>
      </c>
    </row>
    <row r="138" spans="1:7" x14ac:dyDescent="0.25">
      <c r="A138">
        <v>137</v>
      </c>
      <c r="B138">
        <v>6.4</v>
      </c>
      <c r="C138">
        <v>3</v>
      </c>
      <c r="D138" t="s">
        <v>7</v>
      </c>
      <c r="E138">
        <v>1</v>
      </c>
      <c r="F138" t="str">
        <f t="shared" si="5"/>
        <v>NIE</v>
      </c>
      <c r="G138">
        <f t="shared" si="4"/>
        <v>0</v>
      </c>
    </row>
    <row r="139" spans="1:7" x14ac:dyDescent="0.25">
      <c r="A139">
        <v>138</v>
      </c>
      <c r="B139">
        <v>3.6</v>
      </c>
      <c r="C139">
        <v>3</v>
      </c>
      <c r="D139" t="s">
        <v>7</v>
      </c>
      <c r="E139">
        <v>1</v>
      </c>
      <c r="F139" t="str">
        <f t="shared" si="5"/>
        <v>NIE</v>
      </c>
      <c r="G139">
        <f t="shared" si="4"/>
        <v>0</v>
      </c>
    </row>
    <row r="140" spans="1:7" x14ac:dyDescent="0.25">
      <c r="A140">
        <v>139</v>
      </c>
      <c r="B140">
        <v>1.4</v>
      </c>
      <c r="C140">
        <v>4</v>
      </c>
      <c r="D140" t="s">
        <v>7</v>
      </c>
      <c r="E140">
        <v>2</v>
      </c>
      <c r="F140" t="str">
        <f t="shared" si="5"/>
        <v>NIE</v>
      </c>
      <c r="G140">
        <f t="shared" si="4"/>
        <v>0</v>
      </c>
    </row>
    <row r="141" spans="1:7" x14ac:dyDescent="0.25">
      <c r="A141">
        <v>140</v>
      </c>
      <c r="B141">
        <v>0.5</v>
      </c>
      <c r="C141">
        <v>5</v>
      </c>
      <c r="D141" t="s">
        <v>7</v>
      </c>
      <c r="E141">
        <v>2</v>
      </c>
      <c r="F141" t="str">
        <f t="shared" si="5"/>
        <v>NIE</v>
      </c>
      <c r="G141">
        <f t="shared" si="4"/>
        <v>0</v>
      </c>
    </row>
    <row r="142" spans="1:7" x14ac:dyDescent="0.25">
      <c r="A142">
        <v>141</v>
      </c>
      <c r="B142">
        <v>1.4</v>
      </c>
      <c r="C142">
        <v>1</v>
      </c>
      <c r="D142" t="s">
        <v>7</v>
      </c>
      <c r="E142">
        <v>2</v>
      </c>
      <c r="F142" t="str">
        <f t="shared" si="5"/>
        <v>TAK</v>
      </c>
      <c r="G142">
        <f t="shared" si="4"/>
        <v>1</v>
      </c>
    </row>
    <row r="143" spans="1:7" x14ac:dyDescent="0.25">
      <c r="A143">
        <v>142</v>
      </c>
      <c r="B143">
        <v>3.9</v>
      </c>
      <c r="C143">
        <v>3</v>
      </c>
      <c r="D143" t="s">
        <v>7</v>
      </c>
      <c r="E143">
        <v>3</v>
      </c>
      <c r="F143" t="str">
        <f t="shared" si="5"/>
        <v>TAK</v>
      </c>
      <c r="G143">
        <f t="shared" si="4"/>
        <v>2</v>
      </c>
    </row>
    <row r="144" spans="1:7" x14ac:dyDescent="0.25">
      <c r="A144">
        <v>143</v>
      </c>
      <c r="B144">
        <v>7.3</v>
      </c>
      <c r="C144">
        <v>13</v>
      </c>
      <c r="D144" t="s">
        <v>7</v>
      </c>
      <c r="E144">
        <v>3</v>
      </c>
      <c r="F144" t="str">
        <f t="shared" si="5"/>
        <v>TAK</v>
      </c>
      <c r="G144">
        <f t="shared" si="4"/>
        <v>3</v>
      </c>
    </row>
    <row r="145" spans="1:7" x14ac:dyDescent="0.25">
      <c r="A145">
        <v>144</v>
      </c>
      <c r="B145">
        <v>10.9</v>
      </c>
      <c r="C145">
        <v>12</v>
      </c>
      <c r="D145" t="s">
        <v>7</v>
      </c>
      <c r="E145">
        <v>3</v>
      </c>
      <c r="F145" t="str">
        <f t="shared" si="5"/>
        <v>TAK</v>
      </c>
      <c r="G145">
        <f t="shared" si="4"/>
        <v>4</v>
      </c>
    </row>
    <row r="146" spans="1:7" x14ac:dyDescent="0.25">
      <c r="A146">
        <v>145</v>
      </c>
      <c r="B146">
        <v>13.7</v>
      </c>
      <c r="C146">
        <v>9</v>
      </c>
      <c r="D146" t="s">
        <v>7</v>
      </c>
      <c r="E146">
        <v>4</v>
      </c>
      <c r="F146" t="str">
        <f t="shared" si="5"/>
        <v>TAK</v>
      </c>
      <c r="G146">
        <f t="shared" si="4"/>
        <v>5</v>
      </c>
    </row>
    <row r="147" spans="1:7" x14ac:dyDescent="0.25">
      <c r="A147">
        <v>146</v>
      </c>
      <c r="B147">
        <v>15.1</v>
      </c>
      <c r="C147">
        <v>21</v>
      </c>
      <c r="D147" t="s">
        <v>7</v>
      </c>
      <c r="E147">
        <v>4</v>
      </c>
      <c r="F147" t="str">
        <f t="shared" si="5"/>
        <v>TAK</v>
      </c>
      <c r="G147">
        <f t="shared" si="4"/>
        <v>6</v>
      </c>
    </row>
    <row r="148" spans="1:7" x14ac:dyDescent="0.25">
      <c r="A148">
        <v>147</v>
      </c>
      <c r="B148">
        <v>15.1</v>
      </c>
      <c r="C148">
        <v>14</v>
      </c>
      <c r="D148" t="s">
        <v>7</v>
      </c>
      <c r="E148">
        <v>4</v>
      </c>
      <c r="F148" t="str">
        <f t="shared" si="5"/>
        <v>NIE</v>
      </c>
      <c r="G148">
        <f t="shared" si="4"/>
        <v>0</v>
      </c>
    </row>
    <row r="149" spans="1:7" x14ac:dyDescent="0.25">
      <c r="A149">
        <v>148</v>
      </c>
      <c r="B149">
        <v>13.9</v>
      </c>
      <c r="C149">
        <v>11</v>
      </c>
      <c r="D149" t="s">
        <v>7</v>
      </c>
      <c r="E149">
        <v>5</v>
      </c>
      <c r="F149" t="str">
        <f t="shared" si="5"/>
        <v>NIE</v>
      </c>
      <c r="G149">
        <f t="shared" si="4"/>
        <v>0</v>
      </c>
    </row>
    <row r="150" spans="1:7" x14ac:dyDescent="0.25">
      <c r="A150">
        <v>149</v>
      </c>
      <c r="B150">
        <v>12.3</v>
      </c>
      <c r="C150">
        <v>20</v>
      </c>
      <c r="D150" t="s">
        <v>7</v>
      </c>
      <c r="E150">
        <v>5</v>
      </c>
      <c r="F150" t="str">
        <f t="shared" si="5"/>
        <v>NIE</v>
      </c>
      <c r="G150">
        <f t="shared" si="4"/>
        <v>0</v>
      </c>
    </row>
    <row r="151" spans="1:7" x14ac:dyDescent="0.25">
      <c r="A151">
        <v>150</v>
      </c>
      <c r="B151">
        <v>11.2</v>
      </c>
      <c r="C151">
        <v>0</v>
      </c>
      <c r="D151" t="s">
        <v>5</v>
      </c>
      <c r="E151">
        <v>0</v>
      </c>
      <c r="F151" t="str">
        <f t="shared" si="5"/>
        <v>NIE</v>
      </c>
      <c r="G151">
        <f t="shared" si="4"/>
        <v>0</v>
      </c>
    </row>
    <row r="152" spans="1:7" x14ac:dyDescent="0.25">
      <c r="A152">
        <v>151</v>
      </c>
      <c r="B152">
        <v>11.3</v>
      </c>
      <c r="C152">
        <v>6</v>
      </c>
      <c r="D152" t="s">
        <v>6</v>
      </c>
      <c r="E152">
        <v>1</v>
      </c>
      <c r="F152" t="str">
        <f t="shared" si="5"/>
        <v>TAK</v>
      </c>
      <c r="G152">
        <f t="shared" si="4"/>
        <v>1</v>
      </c>
    </row>
    <row r="153" spans="1:7" x14ac:dyDescent="0.25">
      <c r="A153">
        <v>152</v>
      </c>
      <c r="B153">
        <v>12.9</v>
      </c>
      <c r="C153">
        <v>3</v>
      </c>
      <c r="D153" t="s">
        <v>6</v>
      </c>
      <c r="E153">
        <v>1</v>
      </c>
      <c r="F153" t="str">
        <f t="shared" si="5"/>
        <v>TAK</v>
      </c>
      <c r="G153">
        <f t="shared" si="4"/>
        <v>2</v>
      </c>
    </row>
    <row r="154" spans="1:7" x14ac:dyDescent="0.25">
      <c r="A154">
        <v>153</v>
      </c>
      <c r="B154">
        <v>16</v>
      </c>
      <c r="C154">
        <v>6</v>
      </c>
      <c r="D154" t="s">
        <v>6</v>
      </c>
      <c r="E154">
        <v>1</v>
      </c>
      <c r="F154" t="str">
        <f t="shared" si="5"/>
        <v>TAK</v>
      </c>
      <c r="G154">
        <f t="shared" si="4"/>
        <v>3</v>
      </c>
    </row>
    <row r="155" spans="1:7" x14ac:dyDescent="0.25">
      <c r="A155">
        <v>154</v>
      </c>
      <c r="B155">
        <v>19.8</v>
      </c>
      <c r="C155">
        <v>2</v>
      </c>
      <c r="D155" t="s">
        <v>6</v>
      </c>
      <c r="E155">
        <v>2</v>
      </c>
      <c r="F155" t="str">
        <f t="shared" si="5"/>
        <v>TAK</v>
      </c>
      <c r="G155">
        <f t="shared" si="4"/>
        <v>4</v>
      </c>
    </row>
    <row r="156" spans="1:7" x14ac:dyDescent="0.25">
      <c r="A156">
        <v>155</v>
      </c>
      <c r="B156">
        <v>23.6</v>
      </c>
      <c r="C156">
        <v>11</v>
      </c>
      <c r="D156" t="s">
        <v>6</v>
      </c>
      <c r="E156">
        <v>2</v>
      </c>
      <c r="F156" t="str">
        <f t="shared" si="5"/>
        <v>TAK</v>
      </c>
      <c r="G156">
        <f t="shared" si="4"/>
        <v>5</v>
      </c>
    </row>
    <row r="157" spans="1:7" x14ac:dyDescent="0.25">
      <c r="A157">
        <v>156</v>
      </c>
      <c r="B157">
        <v>26.4</v>
      </c>
      <c r="C157">
        <v>11</v>
      </c>
      <c r="D157" t="s">
        <v>6</v>
      </c>
      <c r="E157">
        <v>2</v>
      </c>
      <c r="F157" t="str">
        <f t="shared" si="5"/>
        <v>TAK</v>
      </c>
      <c r="G157">
        <f t="shared" si="4"/>
        <v>6</v>
      </c>
    </row>
    <row r="158" spans="1:7" x14ac:dyDescent="0.25">
      <c r="A158">
        <v>157</v>
      </c>
      <c r="B158">
        <v>27.7</v>
      </c>
      <c r="C158">
        <v>5</v>
      </c>
      <c r="D158" t="s">
        <v>6</v>
      </c>
      <c r="E158">
        <v>3</v>
      </c>
      <c r="F158" t="str">
        <f t="shared" si="5"/>
        <v>TAK</v>
      </c>
      <c r="G158">
        <f t="shared" si="4"/>
        <v>7</v>
      </c>
    </row>
    <row r="159" spans="1:7" x14ac:dyDescent="0.25">
      <c r="A159">
        <v>158</v>
      </c>
      <c r="B159">
        <v>27.2</v>
      </c>
      <c r="C159">
        <v>18</v>
      </c>
      <c r="D159" t="s">
        <v>6</v>
      </c>
      <c r="E159">
        <v>3</v>
      </c>
      <c r="F159" t="str">
        <f t="shared" si="5"/>
        <v>NIE</v>
      </c>
      <c r="G159">
        <f t="shared" si="4"/>
        <v>0</v>
      </c>
    </row>
    <row r="160" spans="1:7" x14ac:dyDescent="0.25">
      <c r="A160">
        <v>159</v>
      </c>
      <c r="B160">
        <v>25.5</v>
      </c>
      <c r="C160">
        <v>5</v>
      </c>
      <c r="D160" t="s">
        <v>6</v>
      </c>
      <c r="E160">
        <v>3</v>
      </c>
      <c r="F160" t="str">
        <f t="shared" si="5"/>
        <v>NIE</v>
      </c>
      <c r="G160">
        <f t="shared" si="4"/>
        <v>0</v>
      </c>
    </row>
    <row r="161" spans="1:7" x14ac:dyDescent="0.25">
      <c r="A161">
        <v>160</v>
      </c>
      <c r="B161">
        <v>23.1</v>
      </c>
      <c r="C161">
        <v>8</v>
      </c>
      <c r="D161" t="s">
        <v>6</v>
      </c>
      <c r="E161">
        <v>4</v>
      </c>
      <c r="F161" t="str">
        <f t="shared" si="5"/>
        <v>NIE</v>
      </c>
      <c r="G161">
        <f t="shared" si="4"/>
        <v>0</v>
      </c>
    </row>
    <row r="162" spans="1:7" x14ac:dyDescent="0.25">
      <c r="A162">
        <v>161</v>
      </c>
      <c r="B162">
        <v>21</v>
      </c>
      <c r="C162">
        <v>22</v>
      </c>
      <c r="D162" t="s">
        <v>6</v>
      </c>
      <c r="E162">
        <v>4</v>
      </c>
      <c r="F162" t="str">
        <f t="shared" si="5"/>
        <v>NIE</v>
      </c>
      <c r="G162">
        <f t="shared" si="4"/>
        <v>0</v>
      </c>
    </row>
    <row r="163" spans="1:7" x14ac:dyDescent="0.25">
      <c r="A163">
        <v>162</v>
      </c>
      <c r="B163">
        <v>20</v>
      </c>
      <c r="C163">
        <v>19</v>
      </c>
      <c r="D163" t="s">
        <v>6</v>
      </c>
      <c r="E163">
        <v>4</v>
      </c>
      <c r="F163" t="str">
        <f t="shared" si="5"/>
        <v>NIE</v>
      </c>
      <c r="G163">
        <f t="shared" si="4"/>
        <v>0</v>
      </c>
    </row>
    <row r="164" spans="1:7" x14ac:dyDescent="0.25">
      <c r="A164">
        <v>163</v>
      </c>
      <c r="B164">
        <v>20.399999999999999</v>
      </c>
      <c r="C164">
        <v>23</v>
      </c>
      <c r="D164" t="s">
        <v>6</v>
      </c>
      <c r="E164">
        <v>5</v>
      </c>
      <c r="F164" t="str">
        <f t="shared" si="5"/>
        <v>TAK</v>
      </c>
      <c r="G164">
        <f t="shared" si="4"/>
        <v>1</v>
      </c>
    </row>
    <row r="165" spans="1:7" x14ac:dyDescent="0.25">
      <c r="A165">
        <v>164</v>
      </c>
      <c r="B165">
        <v>22.1</v>
      </c>
      <c r="C165">
        <v>0</v>
      </c>
      <c r="D165" t="s">
        <v>5</v>
      </c>
      <c r="E165">
        <v>0</v>
      </c>
      <c r="F165" t="str">
        <f t="shared" si="5"/>
        <v>TAK</v>
      </c>
      <c r="G165">
        <f t="shared" si="4"/>
        <v>2</v>
      </c>
    </row>
    <row r="166" spans="1:7" x14ac:dyDescent="0.25">
      <c r="A166">
        <v>165</v>
      </c>
      <c r="B166">
        <v>24.5</v>
      </c>
      <c r="C166">
        <v>1</v>
      </c>
      <c r="D166" t="s">
        <v>7</v>
      </c>
      <c r="E166">
        <v>1</v>
      </c>
      <c r="F166" t="str">
        <f t="shared" si="5"/>
        <v>TAK</v>
      </c>
      <c r="G166">
        <f t="shared" si="4"/>
        <v>3</v>
      </c>
    </row>
    <row r="167" spans="1:7" x14ac:dyDescent="0.25">
      <c r="A167">
        <v>166</v>
      </c>
      <c r="B167">
        <v>26.8</v>
      </c>
      <c r="C167">
        <v>2</v>
      </c>
      <c r="D167" t="s">
        <v>7</v>
      </c>
      <c r="E167">
        <v>1</v>
      </c>
      <c r="F167" t="str">
        <f t="shared" si="5"/>
        <v>TAK</v>
      </c>
      <c r="G167">
        <f t="shared" si="4"/>
        <v>4</v>
      </c>
    </row>
    <row r="168" spans="1:7" x14ac:dyDescent="0.25">
      <c r="A168">
        <v>167</v>
      </c>
      <c r="B168">
        <v>28</v>
      </c>
      <c r="C168">
        <v>4</v>
      </c>
      <c r="D168" t="s">
        <v>7</v>
      </c>
      <c r="E168">
        <v>1</v>
      </c>
      <c r="F168" t="str">
        <f t="shared" si="5"/>
        <v>TAK</v>
      </c>
      <c r="G168">
        <f t="shared" si="4"/>
        <v>5</v>
      </c>
    </row>
    <row r="169" spans="1:7" x14ac:dyDescent="0.25">
      <c r="A169">
        <v>168</v>
      </c>
      <c r="B169">
        <v>27.7</v>
      </c>
      <c r="C169">
        <v>8</v>
      </c>
      <c r="D169" t="s">
        <v>7</v>
      </c>
      <c r="E169">
        <v>2</v>
      </c>
      <c r="F169" t="str">
        <f t="shared" si="5"/>
        <v>NIE</v>
      </c>
      <c r="G169">
        <f t="shared" si="4"/>
        <v>0</v>
      </c>
    </row>
    <row r="170" spans="1:7" x14ac:dyDescent="0.25">
      <c r="A170">
        <v>169</v>
      </c>
      <c r="B170">
        <v>25.6</v>
      </c>
      <c r="C170">
        <v>4</v>
      </c>
      <c r="D170" t="s">
        <v>7</v>
      </c>
      <c r="E170">
        <v>2</v>
      </c>
      <c r="F170" t="str">
        <f t="shared" si="5"/>
        <v>NIE</v>
      </c>
      <c r="G170">
        <f t="shared" si="4"/>
        <v>0</v>
      </c>
    </row>
    <row r="171" spans="1:7" x14ac:dyDescent="0.25">
      <c r="A171">
        <v>170</v>
      </c>
      <c r="B171">
        <v>22.3</v>
      </c>
      <c r="C171">
        <v>7</v>
      </c>
      <c r="D171" t="s">
        <v>7</v>
      </c>
      <c r="E171">
        <v>2</v>
      </c>
      <c r="F171" t="str">
        <f t="shared" si="5"/>
        <v>NIE</v>
      </c>
      <c r="G171">
        <f t="shared" si="4"/>
        <v>0</v>
      </c>
    </row>
    <row r="172" spans="1:7" x14ac:dyDescent="0.25">
      <c r="A172">
        <v>171</v>
      </c>
      <c r="B172">
        <v>18.399999999999999</v>
      </c>
      <c r="C172">
        <v>6</v>
      </c>
      <c r="D172" t="s">
        <v>7</v>
      </c>
      <c r="E172">
        <v>3</v>
      </c>
      <c r="F172" t="str">
        <f t="shared" si="5"/>
        <v>NIE</v>
      </c>
      <c r="G172">
        <f t="shared" si="4"/>
        <v>0</v>
      </c>
    </row>
    <row r="173" spans="1:7" x14ac:dyDescent="0.25">
      <c r="A173">
        <v>172</v>
      </c>
      <c r="B173">
        <v>14.9</v>
      </c>
      <c r="C173">
        <v>18</v>
      </c>
      <c r="D173" t="s">
        <v>7</v>
      </c>
      <c r="E173">
        <v>3</v>
      </c>
      <c r="F173" t="str">
        <f t="shared" si="5"/>
        <v>NIE</v>
      </c>
      <c r="G173">
        <f t="shared" si="4"/>
        <v>0</v>
      </c>
    </row>
    <row r="174" spans="1:7" x14ac:dyDescent="0.25">
      <c r="A174">
        <v>173</v>
      </c>
      <c r="B174">
        <v>12.5</v>
      </c>
      <c r="C174">
        <v>6</v>
      </c>
      <c r="D174" t="s">
        <v>7</v>
      </c>
      <c r="E174">
        <v>3</v>
      </c>
      <c r="F174" t="str">
        <f t="shared" si="5"/>
        <v>NIE</v>
      </c>
      <c r="G174">
        <f t="shared" si="4"/>
        <v>0</v>
      </c>
    </row>
    <row r="175" spans="1:7" x14ac:dyDescent="0.25">
      <c r="A175">
        <v>174</v>
      </c>
      <c r="B175">
        <v>11.7</v>
      </c>
      <c r="C175">
        <v>20</v>
      </c>
      <c r="D175" t="s">
        <v>7</v>
      </c>
      <c r="E175">
        <v>4</v>
      </c>
      <c r="F175" t="str">
        <f t="shared" si="5"/>
        <v>NIE</v>
      </c>
      <c r="G175">
        <f t="shared" si="4"/>
        <v>0</v>
      </c>
    </row>
    <row r="176" spans="1:7" x14ac:dyDescent="0.25">
      <c r="A176">
        <v>175</v>
      </c>
      <c r="B176">
        <v>12.3</v>
      </c>
      <c r="C176">
        <v>14</v>
      </c>
      <c r="D176" t="s">
        <v>7</v>
      </c>
      <c r="E176">
        <v>4</v>
      </c>
      <c r="F176" t="str">
        <f t="shared" si="5"/>
        <v>TAK</v>
      </c>
      <c r="G176">
        <f t="shared" si="4"/>
        <v>1</v>
      </c>
    </row>
    <row r="177" spans="1:7" x14ac:dyDescent="0.25">
      <c r="A177">
        <v>176</v>
      </c>
      <c r="B177">
        <v>13.7</v>
      </c>
      <c r="C177">
        <v>22</v>
      </c>
      <c r="D177" t="s">
        <v>7</v>
      </c>
      <c r="E177">
        <v>4</v>
      </c>
      <c r="F177" t="str">
        <f t="shared" si="5"/>
        <v>TAK</v>
      </c>
      <c r="G177">
        <f t="shared" si="4"/>
        <v>2</v>
      </c>
    </row>
    <row r="178" spans="1:7" x14ac:dyDescent="0.25">
      <c r="A178">
        <v>177</v>
      </c>
      <c r="B178">
        <v>15.2</v>
      </c>
      <c r="C178">
        <v>23</v>
      </c>
      <c r="D178" t="s">
        <v>7</v>
      </c>
      <c r="E178">
        <v>5</v>
      </c>
      <c r="F178" t="str">
        <f t="shared" si="5"/>
        <v>TAK</v>
      </c>
      <c r="G178">
        <f t="shared" si="4"/>
        <v>3</v>
      </c>
    </row>
    <row r="179" spans="1:7" x14ac:dyDescent="0.25">
      <c r="A179">
        <v>178</v>
      </c>
      <c r="B179">
        <v>15.9</v>
      </c>
      <c r="C179">
        <v>0</v>
      </c>
      <c r="D179" t="s">
        <v>5</v>
      </c>
      <c r="E179">
        <v>0</v>
      </c>
      <c r="F179" t="str">
        <f t="shared" si="5"/>
        <v>TAK</v>
      </c>
      <c r="G179">
        <f t="shared" si="4"/>
        <v>4</v>
      </c>
    </row>
    <row r="180" spans="1:7" x14ac:dyDescent="0.25">
      <c r="A180">
        <v>179</v>
      </c>
      <c r="B180">
        <v>15.1</v>
      </c>
      <c r="C180">
        <v>1</v>
      </c>
      <c r="D180" t="s">
        <v>6</v>
      </c>
      <c r="E180">
        <v>1</v>
      </c>
      <c r="F180" t="str">
        <f t="shared" si="5"/>
        <v>NIE</v>
      </c>
      <c r="G180">
        <f t="shared" si="4"/>
        <v>0</v>
      </c>
    </row>
    <row r="181" spans="1:7" x14ac:dyDescent="0.25">
      <c r="A181">
        <v>180</v>
      </c>
      <c r="B181">
        <v>12.9</v>
      </c>
      <c r="C181">
        <v>1</v>
      </c>
      <c r="D181" t="s">
        <v>6</v>
      </c>
      <c r="E181">
        <v>1</v>
      </c>
      <c r="F181" t="str">
        <f t="shared" si="5"/>
        <v>NIE</v>
      </c>
      <c r="G181">
        <f t="shared" si="4"/>
        <v>0</v>
      </c>
    </row>
    <row r="182" spans="1:7" x14ac:dyDescent="0.25">
      <c r="A182">
        <v>181</v>
      </c>
      <c r="B182">
        <v>9.6</v>
      </c>
      <c r="C182">
        <v>1</v>
      </c>
      <c r="D182" t="s">
        <v>6</v>
      </c>
      <c r="E182">
        <v>1</v>
      </c>
      <c r="F182" t="str">
        <f t="shared" si="5"/>
        <v>NIE</v>
      </c>
      <c r="G182">
        <f t="shared" si="4"/>
        <v>0</v>
      </c>
    </row>
    <row r="183" spans="1:7" x14ac:dyDescent="0.25">
      <c r="A183">
        <v>182</v>
      </c>
      <c r="B183">
        <v>5.9</v>
      </c>
      <c r="C183">
        <v>2</v>
      </c>
      <c r="D183" t="s">
        <v>6</v>
      </c>
      <c r="E183">
        <v>2</v>
      </c>
      <c r="F183" t="str">
        <f t="shared" si="5"/>
        <v>NIE</v>
      </c>
      <c r="G183">
        <f t="shared" si="4"/>
        <v>0</v>
      </c>
    </row>
    <row r="184" spans="1:7" x14ac:dyDescent="0.25">
      <c r="A184">
        <v>183</v>
      </c>
      <c r="B184">
        <v>2.8</v>
      </c>
      <c r="C184">
        <v>6</v>
      </c>
      <c r="D184" t="s">
        <v>6</v>
      </c>
      <c r="E184">
        <v>2</v>
      </c>
      <c r="F184" t="str">
        <f t="shared" si="5"/>
        <v>NIE</v>
      </c>
      <c r="G184">
        <f t="shared" si="4"/>
        <v>0</v>
      </c>
    </row>
    <row r="185" spans="1:7" x14ac:dyDescent="0.25">
      <c r="A185">
        <v>184</v>
      </c>
      <c r="B185">
        <v>1</v>
      </c>
      <c r="C185">
        <v>9</v>
      </c>
      <c r="D185" t="s">
        <v>6</v>
      </c>
      <c r="E185">
        <v>2</v>
      </c>
      <c r="F185" t="str">
        <f t="shared" si="5"/>
        <v>NIE</v>
      </c>
      <c r="G185">
        <f t="shared" si="4"/>
        <v>0</v>
      </c>
    </row>
    <row r="186" spans="1:7" x14ac:dyDescent="0.25">
      <c r="A186">
        <v>185</v>
      </c>
      <c r="B186">
        <v>0.9</v>
      </c>
      <c r="C186">
        <v>6</v>
      </c>
      <c r="D186" t="s">
        <v>6</v>
      </c>
      <c r="E186">
        <v>3</v>
      </c>
      <c r="F186" t="str">
        <f t="shared" si="5"/>
        <v>NIE</v>
      </c>
      <c r="G186">
        <f t="shared" si="4"/>
        <v>0</v>
      </c>
    </row>
    <row r="187" spans="1:7" x14ac:dyDescent="0.25">
      <c r="A187">
        <v>186</v>
      </c>
      <c r="B187">
        <v>2.5</v>
      </c>
      <c r="C187">
        <v>1</v>
      </c>
      <c r="D187" t="s">
        <v>6</v>
      </c>
      <c r="E187">
        <v>3</v>
      </c>
      <c r="F187" t="str">
        <f t="shared" si="5"/>
        <v>TAK</v>
      </c>
      <c r="G187">
        <f t="shared" si="4"/>
        <v>1</v>
      </c>
    </row>
    <row r="188" spans="1:7" x14ac:dyDescent="0.25">
      <c r="A188">
        <v>187</v>
      </c>
      <c r="B188">
        <v>5</v>
      </c>
      <c r="C188">
        <v>3</v>
      </c>
      <c r="D188" t="s">
        <v>6</v>
      </c>
      <c r="E188">
        <v>3</v>
      </c>
      <c r="F188" t="str">
        <f t="shared" si="5"/>
        <v>TAK</v>
      </c>
      <c r="G188">
        <f t="shared" si="4"/>
        <v>2</v>
      </c>
    </row>
    <row r="189" spans="1:7" x14ac:dyDescent="0.25">
      <c r="A189">
        <v>188</v>
      </c>
      <c r="B189">
        <v>7.7</v>
      </c>
      <c r="C189">
        <v>7</v>
      </c>
      <c r="D189" t="s">
        <v>6</v>
      </c>
      <c r="E189">
        <v>4</v>
      </c>
      <c r="F189" t="str">
        <f t="shared" si="5"/>
        <v>TAK</v>
      </c>
      <c r="G189">
        <f t="shared" si="4"/>
        <v>3</v>
      </c>
    </row>
    <row r="190" spans="1:7" x14ac:dyDescent="0.25">
      <c r="A190">
        <v>189</v>
      </c>
      <c r="B190">
        <v>9.6999999999999993</v>
      </c>
      <c r="C190">
        <v>6</v>
      </c>
      <c r="D190" t="s">
        <v>6</v>
      </c>
      <c r="E190">
        <v>4</v>
      </c>
      <c r="F190" t="str">
        <f t="shared" si="5"/>
        <v>TAK</v>
      </c>
      <c r="G190">
        <f t="shared" si="4"/>
        <v>4</v>
      </c>
    </row>
    <row r="191" spans="1:7" x14ac:dyDescent="0.25">
      <c r="A191">
        <v>190</v>
      </c>
      <c r="B191">
        <v>10.4</v>
      </c>
      <c r="C191">
        <v>3</v>
      </c>
      <c r="D191" t="s">
        <v>6</v>
      </c>
      <c r="E191">
        <v>4</v>
      </c>
      <c r="F191" t="str">
        <f t="shared" si="5"/>
        <v>TAK</v>
      </c>
      <c r="G191">
        <f t="shared" si="4"/>
        <v>5</v>
      </c>
    </row>
    <row r="192" spans="1:7" x14ac:dyDescent="0.25">
      <c r="A192">
        <v>191</v>
      </c>
      <c r="B192">
        <v>9.6999999999999993</v>
      </c>
      <c r="C192">
        <v>22</v>
      </c>
      <c r="D192" t="s">
        <v>6</v>
      </c>
      <c r="E192">
        <v>5</v>
      </c>
      <c r="F192" t="str">
        <f t="shared" si="5"/>
        <v>NIE</v>
      </c>
      <c r="G192">
        <f t="shared" si="4"/>
        <v>0</v>
      </c>
    </row>
    <row r="193" spans="1:7" x14ac:dyDescent="0.25">
      <c r="A193">
        <v>192</v>
      </c>
      <c r="B193">
        <v>8</v>
      </c>
      <c r="C193">
        <v>0</v>
      </c>
      <c r="D193" t="s">
        <v>5</v>
      </c>
      <c r="E193">
        <v>0</v>
      </c>
      <c r="F193" t="str">
        <f t="shared" si="5"/>
        <v>NIE</v>
      </c>
      <c r="G193">
        <f t="shared" si="4"/>
        <v>0</v>
      </c>
    </row>
    <row r="194" spans="1:7" x14ac:dyDescent="0.25">
      <c r="A194">
        <v>193</v>
      </c>
      <c r="B194">
        <v>5.9</v>
      </c>
      <c r="C194">
        <v>3</v>
      </c>
      <c r="D194" t="s">
        <v>7</v>
      </c>
      <c r="E194">
        <v>1</v>
      </c>
      <c r="F194" t="str">
        <f t="shared" si="5"/>
        <v>NIE</v>
      </c>
      <c r="G194">
        <f t="shared" si="4"/>
        <v>0</v>
      </c>
    </row>
    <row r="195" spans="1:7" x14ac:dyDescent="0.25">
      <c r="A195">
        <v>194</v>
      </c>
      <c r="B195">
        <v>4.4000000000000004</v>
      </c>
      <c r="C195">
        <v>4</v>
      </c>
      <c r="D195" t="s">
        <v>7</v>
      </c>
      <c r="E195">
        <v>1</v>
      </c>
      <c r="F195" t="str">
        <f t="shared" si="5"/>
        <v>NIE</v>
      </c>
      <c r="G195">
        <f t="shared" si="4"/>
        <v>0</v>
      </c>
    </row>
    <row r="196" spans="1:7" x14ac:dyDescent="0.25">
      <c r="A196">
        <v>195</v>
      </c>
      <c r="B196">
        <v>4.2</v>
      </c>
      <c r="C196">
        <v>6</v>
      </c>
      <c r="D196" t="s">
        <v>7</v>
      </c>
      <c r="E196">
        <v>1</v>
      </c>
      <c r="F196" t="str">
        <f t="shared" si="5"/>
        <v>NIE</v>
      </c>
      <c r="G196">
        <f t="shared" ref="G196:G259" si="6">IF(F196 = "TAK",G195+1,0)</f>
        <v>0</v>
      </c>
    </row>
    <row r="197" spans="1:7" x14ac:dyDescent="0.25">
      <c r="A197">
        <v>196</v>
      </c>
      <c r="B197">
        <v>5.6</v>
      </c>
      <c r="C197">
        <v>8</v>
      </c>
      <c r="D197" t="s">
        <v>7</v>
      </c>
      <c r="E197">
        <v>2</v>
      </c>
      <c r="F197" t="str">
        <f t="shared" ref="F197:F260" si="7">IF(B196&lt;B197,"TAK","NIE")</f>
        <v>TAK</v>
      </c>
      <c r="G197">
        <f t="shared" si="6"/>
        <v>1</v>
      </c>
    </row>
    <row r="198" spans="1:7" x14ac:dyDescent="0.25">
      <c r="A198">
        <v>197</v>
      </c>
      <c r="B198">
        <v>8.6</v>
      </c>
      <c r="C198">
        <v>12</v>
      </c>
      <c r="D198" t="s">
        <v>7</v>
      </c>
      <c r="E198">
        <v>2</v>
      </c>
      <c r="F198" t="str">
        <f t="shared" si="7"/>
        <v>TAK</v>
      </c>
      <c r="G198">
        <f t="shared" si="6"/>
        <v>2</v>
      </c>
    </row>
    <row r="199" spans="1:7" x14ac:dyDescent="0.25">
      <c r="A199">
        <v>198</v>
      </c>
      <c r="B199">
        <v>12.5</v>
      </c>
      <c r="C199">
        <v>9</v>
      </c>
      <c r="D199" t="s">
        <v>7</v>
      </c>
      <c r="E199">
        <v>2</v>
      </c>
      <c r="F199" t="str">
        <f t="shared" si="7"/>
        <v>TAK</v>
      </c>
      <c r="G199">
        <f t="shared" si="6"/>
        <v>3</v>
      </c>
    </row>
    <row r="200" spans="1:7" x14ac:dyDescent="0.25">
      <c r="A200">
        <v>199</v>
      </c>
      <c r="B200">
        <v>16.399999999999999</v>
      </c>
      <c r="C200">
        <v>14</v>
      </c>
      <c r="D200" t="s">
        <v>7</v>
      </c>
      <c r="E200">
        <v>3</v>
      </c>
      <c r="F200" t="str">
        <f t="shared" si="7"/>
        <v>TAK</v>
      </c>
      <c r="G200">
        <f t="shared" si="6"/>
        <v>4</v>
      </c>
    </row>
    <row r="201" spans="1:7" x14ac:dyDescent="0.25">
      <c r="A201">
        <v>200</v>
      </c>
      <c r="B201">
        <v>19.5</v>
      </c>
      <c r="C201">
        <v>12</v>
      </c>
      <c r="D201" t="s">
        <v>7</v>
      </c>
      <c r="E201">
        <v>3</v>
      </c>
      <c r="F201" t="str">
        <f t="shared" si="7"/>
        <v>TAK</v>
      </c>
      <c r="G201">
        <f t="shared" si="6"/>
        <v>5</v>
      </c>
    </row>
    <row r="202" spans="1:7" x14ac:dyDescent="0.25">
      <c r="A202">
        <v>201</v>
      </c>
      <c r="B202">
        <v>21.2</v>
      </c>
      <c r="C202">
        <v>1</v>
      </c>
      <c r="D202" t="s">
        <v>7</v>
      </c>
      <c r="E202">
        <v>3</v>
      </c>
      <c r="F202" t="str">
        <f t="shared" si="7"/>
        <v>TAK</v>
      </c>
      <c r="G202">
        <f t="shared" si="6"/>
        <v>6</v>
      </c>
    </row>
    <row r="203" spans="1:7" x14ac:dyDescent="0.25">
      <c r="A203">
        <v>202</v>
      </c>
      <c r="B203">
        <v>21.3</v>
      </c>
      <c r="C203">
        <v>11</v>
      </c>
      <c r="D203" t="s">
        <v>7</v>
      </c>
      <c r="E203">
        <v>4</v>
      </c>
      <c r="F203" t="str">
        <f t="shared" si="7"/>
        <v>TAK</v>
      </c>
      <c r="G203">
        <f t="shared" si="6"/>
        <v>7</v>
      </c>
    </row>
    <row r="204" spans="1:7" x14ac:dyDescent="0.25">
      <c r="A204">
        <v>203</v>
      </c>
      <c r="B204">
        <v>20.100000000000001</v>
      </c>
      <c r="C204">
        <v>6</v>
      </c>
      <c r="D204" t="s">
        <v>7</v>
      </c>
      <c r="E204">
        <v>4</v>
      </c>
      <c r="F204" t="str">
        <f t="shared" si="7"/>
        <v>NIE</v>
      </c>
      <c r="G204">
        <f t="shared" si="6"/>
        <v>0</v>
      </c>
    </row>
    <row r="205" spans="1:7" x14ac:dyDescent="0.25">
      <c r="A205">
        <v>204</v>
      </c>
      <c r="B205">
        <v>18.399999999999999</v>
      </c>
      <c r="C205">
        <v>3</v>
      </c>
      <c r="D205" t="s">
        <v>7</v>
      </c>
      <c r="E205">
        <v>4</v>
      </c>
      <c r="F205" t="str">
        <f t="shared" si="7"/>
        <v>NIE</v>
      </c>
      <c r="G205">
        <f t="shared" si="6"/>
        <v>0</v>
      </c>
    </row>
    <row r="206" spans="1:7" x14ac:dyDescent="0.25">
      <c r="A206">
        <v>205</v>
      </c>
      <c r="B206">
        <v>17.100000000000001</v>
      </c>
      <c r="C206">
        <v>15</v>
      </c>
      <c r="D206" t="s">
        <v>7</v>
      </c>
      <c r="E206">
        <v>5</v>
      </c>
      <c r="F206" t="str">
        <f t="shared" si="7"/>
        <v>NIE</v>
      </c>
      <c r="G206">
        <f t="shared" si="6"/>
        <v>0</v>
      </c>
    </row>
    <row r="207" spans="1:7" x14ac:dyDescent="0.25">
      <c r="A207">
        <v>206</v>
      </c>
      <c r="B207">
        <v>16.899999999999999</v>
      </c>
      <c r="C207">
        <v>16</v>
      </c>
      <c r="D207" t="s">
        <v>7</v>
      </c>
      <c r="E207">
        <v>5</v>
      </c>
      <c r="F207" t="str">
        <f t="shared" si="7"/>
        <v>NIE</v>
      </c>
      <c r="G207">
        <f t="shared" si="6"/>
        <v>0</v>
      </c>
    </row>
    <row r="208" spans="1:7" x14ac:dyDescent="0.25">
      <c r="A208">
        <v>207</v>
      </c>
      <c r="B208">
        <v>18.2</v>
      </c>
      <c r="C208">
        <v>17</v>
      </c>
      <c r="D208" t="s">
        <v>7</v>
      </c>
      <c r="E208">
        <v>5</v>
      </c>
      <c r="F208" t="str">
        <f t="shared" si="7"/>
        <v>TAK</v>
      </c>
      <c r="G208">
        <f t="shared" si="6"/>
        <v>1</v>
      </c>
    </row>
    <row r="209" spans="1:7" x14ac:dyDescent="0.25">
      <c r="A209">
        <v>208</v>
      </c>
      <c r="B209">
        <v>20.7</v>
      </c>
      <c r="C209">
        <v>18</v>
      </c>
      <c r="D209" t="s">
        <v>7</v>
      </c>
      <c r="E209">
        <v>5</v>
      </c>
      <c r="F209" t="str">
        <f t="shared" si="7"/>
        <v>TAK</v>
      </c>
      <c r="G209">
        <f t="shared" si="6"/>
        <v>2</v>
      </c>
    </row>
    <row r="210" spans="1:7" x14ac:dyDescent="0.25">
      <c r="A210">
        <v>209</v>
      </c>
      <c r="B210">
        <v>24</v>
      </c>
      <c r="C210">
        <v>13</v>
      </c>
      <c r="D210" t="s">
        <v>7</v>
      </c>
      <c r="E210">
        <v>5</v>
      </c>
      <c r="F210" t="str">
        <f t="shared" si="7"/>
        <v>TAK</v>
      </c>
      <c r="G210">
        <f t="shared" si="6"/>
        <v>3</v>
      </c>
    </row>
    <row r="211" spans="1:7" x14ac:dyDescent="0.25">
      <c r="A211">
        <v>210</v>
      </c>
      <c r="B211">
        <v>27.2</v>
      </c>
      <c r="C211">
        <v>27</v>
      </c>
      <c r="D211" t="s">
        <v>7</v>
      </c>
      <c r="E211">
        <v>5</v>
      </c>
      <c r="F211" t="str">
        <f t="shared" si="7"/>
        <v>TAK</v>
      </c>
      <c r="G211">
        <f t="shared" si="6"/>
        <v>4</v>
      </c>
    </row>
    <row r="212" spans="1:7" x14ac:dyDescent="0.25">
      <c r="A212">
        <v>211</v>
      </c>
      <c r="B212">
        <v>29.4</v>
      </c>
      <c r="C212">
        <v>0</v>
      </c>
      <c r="D212" t="s">
        <v>5</v>
      </c>
      <c r="E212">
        <v>0</v>
      </c>
      <c r="F212" t="str">
        <f t="shared" si="7"/>
        <v>TAK</v>
      </c>
      <c r="G212">
        <f t="shared" si="6"/>
        <v>5</v>
      </c>
    </row>
    <row r="213" spans="1:7" x14ac:dyDescent="0.25">
      <c r="A213">
        <v>212</v>
      </c>
      <c r="B213">
        <v>29.9</v>
      </c>
      <c r="C213">
        <v>2</v>
      </c>
      <c r="D213" t="s">
        <v>6</v>
      </c>
      <c r="E213">
        <v>1</v>
      </c>
      <c r="F213" t="str">
        <f t="shared" si="7"/>
        <v>TAK</v>
      </c>
      <c r="G213">
        <f t="shared" si="6"/>
        <v>6</v>
      </c>
    </row>
    <row r="214" spans="1:7" x14ac:dyDescent="0.25">
      <c r="A214">
        <v>213</v>
      </c>
      <c r="B214">
        <v>28.8</v>
      </c>
      <c r="C214">
        <v>4</v>
      </c>
      <c r="D214" t="s">
        <v>6</v>
      </c>
      <c r="E214">
        <v>1</v>
      </c>
      <c r="F214" t="str">
        <f t="shared" si="7"/>
        <v>NIE</v>
      </c>
      <c r="G214">
        <f t="shared" si="6"/>
        <v>0</v>
      </c>
    </row>
    <row r="215" spans="1:7" x14ac:dyDescent="0.25">
      <c r="A215">
        <v>214</v>
      </c>
      <c r="B215">
        <v>26.2</v>
      </c>
      <c r="C215">
        <v>2</v>
      </c>
      <c r="D215" t="s">
        <v>6</v>
      </c>
      <c r="E215">
        <v>1</v>
      </c>
      <c r="F215" t="str">
        <f t="shared" si="7"/>
        <v>NIE</v>
      </c>
      <c r="G215">
        <f t="shared" si="6"/>
        <v>0</v>
      </c>
    </row>
    <row r="216" spans="1:7" x14ac:dyDescent="0.25">
      <c r="A216">
        <v>215</v>
      </c>
      <c r="B216">
        <v>23.1</v>
      </c>
      <c r="C216">
        <v>11</v>
      </c>
      <c r="D216" t="s">
        <v>6</v>
      </c>
      <c r="E216">
        <v>1</v>
      </c>
      <c r="F216" t="str">
        <f t="shared" si="7"/>
        <v>NIE</v>
      </c>
      <c r="G216">
        <f t="shared" si="6"/>
        <v>0</v>
      </c>
    </row>
    <row r="217" spans="1:7" x14ac:dyDescent="0.25">
      <c r="A217">
        <v>216</v>
      </c>
      <c r="B217">
        <v>20.3</v>
      </c>
      <c r="C217">
        <v>1</v>
      </c>
      <c r="D217" t="s">
        <v>6</v>
      </c>
      <c r="E217">
        <v>2</v>
      </c>
      <c r="F217" t="str">
        <f t="shared" si="7"/>
        <v>NIE</v>
      </c>
      <c r="G217">
        <f t="shared" si="6"/>
        <v>0</v>
      </c>
    </row>
    <row r="218" spans="1:7" x14ac:dyDescent="0.25">
      <c r="A218">
        <v>217</v>
      </c>
      <c r="B218">
        <v>18.5</v>
      </c>
      <c r="C218">
        <v>7</v>
      </c>
      <c r="D218" t="s">
        <v>6</v>
      </c>
      <c r="E218">
        <v>2</v>
      </c>
      <c r="F218" t="str">
        <f t="shared" si="7"/>
        <v>NIE</v>
      </c>
      <c r="G218">
        <f t="shared" si="6"/>
        <v>0</v>
      </c>
    </row>
    <row r="219" spans="1:7" x14ac:dyDescent="0.25">
      <c r="A219">
        <v>218</v>
      </c>
      <c r="B219">
        <v>18.2</v>
      </c>
      <c r="C219">
        <v>10</v>
      </c>
      <c r="D219" t="s">
        <v>6</v>
      </c>
      <c r="E219">
        <v>3</v>
      </c>
      <c r="F219" t="str">
        <f t="shared" si="7"/>
        <v>NIE</v>
      </c>
      <c r="G219">
        <f t="shared" si="6"/>
        <v>0</v>
      </c>
    </row>
    <row r="220" spans="1:7" x14ac:dyDescent="0.25">
      <c r="A220">
        <v>219</v>
      </c>
      <c r="B220">
        <v>19.100000000000001</v>
      </c>
      <c r="C220">
        <v>10</v>
      </c>
      <c r="D220" t="s">
        <v>6</v>
      </c>
      <c r="E220">
        <v>3</v>
      </c>
      <c r="F220" t="str">
        <f t="shared" si="7"/>
        <v>TAK</v>
      </c>
      <c r="G220">
        <f t="shared" si="6"/>
        <v>1</v>
      </c>
    </row>
    <row r="221" spans="1:7" x14ac:dyDescent="0.25">
      <c r="A221">
        <v>220</v>
      </c>
      <c r="B221">
        <v>20.9</v>
      </c>
      <c r="C221">
        <v>1</v>
      </c>
      <c r="D221" t="s">
        <v>6</v>
      </c>
      <c r="E221">
        <v>3</v>
      </c>
      <c r="F221" t="str">
        <f t="shared" si="7"/>
        <v>TAK</v>
      </c>
      <c r="G221">
        <f t="shared" si="6"/>
        <v>2</v>
      </c>
    </row>
    <row r="222" spans="1:7" x14ac:dyDescent="0.25">
      <c r="A222">
        <v>221</v>
      </c>
      <c r="B222">
        <v>22.5</v>
      </c>
      <c r="C222">
        <v>4</v>
      </c>
      <c r="D222" t="s">
        <v>6</v>
      </c>
      <c r="E222">
        <v>4</v>
      </c>
      <c r="F222" t="str">
        <f t="shared" si="7"/>
        <v>TAK</v>
      </c>
      <c r="G222">
        <f t="shared" si="6"/>
        <v>3</v>
      </c>
    </row>
    <row r="223" spans="1:7" x14ac:dyDescent="0.25">
      <c r="A223">
        <v>222</v>
      </c>
      <c r="B223">
        <v>23.2</v>
      </c>
      <c r="C223">
        <v>12</v>
      </c>
      <c r="D223" t="s">
        <v>6</v>
      </c>
      <c r="E223">
        <v>4</v>
      </c>
      <c r="F223" t="str">
        <f t="shared" si="7"/>
        <v>TAK</v>
      </c>
      <c r="G223">
        <f t="shared" si="6"/>
        <v>4</v>
      </c>
    </row>
    <row r="224" spans="1:7" x14ac:dyDescent="0.25">
      <c r="A224">
        <v>223</v>
      </c>
      <c r="B224">
        <v>22.4</v>
      </c>
      <c r="C224">
        <v>7</v>
      </c>
      <c r="D224" t="s">
        <v>6</v>
      </c>
      <c r="E224">
        <v>4</v>
      </c>
      <c r="F224" t="str">
        <f t="shared" si="7"/>
        <v>NIE</v>
      </c>
      <c r="G224">
        <f t="shared" si="6"/>
        <v>0</v>
      </c>
    </row>
    <row r="225" spans="1:7" x14ac:dyDescent="0.25">
      <c r="A225">
        <v>224</v>
      </c>
      <c r="B225">
        <v>20</v>
      </c>
      <c r="C225">
        <v>16</v>
      </c>
      <c r="D225" t="s">
        <v>6</v>
      </c>
      <c r="E225">
        <v>5</v>
      </c>
      <c r="F225" t="str">
        <f t="shared" si="7"/>
        <v>NIE</v>
      </c>
      <c r="G225">
        <f t="shared" si="6"/>
        <v>0</v>
      </c>
    </row>
    <row r="226" spans="1:7" x14ac:dyDescent="0.25">
      <c r="A226">
        <v>225</v>
      </c>
      <c r="B226">
        <v>16.399999999999999</v>
      </c>
      <c r="C226">
        <v>24</v>
      </c>
      <c r="D226" t="s">
        <v>6</v>
      </c>
      <c r="E226">
        <v>5</v>
      </c>
      <c r="F226" t="str">
        <f t="shared" si="7"/>
        <v>NIE</v>
      </c>
      <c r="G226">
        <f t="shared" si="6"/>
        <v>0</v>
      </c>
    </row>
    <row r="227" spans="1:7" x14ac:dyDescent="0.25">
      <c r="A227">
        <v>226</v>
      </c>
      <c r="B227">
        <v>12.3</v>
      </c>
      <c r="C227">
        <v>0</v>
      </c>
      <c r="D227" t="s">
        <v>5</v>
      </c>
      <c r="E227">
        <v>0</v>
      </c>
      <c r="F227" t="str">
        <f t="shared" si="7"/>
        <v>NIE</v>
      </c>
      <c r="G227">
        <f t="shared" si="6"/>
        <v>0</v>
      </c>
    </row>
    <row r="228" spans="1:7" x14ac:dyDescent="0.25">
      <c r="A228">
        <v>227</v>
      </c>
      <c r="B228">
        <v>8.6999999999999993</v>
      </c>
      <c r="C228">
        <v>5</v>
      </c>
      <c r="D228" t="s">
        <v>7</v>
      </c>
      <c r="E228">
        <v>1</v>
      </c>
      <c r="F228" t="str">
        <f t="shared" si="7"/>
        <v>NIE</v>
      </c>
      <c r="G228">
        <f t="shared" si="6"/>
        <v>0</v>
      </c>
    </row>
    <row r="229" spans="1:7" x14ac:dyDescent="0.25">
      <c r="A229">
        <v>228</v>
      </c>
      <c r="B229">
        <v>6.4</v>
      </c>
      <c r="C229">
        <v>1</v>
      </c>
      <c r="D229" t="s">
        <v>7</v>
      </c>
      <c r="E229">
        <v>1</v>
      </c>
      <c r="F229" t="str">
        <f t="shared" si="7"/>
        <v>NIE</v>
      </c>
      <c r="G229">
        <f t="shared" si="6"/>
        <v>0</v>
      </c>
    </row>
    <row r="230" spans="1:7" x14ac:dyDescent="0.25">
      <c r="A230">
        <v>229</v>
      </c>
      <c r="B230">
        <v>5.6</v>
      </c>
      <c r="C230">
        <v>6</v>
      </c>
      <c r="D230" t="s">
        <v>7</v>
      </c>
      <c r="E230">
        <v>1</v>
      </c>
      <c r="F230" t="str">
        <f t="shared" si="7"/>
        <v>NIE</v>
      </c>
      <c r="G230">
        <f t="shared" si="6"/>
        <v>0</v>
      </c>
    </row>
    <row r="231" spans="1:7" x14ac:dyDescent="0.25">
      <c r="A231">
        <v>230</v>
      </c>
      <c r="B231">
        <v>6.4</v>
      </c>
      <c r="C231">
        <v>12</v>
      </c>
      <c r="D231" t="s">
        <v>7</v>
      </c>
      <c r="E231">
        <v>2</v>
      </c>
      <c r="F231" t="str">
        <f t="shared" si="7"/>
        <v>TAK</v>
      </c>
      <c r="G231">
        <f t="shared" si="6"/>
        <v>1</v>
      </c>
    </row>
    <row r="232" spans="1:7" x14ac:dyDescent="0.25">
      <c r="A232">
        <v>231</v>
      </c>
      <c r="B232">
        <v>8.1999999999999993</v>
      </c>
      <c r="C232">
        <v>3</v>
      </c>
      <c r="D232" t="s">
        <v>7</v>
      </c>
      <c r="E232">
        <v>2</v>
      </c>
      <c r="F232" t="str">
        <f t="shared" si="7"/>
        <v>TAK</v>
      </c>
      <c r="G232">
        <f t="shared" si="6"/>
        <v>2</v>
      </c>
    </row>
    <row r="233" spans="1:7" x14ac:dyDescent="0.25">
      <c r="A233">
        <v>232</v>
      </c>
      <c r="B233">
        <v>10</v>
      </c>
      <c r="C233">
        <v>12</v>
      </c>
      <c r="D233" t="s">
        <v>7</v>
      </c>
      <c r="E233">
        <v>2</v>
      </c>
      <c r="F233" t="str">
        <f t="shared" si="7"/>
        <v>TAK</v>
      </c>
      <c r="G233">
        <f t="shared" si="6"/>
        <v>3</v>
      </c>
    </row>
    <row r="234" spans="1:7" x14ac:dyDescent="0.25">
      <c r="A234">
        <v>233</v>
      </c>
      <c r="B234">
        <v>11.1</v>
      </c>
      <c r="C234">
        <v>17</v>
      </c>
      <c r="D234" t="s">
        <v>7</v>
      </c>
      <c r="E234">
        <v>3</v>
      </c>
      <c r="F234" t="str">
        <f t="shared" si="7"/>
        <v>TAK</v>
      </c>
      <c r="G234">
        <f t="shared" si="6"/>
        <v>4</v>
      </c>
    </row>
    <row r="235" spans="1:7" x14ac:dyDescent="0.25">
      <c r="A235">
        <v>234</v>
      </c>
      <c r="B235">
        <v>10.9</v>
      </c>
      <c r="C235">
        <v>16</v>
      </c>
      <c r="D235" t="s">
        <v>7</v>
      </c>
      <c r="E235">
        <v>3</v>
      </c>
      <c r="F235" t="str">
        <f t="shared" si="7"/>
        <v>NIE</v>
      </c>
      <c r="G235">
        <f t="shared" si="6"/>
        <v>0</v>
      </c>
    </row>
    <row r="236" spans="1:7" x14ac:dyDescent="0.25">
      <c r="A236">
        <v>235</v>
      </c>
      <c r="B236">
        <v>9.3000000000000007</v>
      </c>
      <c r="C236">
        <v>3</v>
      </c>
      <c r="D236" t="s">
        <v>7</v>
      </c>
      <c r="E236">
        <v>3</v>
      </c>
      <c r="F236" t="str">
        <f t="shared" si="7"/>
        <v>NIE</v>
      </c>
      <c r="G236">
        <f t="shared" si="6"/>
        <v>0</v>
      </c>
    </row>
    <row r="237" spans="1:7" x14ac:dyDescent="0.25">
      <c r="A237">
        <v>236</v>
      </c>
      <c r="B237">
        <v>6.6</v>
      </c>
      <c r="C237">
        <v>21</v>
      </c>
      <c r="D237" t="s">
        <v>7</v>
      </c>
      <c r="E237">
        <v>4</v>
      </c>
      <c r="F237" t="str">
        <f t="shared" si="7"/>
        <v>NIE</v>
      </c>
      <c r="G237">
        <f t="shared" si="6"/>
        <v>0</v>
      </c>
    </row>
    <row r="238" spans="1:7" x14ac:dyDescent="0.25">
      <c r="A238">
        <v>237</v>
      </c>
      <c r="B238">
        <v>3.6</v>
      </c>
      <c r="C238">
        <v>18</v>
      </c>
      <c r="D238" t="s">
        <v>7</v>
      </c>
      <c r="E238">
        <v>4</v>
      </c>
      <c r="F238" t="str">
        <f t="shared" si="7"/>
        <v>NIE</v>
      </c>
      <c r="G238">
        <f t="shared" si="6"/>
        <v>0</v>
      </c>
    </row>
    <row r="239" spans="1:7" x14ac:dyDescent="0.25">
      <c r="A239">
        <v>238</v>
      </c>
      <c r="B239">
        <v>1.2</v>
      </c>
      <c r="C239">
        <v>13</v>
      </c>
      <c r="D239" t="s">
        <v>7</v>
      </c>
      <c r="E239">
        <v>4</v>
      </c>
      <c r="F239" t="str">
        <f t="shared" si="7"/>
        <v>NIE</v>
      </c>
      <c r="G239">
        <f t="shared" si="6"/>
        <v>0</v>
      </c>
    </row>
    <row r="240" spans="1:7" x14ac:dyDescent="0.25">
      <c r="A240">
        <v>239</v>
      </c>
      <c r="B240">
        <v>0.2</v>
      </c>
      <c r="C240">
        <v>29</v>
      </c>
      <c r="D240" t="s">
        <v>7</v>
      </c>
      <c r="E240">
        <v>5</v>
      </c>
      <c r="F240" t="str">
        <f t="shared" si="7"/>
        <v>NIE</v>
      </c>
      <c r="G240">
        <f t="shared" si="6"/>
        <v>0</v>
      </c>
    </row>
    <row r="241" spans="1:7" x14ac:dyDescent="0.25">
      <c r="A241">
        <v>240</v>
      </c>
      <c r="B241">
        <v>0.9</v>
      </c>
      <c r="C241">
        <v>0</v>
      </c>
      <c r="D241" t="s">
        <v>5</v>
      </c>
      <c r="E241">
        <v>0</v>
      </c>
      <c r="F241" t="str">
        <f t="shared" si="7"/>
        <v>TAK</v>
      </c>
      <c r="G241">
        <f t="shared" si="6"/>
        <v>1</v>
      </c>
    </row>
    <row r="242" spans="1:7" x14ac:dyDescent="0.25">
      <c r="A242">
        <v>241</v>
      </c>
      <c r="B242">
        <v>3.2</v>
      </c>
      <c r="C242">
        <v>6</v>
      </c>
      <c r="D242" t="s">
        <v>7</v>
      </c>
      <c r="E242">
        <v>1</v>
      </c>
      <c r="F242" t="str">
        <f t="shared" si="7"/>
        <v>TAK</v>
      </c>
      <c r="G242">
        <f t="shared" si="6"/>
        <v>2</v>
      </c>
    </row>
    <row r="243" spans="1:7" x14ac:dyDescent="0.25">
      <c r="A243">
        <v>242</v>
      </c>
      <c r="B243">
        <v>6.6</v>
      </c>
      <c r="C243">
        <v>5</v>
      </c>
      <c r="D243" t="s">
        <v>7</v>
      </c>
      <c r="E243">
        <v>1</v>
      </c>
      <c r="F243" t="str">
        <f t="shared" si="7"/>
        <v>TAK</v>
      </c>
      <c r="G243">
        <f t="shared" si="6"/>
        <v>3</v>
      </c>
    </row>
    <row r="244" spans="1:7" x14ac:dyDescent="0.25">
      <c r="A244">
        <v>243</v>
      </c>
      <c r="B244">
        <v>10</v>
      </c>
      <c r="C244">
        <v>2</v>
      </c>
      <c r="D244" t="s">
        <v>7</v>
      </c>
      <c r="E244">
        <v>1</v>
      </c>
      <c r="F244" t="str">
        <f t="shared" si="7"/>
        <v>TAK</v>
      </c>
      <c r="G244">
        <f t="shared" si="6"/>
        <v>4</v>
      </c>
    </row>
    <row r="245" spans="1:7" x14ac:dyDescent="0.25">
      <c r="A245">
        <v>244</v>
      </c>
      <c r="B245">
        <v>12.7</v>
      </c>
      <c r="C245">
        <v>8</v>
      </c>
      <c r="D245" t="s">
        <v>7</v>
      </c>
      <c r="E245">
        <v>2</v>
      </c>
      <c r="F245" t="str">
        <f t="shared" si="7"/>
        <v>TAK</v>
      </c>
      <c r="G245">
        <f t="shared" si="6"/>
        <v>5</v>
      </c>
    </row>
    <row r="246" spans="1:7" x14ac:dyDescent="0.25">
      <c r="A246">
        <v>245</v>
      </c>
      <c r="B246">
        <v>14.1</v>
      </c>
      <c r="C246">
        <v>1</v>
      </c>
      <c r="D246" t="s">
        <v>7</v>
      </c>
      <c r="E246">
        <v>2</v>
      </c>
      <c r="F246" t="str">
        <f t="shared" si="7"/>
        <v>TAK</v>
      </c>
      <c r="G246">
        <f t="shared" si="6"/>
        <v>6</v>
      </c>
    </row>
    <row r="247" spans="1:7" x14ac:dyDescent="0.25">
      <c r="A247">
        <v>246</v>
      </c>
      <c r="B247">
        <v>14</v>
      </c>
      <c r="C247">
        <v>11</v>
      </c>
      <c r="D247" t="s">
        <v>7</v>
      </c>
      <c r="E247">
        <v>2</v>
      </c>
      <c r="F247" t="str">
        <f t="shared" si="7"/>
        <v>NIE</v>
      </c>
      <c r="G247">
        <f t="shared" si="6"/>
        <v>0</v>
      </c>
    </row>
    <row r="248" spans="1:7" x14ac:dyDescent="0.25">
      <c r="A248">
        <v>247</v>
      </c>
      <c r="B248">
        <v>12.7</v>
      </c>
      <c r="C248">
        <v>13</v>
      </c>
      <c r="D248" t="s">
        <v>7</v>
      </c>
      <c r="E248">
        <v>3</v>
      </c>
      <c r="F248" t="str">
        <f t="shared" si="7"/>
        <v>NIE</v>
      </c>
      <c r="G248">
        <f t="shared" si="6"/>
        <v>0</v>
      </c>
    </row>
    <row r="249" spans="1:7" x14ac:dyDescent="0.25">
      <c r="A249">
        <v>248</v>
      </c>
      <c r="B249">
        <v>11.1</v>
      </c>
      <c r="C249">
        <v>18</v>
      </c>
      <c r="D249" t="s">
        <v>7</v>
      </c>
      <c r="E249">
        <v>3</v>
      </c>
      <c r="F249" t="str">
        <f t="shared" si="7"/>
        <v>NIE</v>
      </c>
      <c r="G249">
        <f t="shared" si="6"/>
        <v>0</v>
      </c>
    </row>
    <row r="250" spans="1:7" x14ac:dyDescent="0.25">
      <c r="A250">
        <v>249</v>
      </c>
      <c r="B250">
        <v>10</v>
      </c>
      <c r="C250">
        <v>15</v>
      </c>
      <c r="D250" t="s">
        <v>7</v>
      </c>
      <c r="E250">
        <v>3</v>
      </c>
      <c r="F250" t="str">
        <f t="shared" si="7"/>
        <v>NIE</v>
      </c>
      <c r="G250">
        <f t="shared" si="6"/>
        <v>0</v>
      </c>
    </row>
    <row r="251" spans="1:7" x14ac:dyDescent="0.25">
      <c r="A251">
        <v>250</v>
      </c>
      <c r="B251">
        <v>10.1</v>
      </c>
      <c r="C251">
        <v>12</v>
      </c>
      <c r="D251" t="s">
        <v>7</v>
      </c>
      <c r="E251">
        <v>4</v>
      </c>
      <c r="F251" t="str">
        <f t="shared" si="7"/>
        <v>TAK</v>
      </c>
      <c r="G251">
        <f t="shared" si="6"/>
        <v>1</v>
      </c>
    </row>
    <row r="252" spans="1:7" x14ac:dyDescent="0.25">
      <c r="A252">
        <v>251</v>
      </c>
      <c r="B252">
        <v>11.7</v>
      </c>
      <c r="C252">
        <v>2</v>
      </c>
      <c r="D252" t="s">
        <v>7</v>
      </c>
      <c r="E252">
        <v>4</v>
      </c>
      <c r="F252" t="str">
        <f t="shared" si="7"/>
        <v>TAK</v>
      </c>
      <c r="G252">
        <f t="shared" si="6"/>
        <v>2</v>
      </c>
    </row>
    <row r="253" spans="1:7" x14ac:dyDescent="0.25">
      <c r="A253">
        <v>252</v>
      </c>
      <c r="B253">
        <v>14.8</v>
      </c>
      <c r="C253">
        <v>21</v>
      </c>
      <c r="D253" t="s">
        <v>7</v>
      </c>
      <c r="E253">
        <v>4</v>
      </c>
      <c r="F253" t="str">
        <f t="shared" si="7"/>
        <v>TAK</v>
      </c>
      <c r="G253">
        <f t="shared" si="6"/>
        <v>3</v>
      </c>
    </row>
    <row r="254" spans="1:7" x14ac:dyDescent="0.25">
      <c r="A254">
        <v>253</v>
      </c>
      <c r="B254">
        <v>18.7</v>
      </c>
      <c r="C254">
        <v>28</v>
      </c>
      <c r="D254" t="s">
        <v>7</v>
      </c>
      <c r="E254">
        <v>5</v>
      </c>
      <c r="F254" t="str">
        <f t="shared" si="7"/>
        <v>TAK</v>
      </c>
      <c r="G254">
        <f t="shared" si="6"/>
        <v>4</v>
      </c>
    </row>
    <row r="255" spans="1:7" x14ac:dyDescent="0.25">
      <c r="A255">
        <v>254</v>
      </c>
      <c r="B255">
        <v>22.5</v>
      </c>
      <c r="C255">
        <v>0</v>
      </c>
      <c r="D255" t="s">
        <v>5</v>
      </c>
      <c r="E255">
        <v>0</v>
      </c>
      <c r="F255" t="str">
        <f t="shared" si="7"/>
        <v>TAK</v>
      </c>
      <c r="G255">
        <f t="shared" si="6"/>
        <v>5</v>
      </c>
    </row>
    <row r="256" spans="1:7" x14ac:dyDescent="0.25">
      <c r="A256">
        <v>255</v>
      </c>
      <c r="B256">
        <v>25.4</v>
      </c>
      <c r="C256">
        <v>3</v>
      </c>
      <c r="D256" t="s">
        <v>6</v>
      </c>
      <c r="E256">
        <v>1</v>
      </c>
      <c r="F256" t="str">
        <f t="shared" si="7"/>
        <v>TAK</v>
      </c>
      <c r="G256">
        <f t="shared" si="6"/>
        <v>6</v>
      </c>
    </row>
    <row r="257" spans="1:7" x14ac:dyDescent="0.25">
      <c r="A257">
        <v>256</v>
      </c>
      <c r="B257">
        <v>26.8</v>
      </c>
      <c r="C257">
        <v>5</v>
      </c>
      <c r="D257" t="s">
        <v>6</v>
      </c>
      <c r="E257">
        <v>1</v>
      </c>
      <c r="F257" t="str">
        <f t="shared" si="7"/>
        <v>TAK</v>
      </c>
      <c r="G257">
        <f t="shared" si="6"/>
        <v>7</v>
      </c>
    </row>
    <row r="258" spans="1:7" x14ac:dyDescent="0.25">
      <c r="A258">
        <v>257</v>
      </c>
      <c r="B258">
        <v>26.5</v>
      </c>
      <c r="C258">
        <v>5</v>
      </c>
      <c r="D258" t="s">
        <v>6</v>
      </c>
      <c r="E258">
        <v>1</v>
      </c>
      <c r="F258" t="str">
        <f t="shared" si="7"/>
        <v>NIE</v>
      </c>
      <c r="G258">
        <f t="shared" si="6"/>
        <v>0</v>
      </c>
    </row>
    <row r="259" spans="1:7" x14ac:dyDescent="0.25">
      <c r="A259">
        <v>258</v>
      </c>
      <c r="B259">
        <v>24.9</v>
      </c>
      <c r="C259">
        <v>7</v>
      </c>
      <c r="D259" t="s">
        <v>6</v>
      </c>
      <c r="E259">
        <v>2</v>
      </c>
      <c r="F259" t="str">
        <f t="shared" si="7"/>
        <v>NIE</v>
      </c>
      <c r="G259">
        <f t="shared" si="6"/>
        <v>0</v>
      </c>
    </row>
    <row r="260" spans="1:7" x14ac:dyDescent="0.25">
      <c r="A260">
        <v>259</v>
      </c>
      <c r="B260">
        <v>22.6</v>
      </c>
      <c r="C260">
        <v>1</v>
      </c>
      <c r="D260" t="s">
        <v>6</v>
      </c>
      <c r="E260">
        <v>2</v>
      </c>
      <c r="F260" t="str">
        <f t="shared" si="7"/>
        <v>NIE</v>
      </c>
      <c r="G260">
        <f t="shared" ref="G260:G323" si="8">IF(F260 = "TAK",G259+1,0)</f>
        <v>0</v>
      </c>
    </row>
    <row r="261" spans="1:7" x14ac:dyDescent="0.25">
      <c r="A261">
        <v>260</v>
      </c>
      <c r="B261">
        <v>20.7</v>
      </c>
      <c r="C261">
        <v>6</v>
      </c>
      <c r="D261" t="s">
        <v>6</v>
      </c>
      <c r="E261">
        <v>2</v>
      </c>
      <c r="F261" t="str">
        <f t="shared" ref="F261:F324" si="9">IF(B260&lt;B261,"TAK","NIE")</f>
        <v>NIE</v>
      </c>
      <c r="G261">
        <f t="shared" si="8"/>
        <v>0</v>
      </c>
    </row>
    <row r="262" spans="1:7" x14ac:dyDescent="0.25">
      <c r="A262">
        <v>261</v>
      </c>
      <c r="B262">
        <v>19.899999999999999</v>
      </c>
      <c r="C262">
        <v>6</v>
      </c>
      <c r="D262" t="s">
        <v>6</v>
      </c>
      <c r="E262">
        <v>3</v>
      </c>
      <c r="F262" t="str">
        <f t="shared" si="9"/>
        <v>NIE</v>
      </c>
      <c r="G262">
        <f t="shared" si="8"/>
        <v>0</v>
      </c>
    </row>
    <row r="263" spans="1:7" x14ac:dyDescent="0.25">
      <c r="A263">
        <v>262</v>
      </c>
      <c r="B263">
        <v>20.399999999999999</v>
      </c>
      <c r="C263">
        <v>10</v>
      </c>
      <c r="D263" t="s">
        <v>6</v>
      </c>
      <c r="E263">
        <v>3</v>
      </c>
      <c r="F263" t="str">
        <f t="shared" si="9"/>
        <v>TAK</v>
      </c>
      <c r="G263">
        <f t="shared" si="8"/>
        <v>1</v>
      </c>
    </row>
    <row r="264" spans="1:7" x14ac:dyDescent="0.25">
      <c r="A264">
        <v>263</v>
      </c>
      <c r="B264">
        <v>22.3</v>
      </c>
      <c r="C264">
        <v>16</v>
      </c>
      <c r="D264" t="s">
        <v>6</v>
      </c>
      <c r="E264">
        <v>3</v>
      </c>
      <c r="F264" t="str">
        <f t="shared" si="9"/>
        <v>TAK</v>
      </c>
      <c r="G264">
        <f t="shared" si="8"/>
        <v>2</v>
      </c>
    </row>
    <row r="265" spans="1:7" x14ac:dyDescent="0.25">
      <c r="A265">
        <v>264</v>
      </c>
      <c r="B265">
        <v>24.8</v>
      </c>
      <c r="C265">
        <v>9</v>
      </c>
      <c r="D265" t="s">
        <v>6</v>
      </c>
      <c r="E265">
        <v>4</v>
      </c>
      <c r="F265" t="str">
        <f t="shared" si="9"/>
        <v>TAK</v>
      </c>
      <c r="G265">
        <f t="shared" si="8"/>
        <v>3</v>
      </c>
    </row>
    <row r="266" spans="1:7" x14ac:dyDescent="0.25">
      <c r="A266">
        <v>265</v>
      </c>
      <c r="B266">
        <v>27.2</v>
      </c>
      <c r="C266">
        <v>18</v>
      </c>
      <c r="D266" t="s">
        <v>6</v>
      </c>
      <c r="E266">
        <v>4</v>
      </c>
      <c r="F266" t="str">
        <f t="shared" si="9"/>
        <v>TAK</v>
      </c>
      <c r="G266">
        <f t="shared" si="8"/>
        <v>4</v>
      </c>
    </row>
    <row r="267" spans="1:7" x14ac:dyDescent="0.25">
      <c r="A267">
        <v>266</v>
      </c>
      <c r="B267">
        <v>28.6</v>
      </c>
      <c r="C267">
        <v>4</v>
      </c>
      <c r="D267" t="s">
        <v>6</v>
      </c>
      <c r="E267">
        <v>4</v>
      </c>
      <c r="F267" t="str">
        <f t="shared" si="9"/>
        <v>TAK</v>
      </c>
      <c r="G267">
        <f t="shared" si="8"/>
        <v>5</v>
      </c>
    </row>
    <row r="268" spans="1:7" x14ac:dyDescent="0.25">
      <c r="A268">
        <v>267</v>
      </c>
      <c r="B268">
        <v>28.4</v>
      </c>
      <c r="C268">
        <v>22</v>
      </c>
      <c r="D268" t="s">
        <v>6</v>
      </c>
      <c r="E268">
        <v>5</v>
      </c>
      <c r="F268" t="str">
        <f t="shared" si="9"/>
        <v>NIE</v>
      </c>
      <c r="G268">
        <f t="shared" si="8"/>
        <v>0</v>
      </c>
    </row>
    <row r="269" spans="1:7" x14ac:dyDescent="0.25">
      <c r="A269">
        <v>268</v>
      </c>
      <c r="B269">
        <v>26.5</v>
      </c>
      <c r="C269">
        <v>0</v>
      </c>
      <c r="D269" t="s">
        <v>5</v>
      </c>
      <c r="E269">
        <v>0</v>
      </c>
      <c r="F269" t="str">
        <f t="shared" si="9"/>
        <v>NIE</v>
      </c>
      <c r="G269">
        <f t="shared" si="8"/>
        <v>0</v>
      </c>
    </row>
    <row r="270" spans="1:7" x14ac:dyDescent="0.25">
      <c r="A270">
        <v>269</v>
      </c>
      <c r="B270">
        <v>23.3</v>
      </c>
      <c r="C270">
        <v>4</v>
      </c>
      <c r="D270" t="s">
        <v>6</v>
      </c>
      <c r="E270">
        <v>1</v>
      </c>
      <c r="F270" t="str">
        <f t="shared" si="9"/>
        <v>NIE</v>
      </c>
      <c r="G270">
        <f t="shared" si="8"/>
        <v>0</v>
      </c>
    </row>
    <row r="271" spans="1:7" x14ac:dyDescent="0.25">
      <c r="A271">
        <v>270</v>
      </c>
      <c r="B271">
        <v>19.5</v>
      </c>
      <c r="C271">
        <v>6</v>
      </c>
      <c r="D271" t="s">
        <v>6</v>
      </c>
      <c r="E271">
        <v>1</v>
      </c>
      <c r="F271" t="str">
        <f t="shared" si="9"/>
        <v>NIE</v>
      </c>
      <c r="G271">
        <f t="shared" si="8"/>
        <v>0</v>
      </c>
    </row>
    <row r="272" spans="1:7" x14ac:dyDescent="0.25">
      <c r="A272">
        <v>271</v>
      </c>
      <c r="B272">
        <v>16</v>
      </c>
      <c r="C272">
        <v>6</v>
      </c>
      <c r="D272" t="s">
        <v>6</v>
      </c>
      <c r="E272">
        <v>1</v>
      </c>
      <c r="F272" t="str">
        <f t="shared" si="9"/>
        <v>NIE</v>
      </c>
      <c r="G272">
        <f t="shared" si="8"/>
        <v>0</v>
      </c>
    </row>
    <row r="273" spans="1:7" x14ac:dyDescent="0.25">
      <c r="A273">
        <v>272</v>
      </c>
      <c r="B273">
        <v>13.7</v>
      </c>
      <c r="C273">
        <v>9</v>
      </c>
      <c r="D273" t="s">
        <v>6</v>
      </c>
      <c r="E273">
        <v>2</v>
      </c>
      <c r="F273" t="str">
        <f t="shared" si="9"/>
        <v>NIE</v>
      </c>
      <c r="G273">
        <f t="shared" si="8"/>
        <v>0</v>
      </c>
    </row>
    <row r="274" spans="1:7" x14ac:dyDescent="0.25">
      <c r="A274">
        <v>273</v>
      </c>
      <c r="B274">
        <v>12.9</v>
      </c>
      <c r="C274">
        <v>7</v>
      </c>
      <c r="D274" t="s">
        <v>6</v>
      </c>
      <c r="E274">
        <v>2</v>
      </c>
      <c r="F274" t="str">
        <f t="shared" si="9"/>
        <v>NIE</v>
      </c>
      <c r="G274">
        <f t="shared" si="8"/>
        <v>0</v>
      </c>
    </row>
    <row r="275" spans="1:7" x14ac:dyDescent="0.25">
      <c r="A275">
        <v>274</v>
      </c>
      <c r="B275">
        <v>13.5</v>
      </c>
      <c r="C275">
        <v>1</v>
      </c>
      <c r="D275" t="s">
        <v>6</v>
      </c>
      <c r="E275">
        <v>2</v>
      </c>
      <c r="F275" t="str">
        <f t="shared" si="9"/>
        <v>TAK</v>
      </c>
      <c r="G275">
        <f t="shared" si="8"/>
        <v>1</v>
      </c>
    </row>
    <row r="276" spans="1:7" x14ac:dyDescent="0.25">
      <c r="A276">
        <v>275</v>
      </c>
      <c r="B276">
        <v>15</v>
      </c>
      <c r="C276">
        <v>18</v>
      </c>
      <c r="D276" t="s">
        <v>6</v>
      </c>
      <c r="E276">
        <v>3</v>
      </c>
      <c r="F276" t="str">
        <f t="shared" si="9"/>
        <v>TAK</v>
      </c>
      <c r="G276">
        <f t="shared" si="8"/>
        <v>2</v>
      </c>
    </row>
    <row r="277" spans="1:7" x14ac:dyDescent="0.25">
      <c r="A277">
        <v>276</v>
      </c>
      <c r="B277">
        <v>16.399999999999999</v>
      </c>
      <c r="C277">
        <v>13</v>
      </c>
      <c r="D277" t="s">
        <v>6</v>
      </c>
      <c r="E277">
        <v>3</v>
      </c>
      <c r="F277" t="str">
        <f t="shared" si="9"/>
        <v>TAK</v>
      </c>
      <c r="G277">
        <f t="shared" si="8"/>
        <v>3</v>
      </c>
    </row>
    <row r="278" spans="1:7" x14ac:dyDescent="0.25">
      <c r="A278">
        <v>277</v>
      </c>
      <c r="B278">
        <v>17.100000000000001</v>
      </c>
      <c r="C278">
        <v>2</v>
      </c>
      <c r="D278" t="s">
        <v>6</v>
      </c>
      <c r="E278">
        <v>3</v>
      </c>
      <c r="F278" t="str">
        <f t="shared" si="9"/>
        <v>TAK</v>
      </c>
      <c r="G278">
        <f t="shared" si="8"/>
        <v>4</v>
      </c>
    </row>
    <row r="279" spans="1:7" x14ac:dyDescent="0.25">
      <c r="A279">
        <v>278</v>
      </c>
      <c r="B279">
        <v>16.3</v>
      </c>
      <c r="C279">
        <v>10</v>
      </c>
      <c r="D279" t="s">
        <v>6</v>
      </c>
      <c r="E279">
        <v>4</v>
      </c>
      <c r="F279" t="str">
        <f t="shared" si="9"/>
        <v>NIE</v>
      </c>
      <c r="G279">
        <f t="shared" si="8"/>
        <v>0</v>
      </c>
    </row>
    <row r="280" spans="1:7" x14ac:dyDescent="0.25">
      <c r="A280">
        <v>279</v>
      </c>
      <c r="B280">
        <v>14</v>
      </c>
      <c r="C280">
        <v>6</v>
      </c>
      <c r="D280" t="s">
        <v>6</v>
      </c>
      <c r="E280">
        <v>4</v>
      </c>
      <c r="F280" t="str">
        <f t="shared" si="9"/>
        <v>NIE</v>
      </c>
      <c r="G280">
        <f t="shared" si="8"/>
        <v>0</v>
      </c>
    </row>
    <row r="281" spans="1:7" x14ac:dyDescent="0.25">
      <c r="A281">
        <v>280</v>
      </c>
      <c r="B281">
        <v>10.5</v>
      </c>
      <c r="C281">
        <v>20</v>
      </c>
      <c r="D281" t="s">
        <v>6</v>
      </c>
      <c r="E281">
        <v>4</v>
      </c>
      <c r="F281" t="str">
        <f t="shared" si="9"/>
        <v>NIE</v>
      </c>
      <c r="G281">
        <f t="shared" si="8"/>
        <v>0</v>
      </c>
    </row>
    <row r="282" spans="1:7" x14ac:dyDescent="0.25">
      <c r="A282">
        <v>281</v>
      </c>
      <c r="B282">
        <v>6.7</v>
      </c>
      <c r="C282">
        <v>17</v>
      </c>
      <c r="D282" t="s">
        <v>6</v>
      </c>
      <c r="E282">
        <v>5</v>
      </c>
      <c r="F282" t="str">
        <f t="shared" si="9"/>
        <v>NIE</v>
      </c>
      <c r="G282">
        <f t="shared" si="8"/>
        <v>0</v>
      </c>
    </row>
    <row r="283" spans="1:7" x14ac:dyDescent="0.25">
      <c r="A283">
        <v>282</v>
      </c>
      <c r="B283">
        <v>3.5</v>
      </c>
      <c r="C283">
        <v>13</v>
      </c>
      <c r="D283" t="s">
        <v>6</v>
      </c>
      <c r="E283">
        <v>5</v>
      </c>
      <c r="F283" t="str">
        <f t="shared" si="9"/>
        <v>NIE</v>
      </c>
      <c r="G283">
        <f t="shared" si="8"/>
        <v>0</v>
      </c>
    </row>
    <row r="284" spans="1:7" x14ac:dyDescent="0.25">
      <c r="A284">
        <v>283</v>
      </c>
      <c r="B284">
        <v>1.6</v>
      </c>
      <c r="C284">
        <v>18</v>
      </c>
      <c r="D284" t="s">
        <v>6</v>
      </c>
      <c r="E284">
        <v>5</v>
      </c>
      <c r="F284" t="str">
        <f t="shared" si="9"/>
        <v>NIE</v>
      </c>
      <c r="G284">
        <f t="shared" si="8"/>
        <v>0</v>
      </c>
    </row>
    <row r="285" spans="1:7" x14ac:dyDescent="0.25">
      <c r="A285">
        <v>284</v>
      </c>
      <c r="B285">
        <v>1.4</v>
      </c>
      <c r="C285">
        <v>20</v>
      </c>
      <c r="D285" t="s">
        <v>6</v>
      </c>
      <c r="E285">
        <v>5</v>
      </c>
      <c r="F285" t="str">
        <f t="shared" si="9"/>
        <v>NIE</v>
      </c>
      <c r="G285">
        <f t="shared" si="8"/>
        <v>0</v>
      </c>
    </row>
    <row r="286" spans="1:7" x14ac:dyDescent="0.25">
      <c r="A286">
        <v>285</v>
      </c>
      <c r="B286">
        <v>2.8</v>
      </c>
      <c r="C286">
        <v>0</v>
      </c>
      <c r="D286" t="s">
        <v>5</v>
      </c>
      <c r="E286">
        <v>0</v>
      </c>
      <c r="F286" t="str">
        <f t="shared" si="9"/>
        <v>TAK</v>
      </c>
      <c r="G286">
        <f t="shared" si="8"/>
        <v>1</v>
      </c>
    </row>
    <row r="287" spans="1:7" x14ac:dyDescent="0.25">
      <c r="A287">
        <v>286</v>
      </c>
      <c r="B287">
        <v>5.2</v>
      </c>
      <c r="C287">
        <v>6</v>
      </c>
      <c r="D287" t="s">
        <v>7</v>
      </c>
      <c r="E287">
        <v>1</v>
      </c>
      <c r="F287" t="str">
        <f t="shared" si="9"/>
        <v>TAK</v>
      </c>
      <c r="G287">
        <f t="shared" si="8"/>
        <v>2</v>
      </c>
    </row>
    <row r="288" spans="1:7" x14ac:dyDescent="0.25">
      <c r="A288">
        <v>287</v>
      </c>
      <c r="B288">
        <v>7.7</v>
      </c>
      <c r="C288">
        <v>5</v>
      </c>
      <c r="D288" t="s">
        <v>7</v>
      </c>
      <c r="E288">
        <v>1</v>
      </c>
      <c r="F288" t="str">
        <f t="shared" si="9"/>
        <v>TAK</v>
      </c>
      <c r="G288">
        <f t="shared" si="8"/>
        <v>3</v>
      </c>
    </row>
    <row r="289" spans="1:7" x14ac:dyDescent="0.25">
      <c r="A289">
        <v>288</v>
      </c>
      <c r="B289">
        <v>9.6</v>
      </c>
      <c r="C289">
        <v>1</v>
      </c>
      <c r="D289" t="s">
        <v>7</v>
      </c>
      <c r="E289">
        <v>1</v>
      </c>
      <c r="F289" t="str">
        <f t="shared" si="9"/>
        <v>TAK</v>
      </c>
      <c r="G289">
        <f t="shared" si="8"/>
        <v>4</v>
      </c>
    </row>
    <row r="290" spans="1:7" x14ac:dyDescent="0.25">
      <c r="A290">
        <v>289</v>
      </c>
      <c r="B290">
        <v>10.1</v>
      </c>
      <c r="C290">
        <v>8</v>
      </c>
      <c r="D290" t="s">
        <v>7</v>
      </c>
      <c r="E290">
        <v>2</v>
      </c>
      <c r="F290" t="str">
        <f t="shared" si="9"/>
        <v>TAK</v>
      </c>
      <c r="G290">
        <f t="shared" si="8"/>
        <v>5</v>
      </c>
    </row>
    <row r="291" spans="1:7" x14ac:dyDescent="0.25">
      <c r="A291">
        <v>290</v>
      </c>
      <c r="B291">
        <v>9.3000000000000007</v>
      </c>
      <c r="C291">
        <v>3</v>
      </c>
      <c r="D291" t="s">
        <v>7</v>
      </c>
      <c r="E291">
        <v>2</v>
      </c>
      <c r="F291" t="str">
        <f t="shared" si="9"/>
        <v>NIE</v>
      </c>
      <c r="G291">
        <f t="shared" si="8"/>
        <v>0</v>
      </c>
    </row>
    <row r="292" spans="1:7" x14ac:dyDescent="0.25">
      <c r="A292">
        <v>291</v>
      </c>
      <c r="B292">
        <v>7.4</v>
      </c>
      <c r="C292">
        <v>5</v>
      </c>
      <c r="D292" t="s">
        <v>7</v>
      </c>
      <c r="E292">
        <v>2</v>
      </c>
      <c r="F292" t="str">
        <f t="shared" si="9"/>
        <v>NIE</v>
      </c>
      <c r="G292">
        <f t="shared" si="8"/>
        <v>0</v>
      </c>
    </row>
    <row r="293" spans="1:7" x14ac:dyDescent="0.25">
      <c r="A293">
        <v>292</v>
      </c>
      <c r="B293">
        <v>5.0999999999999996</v>
      </c>
      <c r="C293">
        <v>17</v>
      </c>
      <c r="D293" t="s">
        <v>7</v>
      </c>
      <c r="E293">
        <v>3</v>
      </c>
      <c r="F293" t="str">
        <f t="shared" si="9"/>
        <v>NIE</v>
      </c>
      <c r="G293">
        <f t="shared" si="8"/>
        <v>0</v>
      </c>
    </row>
    <row r="294" spans="1:7" x14ac:dyDescent="0.25">
      <c r="A294">
        <v>293</v>
      </c>
      <c r="B294">
        <v>3.5</v>
      </c>
      <c r="C294">
        <v>9</v>
      </c>
      <c r="D294" t="s">
        <v>7</v>
      </c>
      <c r="E294">
        <v>3</v>
      </c>
      <c r="F294" t="str">
        <f t="shared" si="9"/>
        <v>NIE</v>
      </c>
      <c r="G294">
        <f t="shared" si="8"/>
        <v>0</v>
      </c>
    </row>
    <row r="295" spans="1:7" x14ac:dyDescent="0.25">
      <c r="A295">
        <v>294</v>
      </c>
      <c r="B295">
        <v>3.2</v>
      </c>
      <c r="C295">
        <v>4</v>
      </c>
      <c r="D295" t="s">
        <v>7</v>
      </c>
      <c r="E295">
        <v>3</v>
      </c>
      <c r="F295" t="str">
        <f t="shared" si="9"/>
        <v>NIE</v>
      </c>
      <c r="G295">
        <f t="shared" si="8"/>
        <v>0</v>
      </c>
    </row>
    <row r="296" spans="1:7" x14ac:dyDescent="0.25">
      <c r="A296">
        <v>295</v>
      </c>
      <c r="B296">
        <v>4.5999999999999996</v>
      </c>
      <c r="C296">
        <v>24</v>
      </c>
      <c r="D296" t="s">
        <v>7</v>
      </c>
      <c r="E296">
        <v>4</v>
      </c>
      <c r="F296" t="str">
        <f t="shared" si="9"/>
        <v>TAK</v>
      </c>
      <c r="G296">
        <f t="shared" si="8"/>
        <v>1</v>
      </c>
    </row>
    <row r="297" spans="1:7" x14ac:dyDescent="0.25">
      <c r="A297">
        <v>296</v>
      </c>
      <c r="B297">
        <v>7.5</v>
      </c>
      <c r="C297">
        <v>21</v>
      </c>
      <c r="D297" t="s">
        <v>7</v>
      </c>
      <c r="E297">
        <v>4</v>
      </c>
      <c r="F297" t="str">
        <f t="shared" si="9"/>
        <v>TAK</v>
      </c>
      <c r="G297">
        <f t="shared" si="8"/>
        <v>2</v>
      </c>
    </row>
    <row r="298" spans="1:7" x14ac:dyDescent="0.25">
      <c r="A298">
        <v>297</v>
      </c>
      <c r="B298">
        <v>11.3</v>
      </c>
      <c r="C298">
        <v>8</v>
      </c>
      <c r="D298" t="s">
        <v>7</v>
      </c>
      <c r="E298">
        <v>5</v>
      </c>
      <c r="F298" t="str">
        <f t="shared" si="9"/>
        <v>TAK</v>
      </c>
      <c r="G298">
        <f t="shared" si="8"/>
        <v>3</v>
      </c>
    </row>
    <row r="299" spans="1:7" x14ac:dyDescent="0.25">
      <c r="A299">
        <v>298</v>
      </c>
      <c r="B299">
        <v>15.2</v>
      </c>
      <c r="C299">
        <v>23</v>
      </c>
      <c r="D299" t="s">
        <v>7</v>
      </c>
      <c r="E299">
        <v>5</v>
      </c>
      <c r="F299" t="str">
        <f t="shared" si="9"/>
        <v>TAK</v>
      </c>
      <c r="G299">
        <f t="shared" si="8"/>
        <v>4</v>
      </c>
    </row>
    <row r="300" spans="1:7" x14ac:dyDescent="0.25">
      <c r="A300">
        <v>299</v>
      </c>
      <c r="B300">
        <v>18.3</v>
      </c>
      <c r="C300">
        <v>0</v>
      </c>
      <c r="D300" t="s">
        <v>5</v>
      </c>
      <c r="E300">
        <v>0</v>
      </c>
      <c r="F300" t="str">
        <f t="shared" si="9"/>
        <v>TAK</v>
      </c>
      <c r="G300">
        <f t="shared" si="8"/>
        <v>5</v>
      </c>
    </row>
    <row r="301" spans="1:7" x14ac:dyDescent="0.25">
      <c r="A301">
        <v>300</v>
      </c>
      <c r="B301">
        <v>19.899999999999999</v>
      </c>
      <c r="C301">
        <v>5</v>
      </c>
      <c r="D301" t="s">
        <v>6</v>
      </c>
      <c r="E301">
        <v>1</v>
      </c>
      <c r="F301" t="str">
        <f t="shared" si="9"/>
        <v>TAK</v>
      </c>
      <c r="G301">
        <f t="shared" si="8"/>
        <v>6</v>
      </c>
    </row>
    <row r="302" spans="1:7" x14ac:dyDescent="0.25">
      <c r="A302">
        <v>301</v>
      </c>
      <c r="B302">
        <v>20</v>
      </c>
      <c r="C302">
        <v>4</v>
      </c>
      <c r="D302" t="s">
        <v>5</v>
      </c>
      <c r="E302">
        <v>0</v>
      </c>
      <c r="F302" t="str">
        <f t="shared" si="9"/>
        <v>TAK</v>
      </c>
      <c r="G302">
        <f t="shared" si="8"/>
        <v>7</v>
      </c>
    </row>
    <row r="303" spans="1:7" x14ac:dyDescent="0.25">
      <c r="A303">
        <v>302</v>
      </c>
      <c r="B303">
        <v>18.899999999999999</v>
      </c>
      <c r="C303">
        <v>5</v>
      </c>
      <c r="D303" t="s">
        <v>5</v>
      </c>
      <c r="E303">
        <v>0</v>
      </c>
      <c r="F303" t="str">
        <f t="shared" si="9"/>
        <v>NIE</v>
      </c>
      <c r="G303">
        <f t="shared" si="8"/>
        <v>0</v>
      </c>
    </row>
    <row r="304" spans="1:7" x14ac:dyDescent="0.25">
      <c r="A304">
        <v>303</v>
      </c>
      <c r="B304">
        <v>17.3</v>
      </c>
      <c r="C304">
        <v>2</v>
      </c>
      <c r="D304" t="s">
        <v>5</v>
      </c>
      <c r="E304">
        <v>0</v>
      </c>
      <c r="F304" t="str">
        <f t="shared" si="9"/>
        <v>NIE</v>
      </c>
      <c r="G304">
        <f t="shared" si="8"/>
        <v>0</v>
      </c>
    </row>
    <row r="305" spans="1:7" x14ac:dyDescent="0.25">
      <c r="A305">
        <v>304</v>
      </c>
      <c r="B305">
        <v>16</v>
      </c>
      <c r="C305">
        <v>7</v>
      </c>
      <c r="D305" t="s">
        <v>5</v>
      </c>
      <c r="E305">
        <v>0</v>
      </c>
      <c r="F305" t="str">
        <f t="shared" si="9"/>
        <v>NIE</v>
      </c>
      <c r="G305">
        <f t="shared" si="8"/>
        <v>0</v>
      </c>
    </row>
    <row r="306" spans="1:7" x14ac:dyDescent="0.25">
      <c r="A306">
        <v>305</v>
      </c>
      <c r="B306">
        <v>15.9</v>
      </c>
      <c r="C306">
        <v>4</v>
      </c>
      <c r="D306" t="s">
        <v>5</v>
      </c>
      <c r="E306">
        <v>0</v>
      </c>
      <c r="F306" t="str">
        <f t="shared" si="9"/>
        <v>NIE</v>
      </c>
      <c r="G306">
        <f t="shared" si="8"/>
        <v>0</v>
      </c>
    </row>
    <row r="307" spans="1:7" x14ac:dyDescent="0.25">
      <c r="A307">
        <v>306</v>
      </c>
      <c r="B307">
        <v>17.3</v>
      </c>
      <c r="C307">
        <v>17</v>
      </c>
      <c r="D307" t="s">
        <v>5</v>
      </c>
      <c r="E307">
        <v>0</v>
      </c>
      <c r="F307" t="str">
        <f t="shared" si="9"/>
        <v>TAK</v>
      </c>
      <c r="G307">
        <f t="shared" si="8"/>
        <v>1</v>
      </c>
    </row>
    <row r="308" spans="1:7" x14ac:dyDescent="0.25">
      <c r="A308">
        <v>307</v>
      </c>
      <c r="B308">
        <v>20</v>
      </c>
      <c r="C308">
        <v>14</v>
      </c>
      <c r="D308" t="s">
        <v>5</v>
      </c>
      <c r="E308">
        <v>0</v>
      </c>
      <c r="F308" t="str">
        <f t="shared" si="9"/>
        <v>TAK</v>
      </c>
      <c r="G308">
        <f t="shared" si="8"/>
        <v>2</v>
      </c>
    </row>
    <row r="309" spans="1:7" x14ac:dyDescent="0.25">
      <c r="A309">
        <v>308</v>
      </c>
      <c r="B309">
        <v>23.4</v>
      </c>
      <c r="C309">
        <v>9</v>
      </c>
      <c r="D309" t="s">
        <v>5</v>
      </c>
      <c r="E309">
        <v>0</v>
      </c>
      <c r="F309" t="str">
        <f t="shared" si="9"/>
        <v>TAK</v>
      </c>
      <c r="G309">
        <f t="shared" si="8"/>
        <v>3</v>
      </c>
    </row>
    <row r="310" spans="1:7" x14ac:dyDescent="0.25">
      <c r="A310">
        <v>309</v>
      </c>
      <c r="B310">
        <v>26.8</v>
      </c>
      <c r="C310">
        <v>6</v>
      </c>
      <c r="D310" t="s">
        <v>5</v>
      </c>
      <c r="E310">
        <v>0</v>
      </c>
      <c r="F310" t="str">
        <f t="shared" si="9"/>
        <v>TAK</v>
      </c>
      <c r="G310">
        <f t="shared" si="8"/>
        <v>4</v>
      </c>
    </row>
    <row r="311" spans="1:7" x14ac:dyDescent="0.25">
      <c r="A311">
        <v>310</v>
      </c>
      <c r="B311">
        <v>29.1</v>
      </c>
      <c r="C311">
        <v>16</v>
      </c>
      <c r="D311" t="s">
        <v>5</v>
      </c>
      <c r="E311">
        <v>0</v>
      </c>
      <c r="F311" t="str">
        <f t="shared" si="9"/>
        <v>TAK</v>
      </c>
      <c r="G311">
        <f t="shared" si="8"/>
        <v>5</v>
      </c>
    </row>
    <row r="312" spans="1:7" x14ac:dyDescent="0.25">
      <c r="A312">
        <v>311</v>
      </c>
      <c r="B312">
        <v>29.8</v>
      </c>
      <c r="C312">
        <v>2</v>
      </c>
      <c r="D312" t="s">
        <v>5</v>
      </c>
      <c r="E312">
        <v>0</v>
      </c>
      <c r="F312" t="str">
        <f t="shared" si="9"/>
        <v>TAK</v>
      </c>
      <c r="G312">
        <f t="shared" si="8"/>
        <v>6</v>
      </c>
    </row>
    <row r="313" spans="1:7" x14ac:dyDescent="0.25">
      <c r="A313">
        <v>312</v>
      </c>
      <c r="B313">
        <v>28.8</v>
      </c>
      <c r="C313">
        <v>25</v>
      </c>
      <c r="D313" t="s">
        <v>5</v>
      </c>
      <c r="E313">
        <v>0</v>
      </c>
      <c r="F313" t="str">
        <f t="shared" si="9"/>
        <v>NIE</v>
      </c>
      <c r="G313">
        <f t="shared" si="8"/>
        <v>0</v>
      </c>
    </row>
    <row r="314" spans="1:7" x14ac:dyDescent="0.25">
      <c r="A314">
        <v>313</v>
      </c>
      <c r="B314">
        <v>26.4</v>
      </c>
      <c r="C314">
        <v>0</v>
      </c>
      <c r="D314" t="s">
        <v>5</v>
      </c>
      <c r="E314">
        <v>0</v>
      </c>
      <c r="F314" t="str">
        <f t="shared" si="9"/>
        <v>NIE</v>
      </c>
      <c r="G314">
        <f t="shared" si="8"/>
        <v>0</v>
      </c>
    </row>
    <row r="315" spans="1:7" x14ac:dyDescent="0.25">
      <c r="A315">
        <v>314</v>
      </c>
      <c r="B315">
        <v>23.4</v>
      </c>
      <c r="C315">
        <v>3</v>
      </c>
      <c r="D315" t="s">
        <v>5</v>
      </c>
      <c r="E315">
        <v>0</v>
      </c>
      <c r="F315" t="str">
        <f t="shared" si="9"/>
        <v>NIE</v>
      </c>
      <c r="G315">
        <f t="shared" si="8"/>
        <v>0</v>
      </c>
    </row>
    <row r="316" spans="1:7" x14ac:dyDescent="0.25">
      <c r="A316">
        <v>315</v>
      </c>
      <c r="B316">
        <v>20.7</v>
      </c>
      <c r="C316">
        <v>4</v>
      </c>
      <c r="D316" t="s">
        <v>5</v>
      </c>
      <c r="E316">
        <v>0</v>
      </c>
      <c r="F316" t="str">
        <f t="shared" si="9"/>
        <v>NIE</v>
      </c>
      <c r="G316">
        <f t="shared" si="8"/>
        <v>0</v>
      </c>
    </row>
    <row r="317" spans="1:7" x14ac:dyDescent="0.25">
      <c r="A317">
        <v>316</v>
      </c>
      <c r="B317">
        <v>19.100000000000001</v>
      </c>
      <c r="C317">
        <v>6</v>
      </c>
      <c r="D317" t="s">
        <v>5</v>
      </c>
      <c r="E317">
        <v>0</v>
      </c>
      <c r="F317" t="str">
        <f t="shared" si="9"/>
        <v>NIE</v>
      </c>
      <c r="G317">
        <f t="shared" si="8"/>
        <v>0</v>
      </c>
    </row>
    <row r="318" spans="1:7" x14ac:dyDescent="0.25">
      <c r="A318">
        <v>317</v>
      </c>
      <c r="B318">
        <v>18.899999999999999</v>
      </c>
      <c r="C318">
        <v>6</v>
      </c>
      <c r="D318" t="s">
        <v>5</v>
      </c>
      <c r="E318">
        <v>0</v>
      </c>
      <c r="F318" t="str">
        <f t="shared" si="9"/>
        <v>NIE</v>
      </c>
      <c r="G318">
        <f t="shared" si="8"/>
        <v>0</v>
      </c>
    </row>
    <row r="319" spans="1:7" x14ac:dyDescent="0.25">
      <c r="A319">
        <v>318</v>
      </c>
      <c r="B319">
        <v>20</v>
      </c>
      <c r="C319">
        <v>5</v>
      </c>
      <c r="D319" t="s">
        <v>5</v>
      </c>
      <c r="E319">
        <v>0</v>
      </c>
      <c r="F319" t="str">
        <f t="shared" si="9"/>
        <v>TAK</v>
      </c>
      <c r="G319">
        <f t="shared" si="8"/>
        <v>1</v>
      </c>
    </row>
    <row r="320" spans="1:7" x14ac:dyDescent="0.25">
      <c r="A320">
        <v>319</v>
      </c>
      <c r="B320">
        <v>21.8</v>
      </c>
      <c r="C320">
        <v>4</v>
      </c>
      <c r="D320" t="s">
        <v>5</v>
      </c>
      <c r="E320">
        <v>0</v>
      </c>
      <c r="F320" t="str">
        <f t="shared" si="9"/>
        <v>TAK</v>
      </c>
      <c r="G320">
        <f t="shared" si="8"/>
        <v>2</v>
      </c>
    </row>
    <row r="321" spans="1:7" x14ac:dyDescent="0.25">
      <c r="A321">
        <v>320</v>
      </c>
      <c r="B321">
        <v>23.6</v>
      </c>
      <c r="C321">
        <v>7</v>
      </c>
      <c r="D321" t="s">
        <v>5</v>
      </c>
      <c r="E321">
        <v>0</v>
      </c>
      <c r="F321" t="str">
        <f t="shared" si="9"/>
        <v>TAK</v>
      </c>
      <c r="G321">
        <f t="shared" si="8"/>
        <v>3</v>
      </c>
    </row>
    <row r="322" spans="1:7" x14ac:dyDescent="0.25">
      <c r="A322">
        <v>321</v>
      </c>
      <c r="B322">
        <v>24.4</v>
      </c>
      <c r="C322">
        <v>12</v>
      </c>
      <c r="D322" t="s">
        <v>5</v>
      </c>
      <c r="E322">
        <v>0</v>
      </c>
      <c r="F322" t="str">
        <f t="shared" si="9"/>
        <v>TAK</v>
      </c>
      <c r="G322">
        <f t="shared" si="8"/>
        <v>4</v>
      </c>
    </row>
    <row r="323" spans="1:7" x14ac:dyDescent="0.25">
      <c r="A323">
        <v>322</v>
      </c>
      <c r="B323">
        <v>23.6</v>
      </c>
      <c r="C323">
        <v>5</v>
      </c>
      <c r="D323" t="s">
        <v>5</v>
      </c>
      <c r="E323">
        <v>0</v>
      </c>
      <c r="F323" t="str">
        <f t="shared" si="9"/>
        <v>NIE</v>
      </c>
      <c r="G323">
        <f t="shared" si="8"/>
        <v>0</v>
      </c>
    </row>
    <row r="324" spans="1:7" x14ac:dyDescent="0.25">
      <c r="A324">
        <v>323</v>
      </c>
      <c r="B324">
        <v>21.3</v>
      </c>
      <c r="C324">
        <v>3</v>
      </c>
      <c r="D324" t="s">
        <v>5</v>
      </c>
      <c r="E324">
        <v>0</v>
      </c>
      <c r="F324" t="str">
        <f t="shared" si="9"/>
        <v>NIE</v>
      </c>
      <c r="G324">
        <f t="shared" ref="G324:G387" si="10">IF(F324 = "TAK",G323+1,0)</f>
        <v>0</v>
      </c>
    </row>
    <row r="325" spans="1:7" x14ac:dyDescent="0.25">
      <c r="A325">
        <v>324</v>
      </c>
      <c r="B325">
        <v>17.7</v>
      </c>
      <c r="C325">
        <v>21</v>
      </c>
      <c r="D325" t="s">
        <v>5</v>
      </c>
      <c r="E325">
        <v>0</v>
      </c>
      <c r="F325" t="str">
        <f t="shared" ref="F325:F388" si="11">IF(B324&lt;B325,"TAK","NIE")</f>
        <v>NIE</v>
      </c>
      <c r="G325">
        <f t="shared" si="10"/>
        <v>0</v>
      </c>
    </row>
    <row r="326" spans="1:7" x14ac:dyDescent="0.25">
      <c r="A326">
        <v>325</v>
      </c>
      <c r="B326">
        <v>13.6</v>
      </c>
      <c r="C326">
        <v>18</v>
      </c>
      <c r="D326" t="s">
        <v>5</v>
      </c>
      <c r="E326">
        <v>0</v>
      </c>
      <c r="F326" t="str">
        <f t="shared" si="11"/>
        <v>NIE</v>
      </c>
      <c r="G326">
        <f t="shared" si="10"/>
        <v>0</v>
      </c>
    </row>
    <row r="327" spans="1:7" x14ac:dyDescent="0.25">
      <c r="A327">
        <v>326</v>
      </c>
      <c r="B327">
        <v>10</v>
      </c>
      <c r="C327">
        <v>13</v>
      </c>
      <c r="D327" t="s">
        <v>5</v>
      </c>
      <c r="E327">
        <v>0</v>
      </c>
      <c r="F327" t="str">
        <f t="shared" si="11"/>
        <v>NIE</v>
      </c>
      <c r="G327">
        <f t="shared" si="10"/>
        <v>0</v>
      </c>
    </row>
    <row r="328" spans="1:7" x14ac:dyDescent="0.25">
      <c r="A328">
        <v>327</v>
      </c>
      <c r="B328">
        <v>7.6</v>
      </c>
      <c r="C328">
        <v>28</v>
      </c>
      <c r="D328" t="s">
        <v>5</v>
      </c>
      <c r="E328">
        <v>0</v>
      </c>
      <c r="F328" t="str">
        <f t="shared" si="11"/>
        <v>NIE</v>
      </c>
      <c r="G328">
        <f t="shared" si="10"/>
        <v>0</v>
      </c>
    </row>
    <row r="329" spans="1:7" x14ac:dyDescent="0.25">
      <c r="A329">
        <v>328</v>
      </c>
      <c r="B329">
        <v>6.8</v>
      </c>
      <c r="C329">
        <v>0</v>
      </c>
      <c r="D329" t="s">
        <v>5</v>
      </c>
      <c r="E329">
        <v>0</v>
      </c>
      <c r="F329" t="str">
        <f t="shared" si="11"/>
        <v>NIE</v>
      </c>
      <c r="G329">
        <f t="shared" si="10"/>
        <v>0</v>
      </c>
    </row>
    <row r="330" spans="1:7" x14ac:dyDescent="0.25">
      <c r="A330">
        <v>329</v>
      </c>
      <c r="B330">
        <v>7.5</v>
      </c>
      <c r="C330">
        <v>2</v>
      </c>
      <c r="D330" t="s">
        <v>5</v>
      </c>
      <c r="E330">
        <v>0</v>
      </c>
      <c r="F330" t="str">
        <f t="shared" si="11"/>
        <v>TAK</v>
      </c>
      <c r="G330">
        <f t="shared" si="10"/>
        <v>1</v>
      </c>
    </row>
    <row r="331" spans="1:7" x14ac:dyDescent="0.25">
      <c r="A331">
        <v>330</v>
      </c>
      <c r="B331">
        <v>9.1</v>
      </c>
      <c r="C331">
        <v>2</v>
      </c>
      <c r="D331" t="s">
        <v>5</v>
      </c>
      <c r="E331">
        <v>0</v>
      </c>
      <c r="F331" t="str">
        <f t="shared" si="11"/>
        <v>TAK</v>
      </c>
      <c r="G331">
        <f t="shared" si="10"/>
        <v>2</v>
      </c>
    </row>
    <row r="332" spans="1:7" x14ac:dyDescent="0.25">
      <c r="A332">
        <v>331</v>
      </c>
      <c r="B332">
        <v>10.9</v>
      </c>
      <c r="C332">
        <v>6</v>
      </c>
      <c r="D332" t="s">
        <v>5</v>
      </c>
      <c r="E332">
        <v>0</v>
      </c>
      <c r="F332" t="str">
        <f t="shared" si="11"/>
        <v>TAK</v>
      </c>
      <c r="G332">
        <f t="shared" si="10"/>
        <v>3</v>
      </c>
    </row>
    <row r="333" spans="1:7" x14ac:dyDescent="0.25">
      <c r="A333">
        <v>332</v>
      </c>
      <c r="B333">
        <v>11.8</v>
      </c>
      <c r="C333">
        <v>11</v>
      </c>
      <c r="D333" t="s">
        <v>5</v>
      </c>
      <c r="E333">
        <v>0</v>
      </c>
      <c r="F333" t="str">
        <f t="shared" si="11"/>
        <v>TAK</v>
      </c>
      <c r="G333">
        <f t="shared" si="10"/>
        <v>4</v>
      </c>
    </row>
    <row r="334" spans="1:7" x14ac:dyDescent="0.25">
      <c r="A334">
        <v>333</v>
      </c>
      <c r="B334">
        <v>11.5</v>
      </c>
      <c r="C334">
        <v>9</v>
      </c>
      <c r="D334" t="s">
        <v>5</v>
      </c>
      <c r="E334">
        <v>0</v>
      </c>
      <c r="F334" t="str">
        <f t="shared" si="11"/>
        <v>NIE</v>
      </c>
      <c r="G334">
        <f t="shared" si="10"/>
        <v>0</v>
      </c>
    </row>
    <row r="335" spans="1:7" x14ac:dyDescent="0.25">
      <c r="A335">
        <v>334</v>
      </c>
      <c r="B335">
        <v>9.6999999999999993</v>
      </c>
      <c r="C335">
        <v>7</v>
      </c>
      <c r="D335" t="s">
        <v>5</v>
      </c>
      <c r="E335">
        <v>0</v>
      </c>
      <c r="F335" t="str">
        <f t="shared" si="11"/>
        <v>NIE</v>
      </c>
      <c r="G335">
        <f t="shared" si="10"/>
        <v>0</v>
      </c>
    </row>
    <row r="336" spans="1:7" x14ac:dyDescent="0.25">
      <c r="A336">
        <v>335</v>
      </c>
      <c r="B336">
        <v>6.9</v>
      </c>
      <c r="C336">
        <v>17</v>
      </c>
      <c r="D336" t="s">
        <v>5</v>
      </c>
      <c r="E336">
        <v>0</v>
      </c>
      <c r="F336" t="str">
        <f t="shared" si="11"/>
        <v>NIE</v>
      </c>
      <c r="G336">
        <f t="shared" si="10"/>
        <v>0</v>
      </c>
    </row>
    <row r="337" spans="1:7" x14ac:dyDescent="0.25">
      <c r="A337">
        <v>336</v>
      </c>
      <c r="B337">
        <v>3.8</v>
      </c>
      <c r="C337">
        <v>1</v>
      </c>
      <c r="D337" t="s">
        <v>5</v>
      </c>
      <c r="E337">
        <v>0</v>
      </c>
      <c r="F337" t="str">
        <f t="shared" si="11"/>
        <v>NIE</v>
      </c>
      <c r="G337">
        <f t="shared" si="10"/>
        <v>0</v>
      </c>
    </row>
    <row r="338" spans="1:7" x14ac:dyDescent="0.25">
      <c r="A338">
        <v>337</v>
      </c>
      <c r="B338">
        <v>1.2</v>
      </c>
      <c r="C338">
        <v>2</v>
      </c>
      <c r="D338" t="s">
        <v>5</v>
      </c>
      <c r="E338">
        <v>0</v>
      </c>
      <c r="F338" t="str">
        <f t="shared" si="11"/>
        <v>NIE</v>
      </c>
      <c r="G338">
        <f t="shared" si="10"/>
        <v>0</v>
      </c>
    </row>
    <row r="339" spans="1:7" x14ac:dyDescent="0.25">
      <c r="A339">
        <v>338</v>
      </c>
      <c r="B339">
        <v>0.1</v>
      </c>
      <c r="C339">
        <v>15</v>
      </c>
      <c r="D339" t="s">
        <v>5</v>
      </c>
      <c r="E339">
        <v>0</v>
      </c>
      <c r="F339" t="str">
        <f t="shared" si="11"/>
        <v>NIE</v>
      </c>
      <c r="G339">
        <f t="shared" si="10"/>
        <v>0</v>
      </c>
    </row>
    <row r="340" spans="1:7" x14ac:dyDescent="0.25">
      <c r="A340">
        <v>339</v>
      </c>
      <c r="B340">
        <v>0.6</v>
      </c>
      <c r="C340">
        <v>21</v>
      </c>
      <c r="D340" t="s">
        <v>5</v>
      </c>
      <c r="E340">
        <v>0</v>
      </c>
      <c r="F340" t="str">
        <f t="shared" si="11"/>
        <v>TAK</v>
      </c>
      <c r="G340">
        <f t="shared" si="10"/>
        <v>1</v>
      </c>
    </row>
    <row r="341" spans="1:7" x14ac:dyDescent="0.25">
      <c r="A341">
        <v>340</v>
      </c>
      <c r="B341">
        <v>2.8</v>
      </c>
      <c r="C341">
        <v>8</v>
      </c>
      <c r="D341" t="s">
        <v>5</v>
      </c>
      <c r="E341">
        <v>0</v>
      </c>
      <c r="F341" t="str">
        <f t="shared" si="11"/>
        <v>TAK</v>
      </c>
      <c r="G341">
        <f t="shared" si="10"/>
        <v>2</v>
      </c>
    </row>
    <row r="342" spans="1:7" x14ac:dyDescent="0.25">
      <c r="A342">
        <v>341</v>
      </c>
      <c r="B342">
        <v>6</v>
      </c>
      <c r="C342">
        <v>27</v>
      </c>
      <c r="D342" t="s">
        <v>5</v>
      </c>
      <c r="E342">
        <v>0</v>
      </c>
      <c r="F342" t="str">
        <f t="shared" si="11"/>
        <v>TAK</v>
      </c>
      <c r="G342">
        <f t="shared" si="10"/>
        <v>3</v>
      </c>
    </row>
    <row r="343" spans="1:7" x14ac:dyDescent="0.25">
      <c r="A343">
        <v>342</v>
      </c>
      <c r="B343">
        <v>9.3000000000000007</v>
      </c>
      <c r="C343">
        <v>0</v>
      </c>
      <c r="D343" t="s">
        <v>5</v>
      </c>
      <c r="E343">
        <v>0</v>
      </c>
      <c r="F343" t="str">
        <f t="shared" si="11"/>
        <v>TAK</v>
      </c>
      <c r="G343">
        <f t="shared" si="10"/>
        <v>4</v>
      </c>
    </row>
    <row r="344" spans="1:7" x14ac:dyDescent="0.25">
      <c r="A344">
        <v>343</v>
      </c>
      <c r="B344">
        <v>11.8</v>
      </c>
      <c r="C344">
        <v>1</v>
      </c>
      <c r="D344" t="s">
        <v>5</v>
      </c>
      <c r="E344">
        <v>0</v>
      </c>
      <c r="F344" t="str">
        <f t="shared" si="11"/>
        <v>TAK</v>
      </c>
      <c r="G344">
        <f t="shared" si="10"/>
        <v>5</v>
      </c>
    </row>
    <row r="345" spans="1:7" x14ac:dyDescent="0.25">
      <c r="A345">
        <v>344</v>
      </c>
      <c r="B345">
        <v>13.1</v>
      </c>
      <c r="C345">
        <v>4</v>
      </c>
      <c r="D345" t="s">
        <v>5</v>
      </c>
      <c r="E345">
        <v>0</v>
      </c>
      <c r="F345" t="str">
        <f t="shared" si="11"/>
        <v>TAK</v>
      </c>
      <c r="G345">
        <f t="shared" si="10"/>
        <v>6</v>
      </c>
    </row>
    <row r="346" spans="1:7" x14ac:dyDescent="0.25">
      <c r="A346">
        <v>345</v>
      </c>
      <c r="B346">
        <v>12.9</v>
      </c>
      <c r="C346">
        <v>1</v>
      </c>
      <c r="D346" t="s">
        <v>5</v>
      </c>
      <c r="E346">
        <v>0</v>
      </c>
      <c r="F346" t="str">
        <f t="shared" si="11"/>
        <v>NIE</v>
      </c>
      <c r="G346">
        <f t="shared" si="10"/>
        <v>0</v>
      </c>
    </row>
    <row r="347" spans="1:7" x14ac:dyDescent="0.25">
      <c r="A347">
        <v>346</v>
      </c>
      <c r="B347">
        <v>11.6</v>
      </c>
      <c r="C347">
        <v>2</v>
      </c>
      <c r="D347" t="s">
        <v>5</v>
      </c>
      <c r="E347">
        <v>0</v>
      </c>
      <c r="F347" t="str">
        <f t="shared" si="11"/>
        <v>NIE</v>
      </c>
      <c r="G347">
        <f t="shared" si="10"/>
        <v>0</v>
      </c>
    </row>
    <row r="348" spans="1:7" x14ac:dyDescent="0.25">
      <c r="A348">
        <v>347</v>
      </c>
      <c r="B348">
        <v>9.9</v>
      </c>
      <c r="C348">
        <v>3</v>
      </c>
      <c r="D348" t="s">
        <v>5</v>
      </c>
      <c r="E348">
        <v>0</v>
      </c>
      <c r="F348" t="str">
        <f t="shared" si="11"/>
        <v>NIE</v>
      </c>
      <c r="G348">
        <f t="shared" si="10"/>
        <v>0</v>
      </c>
    </row>
    <row r="349" spans="1:7" x14ac:dyDescent="0.25">
      <c r="A349">
        <v>348</v>
      </c>
      <c r="B349">
        <v>8.6999999999999993</v>
      </c>
      <c r="C349">
        <v>8</v>
      </c>
      <c r="D349" t="s">
        <v>5</v>
      </c>
      <c r="E349">
        <v>0</v>
      </c>
      <c r="F349" t="str">
        <f t="shared" si="11"/>
        <v>NIE</v>
      </c>
      <c r="G349">
        <f t="shared" si="10"/>
        <v>0</v>
      </c>
    </row>
    <row r="350" spans="1:7" x14ac:dyDescent="0.25">
      <c r="A350">
        <v>349</v>
      </c>
      <c r="B350">
        <v>8.8000000000000007</v>
      </c>
      <c r="C350">
        <v>18</v>
      </c>
      <c r="D350" t="s">
        <v>5</v>
      </c>
      <c r="E350">
        <v>0</v>
      </c>
      <c r="F350" t="str">
        <f t="shared" si="11"/>
        <v>TAK</v>
      </c>
      <c r="G350">
        <f t="shared" si="10"/>
        <v>1</v>
      </c>
    </row>
    <row r="351" spans="1:7" x14ac:dyDescent="0.25">
      <c r="A351">
        <v>350</v>
      </c>
      <c r="B351">
        <v>10.5</v>
      </c>
      <c r="C351">
        <v>15</v>
      </c>
      <c r="D351" t="s">
        <v>5</v>
      </c>
      <c r="E351">
        <v>0</v>
      </c>
      <c r="F351" t="str">
        <f t="shared" si="11"/>
        <v>TAK</v>
      </c>
      <c r="G351">
        <f t="shared" si="10"/>
        <v>2</v>
      </c>
    </row>
    <row r="352" spans="1:7" x14ac:dyDescent="0.25">
      <c r="A352">
        <v>351</v>
      </c>
      <c r="B352">
        <v>13.5</v>
      </c>
      <c r="C352">
        <v>1</v>
      </c>
      <c r="D352" t="s">
        <v>5</v>
      </c>
      <c r="E352">
        <v>0</v>
      </c>
      <c r="F352" t="str">
        <f t="shared" si="11"/>
        <v>TAK</v>
      </c>
      <c r="G352">
        <f t="shared" si="10"/>
        <v>3</v>
      </c>
    </row>
    <row r="353" spans="1:7" x14ac:dyDescent="0.25">
      <c r="A353">
        <v>352</v>
      </c>
      <c r="B353">
        <v>17.5</v>
      </c>
      <c r="C353">
        <v>22</v>
      </c>
      <c r="D353" t="s">
        <v>5</v>
      </c>
      <c r="E353">
        <v>0</v>
      </c>
      <c r="F353" t="str">
        <f t="shared" si="11"/>
        <v>TAK</v>
      </c>
      <c r="G353">
        <f t="shared" si="10"/>
        <v>4</v>
      </c>
    </row>
    <row r="354" spans="1:7" x14ac:dyDescent="0.25">
      <c r="A354">
        <v>353</v>
      </c>
      <c r="B354">
        <v>21.4</v>
      </c>
      <c r="C354">
        <v>4</v>
      </c>
      <c r="D354" t="s">
        <v>5</v>
      </c>
      <c r="E354">
        <v>0</v>
      </c>
      <c r="F354" t="str">
        <f t="shared" si="11"/>
        <v>TAK</v>
      </c>
      <c r="G354">
        <f t="shared" si="10"/>
        <v>5</v>
      </c>
    </row>
    <row r="355" spans="1:7" x14ac:dyDescent="0.25">
      <c r="A355">
        <v>354</v>
      </c>
      <c r="B355">
        <v>24.4</v>
      </c>
      <c r="C355">
        <v>4</v>
      </c>
      <c r="D355" t="s">
        <v>5</v>
      </c>
      <c r="E355">
        <v>0</v>
      </c>
      <c r="F355" t="str">
        <f t="shared" si="11"/>
        <v>TAK</v>
      </c>
      <c r="G355">
        <f t="shared" si="10"/>
        <v>6</v>
      </c>
    </row>
    <row r="356" spans="1:7" x14ac:dyDescent="0.25">
      <c r="A356">
        <v>355</v>
      </c>
      <c r="B356">
        <v>25.8</v>
      </c>
      <c r="C356">
        <v>11</v>
      </c>
      <c r="D356" t="s">
        <v>5</v>
      </c>
      <c r="E356">
        <v>0</v>
      </c>
      <c r="F356" t="str">
        <f t="shared" si="11"/>
        <v>TAK</v>
      </c>
      <c r="G356">
        <f t="shared" si="10"/>
        <v>7</v>
      </c>
    </row>
    <row r="357" spans="1:7" x14ac:dyDescent="0.25">
      <c r="A357">
        <v>356</v>
      </c>
      <c r="B357">
        <v>25.6</v>
      </c>
      <c r="C357">
        <v>25</v>
      </c>
      <c r="D357" t="s">
        <v>5</v>
      </c>
      <c r="E357">
        <v>0</v>
      </c>
      <c r="F357" t="str">
        <f t="shared" si="11"/>
        <v>NIE</v>
      </c>
      <c r="G357">
        <f t="shared" si="10"/>
        <v>0</v>
      </c>
    </row>
    <row r="358" spans="1:7" x14ac:dyDescent="0.25">
      <c r="A358">
        <v>357</v>
      </c>
      <c r="B358">
        <v>24.1</v>
      </c>
      <c r="C358">
        <v>0</v>
      </c>
      <c r="D358" t="s">
        <v>5</v>
      </c>
      <c r="E358">
        <v>0</v>
      </c>
      <c r="F358" t="str">
        <f t="shared" si="11"/>
        <v>NIE</v>
      </c>
      <c r="G358">
        <f t="shared" si="10"/>
        <v>0</v>
      </c>
    </row>
    <row r="359" spans="1:7" x14ac:dyDescent="0.25">
      <c r="A359">
        <v>358</v>
      </c>
      <c r="B359">
        <v>22</v>
      </c>
      <c r="C359">
        <v>4</v>
      </c>
      <c r="D359" t="s">
        <v>5</v>
      </c>
      <c r="E359">
        <v>0</v>
      </c>
      <c r="F359" t="str">
        <f t="shared" si="11"/>
        <v>NIE</v>
      </c>
      <c r="G359">
        <f t="shared" si="10"/>
        <v>0</v>
      </c>
    </row>
    <row r="360" spans="1:7" x14ac:dyDescent="0.25">
      <c r="A360">
        <v>359</v>
      </c>
      <c r="B360">
        <v>20.3</v>
      </c>
      <c r="C360">
        <v>4</v>
      </c>
      <c r="D360" t="s">
        <v>5</v>
      </c>
      <c r="E360">
        <v>0</v>
      </c>
      <c r="F360" t="str">
        <f t="shared" si="11"/>
        <v>NIE</v>
      </c>
      <c r="G360">
        <f t="shared" si="10"/>
        <v>0</v>
      </c>
    </row>
    <row r="361" spans="1:7" x14ac:dyDescent="0.25">
      <c r="A361">
        <v>360</v>
      </c>
      <c r="B361">
        <v>19.600000000000001</v>
      </c>
      <c r="C361">
        <v>1</v>
      </c>
      <c r="D361" t="s">
        <v>5</v>
      </c>
      <c r="E361">
        <v>0</v>
      </c>
      <c r="F361" t="str">
        <f t="shared" si="11"/>
        <v>NIE</v>
      </c>
      <c r="G361">
        <f t="shared" si="10"/>
        <v>0</v>
      </c>
    </row>
    <row r="362" spans="1:7" x14ac:dyDescent="0.25">
      <c r="A362">
        <v>361</v>
      </c>
      <c r="B362">
        <v>20.3</v>
      </c>
      <c r="C362">
        <v>11</v>
      </c>
      <c r="D362" t="s">
        <v>5</v>
      </c>
      <c r="E362">
        <v>0</v>
      </c>
      <c r="F362" t="str">
        <f t="shared" si="11"/>
        <v>TAK</v>
      </c>
      <c r="G362">
        <f t="shared" si="10"/>
        <v>1</v>
      </c>
    </row>
    <row r="363" spans="1:7" x14ac:dyDescent="0.25">
      <c r="A363">
        <v>362</v>
      </c>
      <c r="B363">
        <v>22.3</v>
      </c>
      <c r="C363">
        <v>12</v>
      </c>
      <c r="D363" t="s">
        <v>5</v>
      </c>
      <c r="E363">
        <v>0</v>
      </c>
      <c r="F363" t="str">
        <f t="shared" si="11"/>
        <v>TAK</v>
      </c>
      <c r="G363">
        <f t="shared" si="10"/>
        <v>2</v>
      </c>
    </row>
    <row r="364" spans="1:7" x14ac:dyDescent="0.25">
      <c r="A364">
        <v>363</v>
      </c>
      <c r="B364">
        <v>25</v>
      </c>
      <c r="C364">
        <v>2</v>
      </c>
      <c r="D364" t="s">
        <v>5</v>
      </c>
      <c r="E364">
        <v>0</v>
      </c>
      <c r="F364" t="str">
        <f t="shared" si="11"/>
        <v>TAK</v>
      </c>
      <c r="G364">
        <f t="shared" si="10"/>
        <v>3</v>
      </c>
    </row>
    <row r="365" spans="1:7" x14ac:dyDescent="0.25">
      <c r="A365">
        <v>364</v>
      </c>
      <c r="B365">
        <v>27.5</v>
      </c>
      <c r="C365">
        <v>4</v>
      </c>
      <c r="D365" t="s">
        <v>5</v>
      </c>
      <c r="E365">
        <v>0</v>
      </c>
      <c r="F365" t="str">
        <f t="shared" si="11"/>
        <v>TAK</v>
      </c>
      <c r="G365">
        <f t="shared" si="10"/>
        <v>4</v>
      </c>
    </row>
    <row r="366" spans="1:7" x14ac:dyDescent="0.25">
      <c r="A366">
        <v>365</v>
      </c>
      <c r="B366">
        <v>29.1</v>
      </c>
      <c r="C366">
        <v>18</v>
      </c>
      <c r="D366" t="s">
        <v>5</v>
      </c>
      <c r="E366">
        <v>0</v>
      </c>
      <c r="F366" t="str">
        <f t="shared" si="11"/>
        <v>TAK</v>
      </c>
      <c r="G366">
        <f t="shared" si="10"/>
        <v>5</v>
      </c>
    </row>
    <row r="367" spans="1:7" x14ac:dyDescent="0.25">
      <c r="A367">
        <v>366</v>
      </c>
      <c r="B367">
        <v>29</v>
      </c>
      <c r="C367">
        <v>2</v>
      </c>
      <c r="D367" t="s">
        <v>5</v>
      </c>
      <c r="E367">
        <v>0</v>
      </c>
      <c r="F367" t="str">
        <f t="shared" si="11"/>
        <v>NIE</v>
      </c>
      <c r="G367">
        <f t="shared" si="10"/>
        <v>0</v>
      </c>
    </row>
    <row r="368" spans="1:7" x14ac:dyDescent="0.25">
      <c r="A368">
        <v>367</v>
      </c>
      <c r="B368">
        <v>27.2</v>
      </c>
      <c r="C368">
        <v>19</v>
      </c>
      <c r="D368" t="s">
        <v>5</v>
      </c>
      <c r="E368">
        <v>0</v>
      </c>
      <c r="F368" t="str">
        <f t="shared" si="11"/>
        <v>NIE</v>
      </c>
      <c r="G368">
        <f t="shared" si="10"/>
        <v>0</v>
      </c>
    </row>
    <row r="369" spans="1:7" x14ac:dyDescent="0.25">
      <c r="A369">
        <v>368</v>
      </c>
      <c r="B369">
        <v>24.1</v>
      </c>
      <c r="C369">
        <v>16</v>
      </c>
      <c r="D369" t="s">
        <v>5</v>
      </c>
      <c r="E369">
        <v>0</v>
      </c>
      <c r="F369" t="str">
        <f t="shared" si="11"/>
        <v>NIE</v>
      </c>
      <c r="G369">
        <f t="shared" si="10"/>
        <v>0</v>
      </c>
    </row>
    <row r="370" spans="1:7" x14ac:dyDescent="0.25">
      <c r="A370">
        <v>369</v>
      </c>
      <c r="B370">
        <v>20.399999999999999</v>
      </c>
      <c r="C370">
        <v>24</v>
      </c>
      <c r="D370" t="s">
        <v>5</v>
      </c>
      <c r="E370">
        <v>0</v>
      </c>
      <c r="F370" t="str">
        <f t="shared" si="11"/>
        <v>NIE</v>
      </c>
      <c r="G370">
        <f t="shared" si="10"/>
        <v>0</v>
      </c>
    </row>
    <row r="371" spans="1:7" x14ac:dyDescent="0.25">
      <c r="A371">
        <v>370</v>
      </c>
      <c r="B371">
        <v>17.100000000000001</v>
      </c>
      <c r="C371">
        <v>24</v>
      </c>
      <c r="D371" t="s">
        <v>5</v>
      </c>
      <c r="E371">
        <v>0</v>
      </c>
      <c r="F371" t="str">
        <f t="shared" si="11"/>
        <v>NIE</v>
      </c>
      <c r="G371">
        <f t="shared" si="10"/>
        <v>0</v>
      </c>
    </row>
    <row r="372" spans="1:7" x14ac:dyDescent="0.25">
      <c r="A372">
        <v>371</v>
      </c>
      <c r="B372">
        <v>14.9</v>
      </c>
      <c r="C372">
        <v>0</v>
      </c>
      <c r="D372" t="s">
        <v>5</v>
      </c>
      <c r="E372">
        <v>0</v>
      </c>
      <c r="F372" t="str">
        <f t="shared" si="11"/>
        <v>NIE</v>
      </c>
      <c r="G372">
        <f t="shared" si="10"/>
        <v>0</v>
      </c>
    </row>
    <row r="373" spans="1:7" x14ac:dyDescent="0.25">
      <c r="A373">
        <v>372</v>
      </c>
      <c r="B373">
        <v>14.1</v>
      </c>
      <c r="C373">
        <v>3</v>
      </c>
      <c r="D373" t="s">
        <v>5</v>
      </c>
      <c r="E373">
        <v>0</v>
      </c>
      <c r="F373" t="str">
        <f t="shared" si="11"/>
        <v>NIE</v>
      </c>
      <c r="G373">
        <f t="shared" si="10"/>
        <v>0</v>
      </c>
    </row>
    <row r="374" spans="1:7" x14ac:dyDescent="0.25">
      <c r="A374">
        <v>373</v>
      </c>
      <c r="B374">
        <v>14.8</v>
      </c>
      <c r="C374">
        <v>6</v>
      </c>
      <c r="D374" t="s">
        <v>5</v>
      </c>
      <c r="E374">
        <v>0</v>
      </c>
      <c r="F374" t="str">
        <f t="shared" si="11"/>
        <v>TAK</v>
      </c>
      <c r="G374">
        <f t="shared" si="10"/>
        <v>1</v>
      </c>
    </row>
    <row r="375" spans="1:7" x14ac:dyDescent="0.25">
      <c r="A375">
        <v>374</v>
      </c>
      <c r="B375">
        <v>16.3</v>
      </c>
      <c r="C375">
        <v>6</v>
      </c>
      <c r="D375" t="s">
        <v>5</v>
      </c>
      <c r="E375">
        <v>0</v>
      </c>
      <c r="F375" t="str">
        <f t="shared" si="11"/>
        <v>TAK</v>
      </c>
      <c r="G375">
        <f t="shared" si="10"/>
        <v>2</v>
      </c>
    </row>
    <row r="376" spans="1:7" x14ac:dyDescent="0.25">
      <c r="A376">
        <v>375</v>
      </c>
      <c r="B376">
        <v>17.7</v>
      </c>
      <c r="C376">
        <v>8</v>
      </c>
      <c r="D376" t="s">
        <v>5</v>
      </c>
      <c r="E376">
        <v>0</v>
      </c>
      <c r="F376" t="str">
        <f t="shared" si="11"/>
        <v>TAK</v>
      </c>
      <c r="G376">
        <f t="shared" si="10"/>
        <v>3</v>
      </c>
    </row>
    <row r="377" spans="1:7" x14ac:dyDescent="0.25">
      <c r="A377">
        <v>376</v>
      </c>
      <c r="B377">
        <v>18.3</v>
      </c>
      <c r="C377">
        <v>3</v>
      </c>
      <c r="D377" t="s">
        <v>5</v>
      </c>
      <c r="E377">
        <v>0</v>
      </c>
      <c r="F377" t="str">
        <f t="shared" si="11"/>
        <v>TAK</v>
      </c>
      <c r="G377">
        <f t="shared" si="10"/>
        <v>4</v>
      </c>
    </row>
    <row r="378" spans="1:7" x14ac:dyDescent="0.25">
      <c r="A378">
        <v>377</v>
      </c>
      <c r="B378">
        <v>17.5</v>
      </c>
      <c r="C378">
        <v>6</v>
      </c>
      <c r="D378" t="s">
        <v>5</v>
      </c>
      <c r="E378">
        <v>0</v>
      </c>
      <c r="F378" t="str">
        <f t="shared" si="11"/>
        <v>NIE</v>
      </c>
      <c r="G378">
        <f t="shared" si="10"/>
        <v>0</v>
      </c>
    </row>
    <row r="379" spans="1:7" x14ac:dyDescent="0.25">
      <c r="A379">
        <v>378</v>
      </c>
      <c r="B379">
        <v>15.1</v>
      </c>
      <c r="C379">
        <v>7</v>
      </c>
      <c r="D379" t="s">
        <v>5</v>
      </c>
      <c r="E379">
        <v>0</v>
      </c>
      <c r="F379" t="str">
        <f t="shared" si="11"/>
        <v>NIE</v>
      </c>
      <c r="G379">
        <f t="shared" si="10"/>
        <v>0</v>
      </c>
    </row>
    <row r="380" spans="1:7" x14ac:dyDescent="0.25">
      <c r="A380">
        <v>379</v>
      </c>
      <c r="B380">
        <v>11.6</v>
      </c>
      <c r="C380">
        <v>11</v>
      </c>
      <c r="D380" t="s">
        <v>5</v>
      </c>
      <c r="E380">
        <v>0</v>
      </c>
      <c r="F380" t="str">
        <f t="shared" si="11"/>
        <v>NIE</v>
      </c>
      <c r="G380">
        <f t="shared" si="10"/>
        <v>0</v>
      </c>
    </row>
    <row r="381" spans="1:7" x14ac:dyDescent="0.25">
      <c r="A381">
        <v>380</v>
      </c>
      <c r="B381">
        <v>7.7</v>
      </c>
      <c r="C381">
        <v>10</v>
      </c>
      <c r="D381" t="s">
        <v>5</v>
      </c>
      <c r="E381">
        <v>0</v>
      </c>
      <c r="F381" t="str">
        <f t="shared" si="11"/>
        <v>NIE</v>
      </c>
      <c r="G381">
        <f t="shared" si="10"/>
        <v>0</v>
      </c>
    </row>
    <row r="382" spans="1:7" x14ac:dyDescent="0.25">
      <c r="A382">
        <v>381</v>
      </c>
      <c r="B382">
        <v>4.4000000000000004</v>
      </c>
      <c r="C382">
        <v>21</v>
      </c>
      <c r="D382" t="s">
        <v>5</v>
      </c>
      <c r="E382">
        <v>0</v>
      </c>
      <c r="F382" t="str">
        <f t="shared" si="11"/>
        <v>NIE</v>
      </c>
      <c r="G382">
        <f t="shared" si="10"/>
        <v>0</v>
      </c>
    </row>
    <row r="383" spans="1:7" x14ac:dyDescent="0.25">
      <c r="A383">
        <v>382</v>
      </c>
      <c r="B383">
        <v>2.2999999999999998</v>
      </c>
      <c r="C383">
        <v>22</v>
      </c>
      <c r="D383" t="s">
        <v>5</v>
      </c>
      <c r="E383">
        <v>0</v>
      </c>
      <c r="F383" t="str">
        <f t="shared" si="11"/>
        <v>NIE</v>
      </c>
      <c r="G383">
        <f t="shared" si="10"/>
        <v>0</v>
      </c>
    </row>
    <row r="384" spans="1:7" x14ac:dyDescent="0.25">
      <c r="A384">
        <v>383</v>
      </c>
      <c r="B384">
        <v>2</v>
      </c>
      <c r="C384">
        <v>22</v>
      </c>
      <c r="D384" t="s">
        <v>5</v>
      </c>
      <c r="E384">
        <v>0</v>
      </c>
      <c r="F384" t="str">
        <f t="shared" si="11"/>
        <v>NIE</v>
      </c>
      <c r="G384">
        <f t="shared" si="10"/>
        <v>0</v>
      </c>
    </row>
    <row r="385" spans="1:7" x14ac:dyDescent="0.25">
      <c r="A385">
        <v>384</v>
      </c>
      <c r="B385">
        <v>3.2</v>
      </c>
      <c r="C385">
        <v>29</v>
      </c>
      <c r="D385" t="s">
        <v>5</v>
      </c>
      <c r="E385">
        <v>0</v>
      </c>
      <c r="F385" t="str">
        <f t="shared" si="11"/>
        <v>TAK</v>
      </c>
      <c r="G385">
        <f t="shared" si="10"/>
        <v>1</v>
      </c>
    </row>
    <row r="386" spans="1:7" x14ac:dyDescent="0.25">
      <c r="A386">
        <v>385</v>
      </c>
      <c r="B386">
        <v>5.5</v>
      </c>
      <c r="C386">
        <v>0</v>
      </c>
      <c r="D386" t="s">
        <v>5</v>
      </c>
      <c r="E386">
        <v>0</v>
      </c>
      <c r="F386" t="str">
        <f t="shared" si="11"/>
        <v>TAK</v>
      </c>
      <c r="G386">
        <f t="shared" si="10"/>
        <v>2</v>
      </c>
    </row>
    <row r="387" spans="1:7" x14ac:dyDescent="0.25">
      <c r="A387">
        <v>386</v>
      </c>
      <c r="B387">
        <v>7.9</v>
      </c>
      <c r="C387">
        <v>1</v>
      </c>
      <c r="D387" t="s">
        <v>5</v>
      </c>
      <c r="E387">
        <v>0</v>
      </c>
      <c r="F387" t="str">
        <f t="shared" si="11"/>
        <v>TAK</v>
      </c>
      <c r="G387">
        <f t="shared" si="10"/>
        <v>3</v>
      </c>
    </row>
    <row r="388" spans="1:7" x14ac:dyDescent="0.25">
      <c r="A388">
        <v>387</v>
      </c>
      <c r="B388">
        <v>9.6</v>
      </c>
      <c r="C388">
        <v>2</v>
      </c>
      <c r="D388" t="s">
        <v>5</v>
      </c>
      <c r="E388">
        <v>0</v>
      </c>
      <c r="F388" t="str">
        <f t="shared" si="11"/>
        <v>TAK</v>
      </c>
      <c r="G388">
        <f t="shared" ref="G388:G451" si="12">IF(F388 = "TAK",G387+1,0)</f>
        <v>4</v>
      </c>
    </row>
    <row r="389" spans="1:7" x14ac:dyDescent="0.25">
      <c r="A389">
        <v>388</v>
      </c>
      <c r="B389">
        <v>10</v>
      </c>
      <c r="C389">
        <v>3</v>
      </c>
      <c r="D389" t="s">
        <v>5</v>
      </c>
      <c r="E389">
        <v>0</v>
      </c>
      <c r="F389" t="str">
        <f t="shared" ref="F389:F452" si="13">IF(B388&lt;B389,"TAK","NIE")</f>
        <v>TAK</v>
      </c>
      <c r="G389">
        <f t="shared" si="12"/>
        <v>5</v>
      </c>
    </row>
    <row r="390" spans="1:7" x14ac:dyDescent="0.25">
      <c r="A390">
        <v>389</v>
      </c>
      <c r="B390">
        <v>9</v>
      </c>
      <c r="C390">
        <v>2</v>
      </c>
      <c r="D390" t="s">
        <v>5</v>
      </c>
      <c r="E390">
        <v>0</v>
      </c>
      <c r="F390" t="str">
        <f t="shared" si="13"/>
        <v>NIE</v>
      </c>
      <c r="G390">
        <f t="shared" si="12"/>
        <v>0</v>
      </c>
    </row>
    <row r="391" spans="1:7" x14ac:dyDescent="0.25">
      <c r="A391">
        <v>390</v>
      </c>
      <c r="B391">
        <v>6.9</v>
      </c>
      <c r="C391">
        <v>10</v>
      </c>
      <c r="D391" t="s">
        <v>5</v>
      </c>
      <c r="E391">
        <v>0</v>
      </c>
      <c r="F391" t="str">
        <f t="shared" si="13"/>
        <v>NIE</v>
      </c>
      <c r="G391">
        <f t="shared" si="12"/>
        <v>0</v>
      </c>
    </row>
    <row r="392" spans="1:7" x14ac:dyDescent="0.25">
      <c r="A392">
        <v>391</v>
      </c>
      <c r="B392">
        <v>4.5</v>
      </c>
      <c r="C392">
        <v>3</v>
      </c>
      <c r="D392" t="s">
        <v>5</v>
      </c>
      <c r="E392">
        <v>0</v>
      </c>
      <c r="F392" t="str">
        <f t="shared" si="13"/>
        <v>NIE</v>
      </c>
      <c r="G392">
        <f t="shared" si="12"/>
        <v>0</v>
      </c>
    </row>
    <row r="393" spans="1:7" x14ac:dyDescent="0.25">
      <c r="A393">
        <v>392</v>
      </c>
      <c r="B393">
        <v>2.8</v>
      </c>
      <c r="C393">
        <v>11</v>
      </c>
      <c r="D393" t="s">
        <v>5</v>
      </c>
      <c r="E393">
        <v>0</v>
      </c>
      <c r="F393" t="str">
        <f t="shared" si="13"/>
        <v>NIE</v>
      </c>
      <c r="G393">
        <f t="shared" si="12"/>
        <v>0</v>
      </c>
    </row>
    <row r="394" spans="1:7" x14ac:dyDescent="0.25">
      <c r="A394">
        <v>393</v>
      </c>
      <c r="B394">
        <v>2.2999999999999998</v>
      </c>
      <c r="C394">
        <v>17</v>
      </c>
      <c r="D394" t="s">
        <v>5</v>
      </c>
      <c r="E394">
        <v>0</v>
      </c>
      <c r="F394" t="str">
        <f t="shared" si="13"/>
        <v>NIE</v>
      </c>
      <c r="G394">
        <f t="shared" si="12"/>
        <v>0</v>
      </c>
    </row>
    <row r="395" spans="1:7" x14ac:dyDescent="0.25">
      <c r="A395">
        <v>394</v>
      </c>
      <c r="B395">
        <v>3.6</v>
      </c>
      <c r="C395">
        <v>1</v>
      </c>
      <c r="D395" t="s">
        <v>5</v>
      </c>
      <c r="E395">
        <v>0</v>
      </c>
      <c r="F395" t="str">
        <f t="shared" si="13"/>
        <v>TAK</v>
      </c>
      <c r="G395">
        <f t="shared" si="12"/>
        <v>1</v>
      </c>
    </row>
    <row r="396" spans="1:7" x14ac:dyDescent="0.25">
      <c r="A396">
        <v>395</v>
      </c>
      <c r="B396">
        <v>6.4</v>
      </c>
      <c r="C396">
        <v>8</v>
      </c>
      <c r="D396" t="s">
        <v>5</v>
      </c>
      <c r="E396">
        <v>0</v>
      </c>
      <c r="F396" t="str">
        <f t="shared" si="13"/>
        <v>TAK</v>
      </c>
      <c r="G396">
        <f t="shared" si="12"/>
        <v>2</v>
      </c>
    </row>
    <row r="397" spans="1:7" x14ac:dyDescent="0.25">
      <c r="A397">
        <v>396</v>
      </c>
      <c r="B397">
        <v>10.199999999999999</v>
      </c>
      <c r="C397">
        <v>11</v>
      </c>
      <c r="D397" t="s">
        <v>5</v>
      </c>
      <c r="E397">
        <v>0</v>
      </c>
      <c r="F397" t="str">
        <f t="shared" si="13"/>
        <v>TAK</v>
      </c>
      <c r="G397">
        <f t="shared" si="12"/>
        <v>3</v>
      </c>
    </row>
    <row r="398" spans="1:7" x14ac:dyDescent="0.25">
      <c r="A398">
        <v>397</v>
      </c>
      <c r="B398">
        <v>14</v>
      </c>
      <c r="C398">
        <v>23</v>
      </c>
      <c r="D398" t="s">
        <v>5</v>
      </c>
      <c r="E398">
        <v>0</v>
      </c>
      <c r="F398" t="str">
        <f t="shared" si="13"/>
        <v>TAK</v>
      </c>
      <c r="G398">
        <f t="shared" si="12"/>
        <v>4</v>
      </c>
    </row>
    <row r="399" spans="1:7" x14ac:dyDescent="0.25">
      <c r="A399">
        <v>398</v>
      </c>
      <c r="B399">
        <v>17.100000000000001</v>
      </c>
      <c r="C399">
        <v>29</v>
      </c>
      <c r="D399" t="s">
        <v>5</v>
      </c>
      <c r="E399">
        <v>0</v>
      </c>
      <c r="F399" t="str">
        <f t="shared" si="13"/>
        <v>TAK</v>
      </c>
      <c r="G399">
        <f t="shared" si="12"/>
        <v>5</v>
      </c>
    </row>
    <row r="400" spans="1:7" x14ac:dyDescent="0.25">
      <c r="A400">
        <v>399</v>
      </c>
      <c r="B400">
        <v>18.7</v>
      </c>
      <c r="C400">
        <v>0</v>
      </c>
      <c r="D400" t="s">
        <v>5</v>
      </c>
      <c r="E400">
        <v>0</v>
      </c>
      <c r="F400" t="str">
        <f t="shared" si="13"/>
        <v>TAK</v>
      </c>
      <c r="G400">
        <f t="shared" si="12"/>
        <v>6</v>
      </c>
    </row>
    <row r="401" spans="1:7" x14ac:dyDescent="0.25">
      <c r="A401">
        <v>400</v>
      </c>
      <c r="B401">
        <v>18.8</v>
      </c>
      <c r="C401">
        <v>5</v>
      </c>
      <c r="D401" t="s">
        <v>5</v>
      </c>
      <c r="E401">
        <v>0</v>
      </c>
      <c r="F401" t="str">
        <f t="shared" si="13"/>
        <v>TAK</v>
      </c>
      <c r="G401">
        <f t="shared" si="12"/>
        <v>7</v>
      </c>
    </row>
    <row r="402" spans="1:7" x14ac:dyDescent="0.25">
      <c r="A402">
        <v>401</v>
      </c>
      <c r="B402">
        <v>17.7</v>
      </c>
      <c r="C402">
        <v>2</v>
      </c>
      <c r="D402" t="s">
        <v>5</v>
      </c>
      <c r="E402">
        <v>0</v>
      </c>
      <c r="F402" t="str">
        <f t="shared" si="13"/>
        <v>NIE</v>
      </c>
      <c r="G402">
        <f t="shared" si="12"/>
        <v>0</v>
      </c>
    </row>
    <row r="403" spans="1:7" x14ac:dyDescent="0.25">
      <c r="A403">
        <v>402</v>
      </c>
      <c r="B403">
        <v>16.100000000000001</v>
      </c>
      <c r="C403">
        <v>2</v>
      </c>
      <c r="D403" t="s">
        <v>5</v>
      </c>
      <c r="E403">
        <v>0</v>
      </c>
      <c r="F403" t="str">
        <f t="shared" si="13"/>
        <v>NIE</v>
      </c>
      <c r="G403">
        <f t="shared" si="12"/>
        <v>0</v>
      </c>
    </row>
    <row r="404" spans="1:7" x14ac:dyDescent="0.25">
      <c r="A404">
        <v>403</v>
      </c>
      <c r="B404">
        <v>14.9</v>
      </c>
      <c r="C404">
        <v>7</v>
      </c>
      <c r="D404" t="s">
        <v>5</v>
      </c>
      <c r="E404">
        <v>0</v>
      </c>
      <c r="F404" t="str">
        <f t="shared" si="13"/>
        <v>NIE</v>
      </c>
      <c r="G404">
        <f t="shared" si="12"/>
        <v>0</v>
      </c>
    </row>
    <row r="405" spans="1:7" x14ac:dyDescent="0.25">
      <c r="A405">
        <v>404</v>
      </c>
      <c r="B405">
        <v>14.9</v>
      </c>
      <c r="C405">
        <v>2</v>
      </c>
      <c r="D405" t="s">
        <v>5</v>
      </c>
      <c r="E405">
        <v>0</v>
      </c>
      <c r="F405" t="str">
        <f t="shared" si="13"/>
        <v>NIE</v>
      </c>
      <c r="G405">
        <f t="shared" si="12"/>
        <v>0</v>
      </c>
    </row>
    <row r="406" spans="1:7" x14ac:dyDescent="0.25">
      <c r="A406">
        <v>405</v>
      </c>
      <c r="B406">
        <v>16.3</v>
      </c>
      <c r="C406">
        <v>3</v>
      </c>
      <c r="D406" t="s">
        <v>5</v>
      </c>
      <c r="E406">
        <v>0</v>
      </c>
      <c r="F406" t="str">
        <f t="shared" si="13"/>
        <v>TAK</v>
      </c>
      <c r="G406">
        <f t="shared" si="12"/>
        <v>1</v>
      </c>
    </row>
    <row r="407" spans="1:7" x14ac:dyDescent="0.25">
      <c r="A407">
        <v>406</v>
      </c>
      <c r="B407">
        <v>19.100000000000001</v>
      </c>
      <c r="C407">
        <v>14</v>
      </c>
      <c r="D407" t="s">
        <v>5</v>
      </c>
      <c r="E407">
        <v>0</v>
      </c>
      <c r="F407" t="str">
        <f t="shared" si="13"/>
        <v>TAK</v>
      </c>
      <c r="G407">
        <f t="shared" si="12"/>
        <v>2</v>
      </c>
    </row>
    <row r="408" spans="1:7" x14ac:dyDescent="0.25">
      <c r="A408">
        <v>407</v>
      </c>
      <c r="B408">
        <v>22.7</v>
      </c>
      <c r="C408">
        <v>12</v>
      </c>
      <c r="D408" t="s">
        <v>5</v>
      </c>
      <c r="E408">
        <v>0</v>
      </c>
      <c r="F408" t="str">
        <f t="shared" si="13"/>
        <v>TAK</v>
      </c>
      <c r="G408">
        <f t="shared" si="12"/>
        <v>3</v>
      </c>
    </row>
    <row r="409" spans="1:7" x14ac:dyDescent="0.25">
      <c r="A409">
        <v>408</v>
      </c>
      <c r="B409">
        <v>26.1</v>
      </c>
      <c r="C409">
        <v>9</v>
      </c>
      <c r="D409" t="s">
        <v>5</v>
      </c>
      <c r="E409">
        <v>0</v>
      </c>
      <c r="F409" t="str">
        <f t="shared" si="13"/>
        <v>TAK</v>
      </c>
      <c r="G409">
        <f t="shared" si="12"/>
        <v>4</v>
      </c>
    </row>
    <row r="410" spans="1:7" x14ac:dyDescent="0.25">
      <c r="A410">
        <v>409</v>
      </c>
      <c r="B410">
        <v>28.6</v>
      </c>
      <c r="C410">
        <v>14</v>
      </c>
      <c r="D410" t="s">
        <v>5</v>
      </c>
      <c r="E410">
        <v>0</v>
      </c>
      <c r="F410" t="str">
        <f t="shared" si="13"/>
        <v>TAK</v>
      </c>
      <c r="G410">
        <f t="shared" si="12"/>
        <v>5</v>
      </c>
    </row>
    <row r="411" spans="1:7" x14ac:dyDescent="0.25">
      <c r="A411">
        <v>410</v>
      </c>
      <c r="B411">
        <v>29.5</v>
      </c>
      <c r="C411">
        <v>17</v>
      </c>
      <c r="D411" t="s">
        <v>5</v>
      </c>
      <c r="E411">
        <v>0</v>
      </c>
      <c r="F411" t="str">
        <f t="shared" si="13"/>
        <v>TAK</v>
      </c>
      <c r="G411">
        <f t="shared" si="12"/>
        <v>6</v>
      </c>
    </row>
    <row r="412" spans="1:7" x14ac:dyDescent="0.25">
      <c r="A412">
        <v>411</v>
      </c>
      <c r="B412">
        <v>28.6</v>
      </c>
      <c r="C412">
        <v>9</v>
      </c>
      <c r="D412" t="s">
        <v>5</v>
      </c>
      <c r="E412">
        <v>0</v>
      </c>
      <c r="F412" t="str">
        <f t="shared" si="13"/>
        <v>NIE</v>
      </c>
      <c r="G412">
        <f t="shared" si="12"/>
        <v>0</v>
      </c>
    </row>
    <row r="413" spans="1:7" x14ac:dyDescent="0.25">
      <c r="A413">
        <v>412</v>
      </c>
      <c r="B413">
        <v>26.4</v>
      </c>
      <c r="C413">
        <v>28</v>
      </c>
      <c r="D413" t="s">
        <v>5</v>
      </c>
      <c r="E413">
        <v>0</v>
      </c>
      <c r="F413" t="str">
        <f t="shared" si="13"/>
        <v>NIE</v>
      </c>
      <c r="G413">
        <f t="shared" si="12"/>
        <v>0</v>
      </c>
    </row>
    <row r="414" spans="1:7" x14ac:dyDescent="0.25">
      <c r="A414">
        <v>413</v>
      </c>
      <c r="B414">
        <v>23.6</v>
      </c>
      <c r="C414">
        <v>0</v>
      </c>
      <c r="D414" t="s">
        <v>5</v>
      </c>
      <c r="E414">
        <v>0</v>
      </c>
      <c r="F414" t="str">
        <f t="shared" si="13"/>
        <v>NIE</v>
      </c>
      <c r="G414">
        <f t="shared" si="12"/>
        <v>0</v>
      </c>
    </row>
    <row r="415" spans="1:7" x14ac:dyDescent="0.25">
      <c r="A415">
        <v>414</v>
      </c>
      <c r="B415">
        <v>21</v>
      </c>
      <c r="C415">
        <v>1</v>
      </c>
      <c r="D415" t="s">
        <v>5</v>
      </c>
      <c r="E415">
        <v>0</v>
      </c>
      <c r="F415" t="str">
        <f t="shared" si="13"/>
        <v>NIE</v>
      </c>
      <c r="G415">
        <f t="shared" si="12"/>
        <v>0</v>
      </c>
    </row>
    <row r="416" spans="1:7" x14ac:dyDescent="0.25">
      <c r="A416">
        <v>415</v>
      </c>
      <c r="B416">
        <v>19.600000000000001</v>
      </c>
      <c r="C416">
        <v>6</v>
      </c>
      <c r="D416" t="s">
        <v>5</v>
      </c>
      <c r="E416">
        <v>0</v>
      </c>
      <c r="F416" t="str">
        <f t="shared" si="13"/>
        <v>NIE</v>
      </c>
      <c r="G416">
        <f t="shared" si="12"/>
        <v>0</v>
      </c>
    </row>
    <row r="417" spans="1:7" x14ac:dyDescent="0.25">
      <c r="A417">
        <v>416</v>
      </c>
      <c r="B417">
        <v>19.5</v>
      </c>
      <c r="C417">
        <v>4</v>
      </c>
      <c r="D417" t="s">
        <v>5</v>
      </c>
      <c r="E417">
        <v>0</v>
      </c>
      <c r="F417" t="str">
        <f t="shared" si="13"/>
        <v>NIE</v>
      </c>
      <c r="G417">
        <f t="shared" si="12"/>
        <v>0</v>
      </c>
    </row>
    <row r="418" spans="1:7" x14ac:dyDescent="0.25">
      <c r="A418">
        <v>417</v>
      </c>
      <c r="B418">
        <v>20.7</v>
      </c>
      <c r="C418">
        <v>10</v>
      </c>
      <c r="D418" t="s">
        <v>5</v>
      </c>
      <c r="E418">
        <v>0</v>
      </c>
      <c r="F418" t="str">
        <f t="shared" si="13"/>
        <v>TAK</v>
      </c>
      <c r="G418">
        <f t="shared" si="12"/>
        <v>1</v>
      </c>
    </row>
    <row r="419" spans="1:7" x14ac:dyDescent="0.25">
      <c r="A419">
        <v>418</v>
      </c>
      <c r="B419">
        <v>22.7</v>
      </c>
      <c r="C419">
        <v>4</v>
      </c>
      <c r="D419" t="s">
        <v>5</v>
      </c>
      <c r="E419">
        <v>0</v>
      </c>
      <c r="F419" t="str">
        <f t="shared" si="13"/>
        <v>TAK</v>
      </c>
      <c r="G419">
        <f t="shared" si="12"/>
        <v>2</v>
      </c>
    </row>
    <row r="420" spans="1:7" x14ac:dyDescent="0.25">
      <c r="A420">
        <v>419</v>
      </c>
      <c r="B420">
        <v>24.5</v>
      </c>
      <c r="C420">
        <v>5</v>
      </c>
      <c r="D420" t="s">
        <v>5</v>
      </c>
      <c r="E420">
        <v>0</v>
      </c>
      <c r="F420" t="str">
        <f t="shared" si="13"/>
        <v>TAK</v>
      </c>
      <c r="G420">
        <f t="shared" si="12"/>
        <v>3</v>
      </c>
    </row>
    <row r="421" spans="1:7" x14ac:dyDescent="0.25">
      <c r="A421">
        <v>420</v>
      </c>
      <c r="B421">
        <v>25.4</v>
      </c>
      <c r="C421">
        <v>8</v>
      </c>
      <c r="D421" t="s">
        <v>5</v>
      </c>
      <c r="E421">
        <v>0</v>
      </c>
      <c r="F421" t="str">
        <f t="shared" si="13"/>
        <v>TAK</v>
      </c>
      <c r="G421">
        <f t="shared" si="12"/>
        <v>4</v>
      </c>
    </row>
    <row r="422" spans="1:7" x14ac:dyDescent="0.25">
      <c r="A422">
        <v>421</v>
      </c>
      <c r="B422">
        <v>24.8</v>
      </c>
      <c r="C422">
        <v>12</v>
      </c>
      <c r="D422" t="s">
        <v>5</v>
      </c>
      <c r="E422">
        <v>0</v>
      </c>
      <c r="F422" t="str">
        <f t="shared" si="13"/>
        <v>NIE</v>
      </c>
      <c r="G422">
        <f t="shared" si="12"/>
        <v>0</v>
      </c>
    </row>
    <row r="423" spans="1:7" x14ac:dyDescent="0.25">
      <c r="A423">
        <v>422</v>
      </c>
      <c r="B423">
        <v>22.5</v>
      </c>
      <c r="C423">
        <v>8</v>
      </c>
      <c r="D423" t="s">
        <v>5</v>
      </c>
      <c r="E423">
        <v>0</v>
      </c>
      <c r="F423" t="str">
        <f t="shared" si="13"/>
        <v>NIE</v>
      </c>
      <c r="G423">
        <f t="shared" si="12"/>
        <v>0</v>
      </c>
    </row>
    <row r="424" spans="1:7" x14ac:dyDescent="0.25">
      <c r="A424">
        <v>423</v>
      </c>
      <c r="B424">
        <v>18.899999999999999</v>
      </c>
      <c r="C424">
        <v>7</v>
      </c>
      <c r="D424" t="s">
        <v>5</v>
      </c>
      <c r="E424">
        <v>0</v>
      </c>
      <c r="F424" t="str">
        <f t="shared" si="13"/>
        <v>NIE</v>
      </c>
      <c r="G424">
        <f t="shared" si="12"/>
        <v>0</v>
      </c>
    </row>
    <row r="425" spans="1:7" x14ac:dyDescent="0.25">
      <c r="A425">
        <v>424</v>
      </c>
      <c r="B425">
        <v>14.8</v>
      </c>
      <c r="C425">
        <v>8</v>
      </c>
      <c r="D425" t="s">
        <v>5</v>
      </c>
      <c r="E425">
        <v>0</v>
      </c>
      <c r="F425" t="str">
        <f t="shared" si="13"/>
        <v>NIE</v>
      </c>
      <c r="G425">
        <f t="shared" si="12"/>
        <v>0</v>
      </c>
    </row>
    <row r="426" spans="1:7" x14ac:dyDescent="0.25">
      <c r="A426">
        <v>425</v>
      </c>
      <c r="B426">
        <v>11.2</v>
      </c>
      <c r="C426">
        <v>7</v>
      </c>
      <c r="D426" t="s">
        <v>5</v>
      </c>
      <c r="E426">
        <v>0</v>
      </c>
      <c r="F426" t="str">
        <f t="shared" si="13"/>
        <v>NIE</v>
      </c>
      <c r="G426">
        <f t="shared" si="12"/>
        <v>0</v>
      </c>
    </row>
    <row r="427" spans="1:7" x14ac:dyDescent="0.25">
      <c r="A427">
        <v>426</v>
      </c>
      <c r="B427">
        <v>8.8000000000000007</v>
      </c>
      <c r="C427">
        <v>23</v>
      </c>
      <c r="D427" t="s">
        <v>5</v>
      </c>
      <c r="E427">
        <v>0</v>
      </c>
      <c r="F427" t="str">
        <f t="shared" si="13"/>
        <v>NIE</v>
      </c>
      <c r="G427">
        <f t="shared" si="12"/>
        <v>0</v>
      </c>
    </row>
    <row r="428" spans="1:7" x14ac:dyDescent="0.25">
      <c r="A428">
        <v>427</v>
      </c>
      <c r="B428">
        <v>8</v>
      </c>
      <c r="C428">
        <v>0</v>
      </c>
      <c r="D428" t="s">
        <v>5</v>
      </c>
      <c r="E428">
        <v>0</v>
      </c>
      <c r="F428" t="str">
        <f t="shared" si="13"/>
        <v>NIE</v>
      </c>
      <c r="G428">
        <f t="shared" si="12"/>
        <v>0</v>
      </c>
    </row>
    <row r="429" spans="1:7" x14ac:dyDescent="0.25">
      <c r="A429">
        <v>428</v>
      </c>
      <c r="B429">
        <v>8.6</v>
      </c>
      <c r="C429">
        <v>2</v>
      </c>
      <c r="D429" t="s">
        <v>5</v>
      </c>
      <c r="E429">
        <v>0</v>
      </c>
      <c r="F429" t="str">
        <f t="shared" si="13"/>
        <v>TAK</v>
      </c>
      <c r="G429">
        <f t="shared" si="12"/>
        <v>1</v>
      </c>
    </row>
    <row r="430" spans="1:7" x14ac:dyDescent="0.25">
      <c r="A430">
        <v>429</v>
      </c>
      <c r="B430">
        <v>10.199999999999999</v>
      </c>
      <c r="C430">
        <v>5</v>
      </c>
      <c r="D430" t="s">
        <v>5</v>
      </c>
      <c r="E430">
        <v>0</v>
      </c>
      <c r="F430" t="str">
        <f t="shared" si="13"/>
        <v>TAK</v>
      </c>
      <c r="G430">
        <f t="shared" si="12"/>
        <v>2</v>
      </c>
    </row>
    <row r="431" spans="1:7" x14ac:dyDescent="0.25">
      <c r="A431">
        <v>430</v>
      </c>
      <c r="B431">
        <v>11.8</v>
      </c>
      <c r="C431">
        <v>5</v>
      </c>
      <c r="D431" t="s">
        <v>5</v>
      </c>
      <c r="E431">
        <v>0</v>
      </c>
      <c r="F431" t="str">
        <f t="shared" si="13"/>
        <v>TAK</v>
      </c>
      <c r="G431">
        <f t="shared" si="12"/>
        <v>3</v>
      </c>
    </row>
    <row r="432" spans="1:7" x14ac:dyDescent="0.25">
      <c r="A432">
        <v>431</v>
      </c>
      <c r="B432">
        <v>12.7</v>
      </c>
      <c r="C432">
        <v>8</v>
      </c>
      <c r="D432" t="s">
        <v>5</v>
      </c>
      <c r="E432">
        <v>0</v>
      </c>
      <c r="F432" t="str">
        <f t="shared" si="13"/>
        <v>TAK</v>
      </c>
      <c r="G432">
        <f t="shared" si="12"/>
        <v>4</v>
      </c>
    </row>
    <row r="433" spans="1:7" x14ac:dyDescent="0.25">
      <c r="A433">
        <v>432</v>
      </c>
      <c r="B433">
        <v>12.2</v>
      </c>
      <c r="C433">
        <v>6</v>
      </c>
      <c r="D433" t="s">
        <v>5</v>
      </c>
      <c r="E433">
        <v>0</v>
      </c>
      <c r="F433" t="str">
        <f t="shared" si="13"/>
        <v>NIE</v>
      </c>
      <c r="G433">
        <f t="shared" si="12"/>
        <v>0</v>
      </c>
    </row>
    <row r="434" spans="1:7" x14ac:dyDescent="0.25">
      <c r="A434">
        <v>433</v>
      </c>
      <c r="B434">
        <v>10.3</v>
      </c>
      <c r="C434">
        <v>9</v>
      </c>
      <c r="D434" t="s">
        <v>5</v>
      </c>
      <c r="E434">
        <v>0</v>
      </c>
      <c r="F434" t="str">
        <f t="shared" si="13"/>
        <v>NIE</v>
      </c>
      <c r="G434">
        <f t="shared" si="12"/>
        <v>0</v>
      </c>
    </row>
    <row r="435" spans="1:7" x14ac:dyDescent="0.25">
      <c r="A435">
        <v>434</v>
      </c>
      <c r="B435">
        <v>7.4</v>
      </c>
      <c r="C435">
        <v>17</v>
      </c>
      <c r="D435" t="s">
        <v>5</v>
      </c>
      <c r="E435">
        <v>0</v>
      </c>
      <c r="F435" t="str">
        <f t="shared" si="13"/>
        <v>NIE</v>
      </c>
      <c r="G435">
        <f t="shared" si="12"/>
        <v>0</v>
      </c>
    </row>
    <row r="436" spans="1:7" x14ac:dyDescent="0.25">
      <c r="A436">
        <v>435</v>
      </c>
      <c r="B436">
        <v>4.0999999999999996</v>
      </c>
      <c r="C436">
        <v>17</v>
      </c>
      <c r="D436" t="s">
        <v>5</v>
      </c>
      <c r="E436">
        <v>0</v>
      </c>
      <c r="F436" t="str">
        <f t="shared" si="13"/>
        <v>NIE</v>
      </c>
      <c r="G436">
        <f t="shared" si="12"/>
        <v>0</v>
      </c>
    </row>
    <row r="437" spans="1:7" x14ac:dyDescent="0.25">
      <c r="A437">
        <v>436</v>
      </c>
      <c r="B437">
        <v>1.4</v>
      </c>
      <c r="C437">
        <v>7</v>
      </c>
      <c r="D437" t="s">
        <v>5</v>
      </c>
      <c r="E437">
        <v>0</v>
      </c>
      <c r="F437" t="str">
        <f t="shared" si="13"/>
        <v>NIE</v>
      </c>
      <c r="G437">
        <f t="shared" si="12"/>
        <v>0</v>
      </c>
    </row>
    <row r="438" spans="1:7" x14ac:dyDescent="0.25">
      <c r="A438">
        <v>437</v>
      </c>
      <c r="B438">
        <v>0.1</v>
      </c>
      <c r="C438">
        <v>24</v>
      </c>
      <c r="D438" t="s">
        <v>5</v>
      </c>
      <c r="E438">
        <v>0</v>
      </c>
      <c r="F438" t="str">
        <f t="shared" si="13"/>
        <v>NIE</v>
      </c>
      <c r="G438">
        <f t="shared" si="12"/>
        <v>0</v>
      </c>
    </row>
    <row r="439" spans="1:7" x14ac:dyDescent="0.25">
      <c r="A439">
        <v>438</v>
      </c>
      <c r="B439">
        <v>0.5</v>
      </c>
      <c r="C439">
        <v>16</v>
      </c>
      <c r="D439" t="s">
        <v>5</v>
      </c>
      <c r="E439">
        <v>0</v>
      </c>
      <c r="F439" t="str">
        <f t="shared" si="13"/>
        <v>TAK</v>
      </c>
      <c r="G439">
        <f t="shared" si="12"/>
        <v>1</v>
      </c>
    </row>
    <row r="440" spans="1:7" x14ac:dyDescent="0.25">
      <c r="A440">
        <v>439</v>
      </c>
      <c r="B440">
        <v>2.5</v>
      </c>
      <c r="C440">
        <v>2</v>
      </c>
      <c r="D440" t="s">
        <v>5</v>
      </c>
      <c r="E440">
        <v>0</v>
      </c>
      <c r="F440" t="str">
        <f t="shared" si="13"/>
        <v>TAK</v>
      </c>
      <c r="G440">
        <f t="shared" si="12"/>
        <v>2</v>
      </c>
    </row>
    <row r="441" spans="1:7" x14ac:dyDescent="0.25">
      <c r="A441">
        <v>440</v>
      </c>
      <c r="B441">
        <v>5.5</v>
      </c>
      <c r="C441">
        <v>17</v>
      </c>
      <c r="D441" t="s">
        <v>5</v>
      </c>
      <c r="E441">
        <v>0</v>
      </c>
      <c r="F441" t="str">
        <f t="shared" si="13"/>
        <v>TAK</v>
      </c>
      <c r="G441">
        <f t="shared" si="12"/>
        <v>3</v>
      </c>
    </row>
    <row r="442" spans="1:7" x14ac:dyDescent="0.25">
      <c r="A442">
        <v>441</v>
      </c>
      <c r="B442">
        <v>8.6999999999999993</v>
      </c>
      <c r="C442">
        <v>23</v>
      </c>
      <c r="D442" t="s">
        <v>5</v>
      </c>
      <c r="E442">
        <v>0</v>
      </c>
      <c r="F442" t="str">
        <f t="shared" si="13"/>
        <v>TAK</v>
      </c>
      <c r="G442">
        <f t="shared" si="12"/>
        <v>4</v>
      </c>
    </row>
    <row r="443" spans="1:7" x14ac:dyDescent="0.25">
      <c r="A443">
        <v>442</v>
      </c>
      <c r="B443">
        <v>11.1</v>
      </c>
      <c r="C443">
        <v>0</v>
      </c>
      <c r="D443" t="s">
        <v>5</v>
      </c>
      <c r="E443">
        <v>0</v>
      </c>
      <c r="F443" t="str">
        <f t="shared" si="13"/>
        <v>TAK</v>
      </c>
      <c r="G443">
        <f t="shared" si="12"/>
        <v>5</v>
      </c>
    </row>
    <row r="444" spans="1:7" x14ac:dyDescent="0.25">
      <c r="A444">
        <v>443</v>
      </c>
      <c r="B444">
        <v>12.2</v>
      </c>
      <c r="C444">
        <v>4</v>
      </c>
      <c r="D444" t="s">
        <v>5</v>
      </c>
      <c r="E444">
        <v>0</v>
      </c>
      <c r="F444" t="str">
        <f t="shared" si="13"/>
        <v>TAK</v>
      </c>
      <c r="G444">
        <f t="shared" si="12"/>
        <v>6</v>
      </c>
    </row>
    <row r="445" spans="1:7" x14ac:dyDescent="0.25">
      <c r="A445">
        <v>444</v>
      </c>
      <c r="B445">
        <v>11.9</v>
      </c>
      <c r="C445">
        <v>1</v>
      </c>
      <c r="D445" t="s">
        <v>5</v>
      </c>
      <c r="E445">
        <v>0</v>
      </c>
      <c r="F445" t="str">
        <f t="shared" si="13"/>
        <v>NIE</v>
      </c>
      <c r="G445">
        <f t="shared" si="12"/>
        <v>0</v>
      </c>
    </row>
    <row r="446" spans="1:7" x14ac:dyDescent="0.25">
      <c r="A446">
        <v>445</v>
      </c>
      <c r="B446">
        <v>10.5</v>
      </c>
      <c r="C446">
        <v>1</v>
      </c>
      <c r="D446" t="s">
        <v>5</v>
      </c>
      <c r="E446">
        <v>0</v>
      </c>
      <c r="F446" t="str">
        <f t="shared" si="13"/>
        <v>NIE</v>
      </c>
      <c r="G446">
        <f t="shared" si="12"/>
        <v>0</v>
      </c>
    </row>
    <row r="447" spans="1:7" x14ac:dyDescent="0.25">
      <c r="A447">
        <v>446</v>
      </c>
      <c r="B447">
        <v>8.8000000000000007</v>
      </c>
      <c r="C447">
        <v>6</v>
      </c>
      <c r="D447" t="s">
        <v>5</v>
      </c>
      <c r="E447">
        <v>0</v>
      </c>
      <c r="F447" t="str">
        <f t="shared" si="13"/>
        <v>NIE</v>
      </c>
      <c r="G447">
        <f t="shared" si="12"/>
        <v>0</v>
      </c>
    </row>
    <row r="448" spans="1:7" x14ac:dyDescent="0.25">
      <c r="A448">
        <v>447</v>
      </c>
      <c r="B448">
        <v>7.5</v>
      </c>
      <c r="C448">
        <v>10</v>
      </c>
      <c r="D448" t="s">
        <v>5</v>
      </c>
      <c r="E448">
        <v>0</v>
      </c>
      <c r="F448" t="str">
        <f t="shared" si="13"/>
        <v>NIE</v>
      </c>
      <c r="G448">
        <f t="shared" si="12"/>
        <v>0</v>
      </c>
    </row>
    <row r="449" spans="1:7" x14ac:dyDescent="0.25">
      <c r="A449">
        <v>448</v>
      </c>
      <c r="B449">
        <v>7.6</v>
      </c>
      <c r="C449">
        <v>10</v>
      </c>
      <c r="D449" t="s">
        <v>5</v>
      </c>
      <c r="E449">
        <v>0</v>
      </c>
      <c r="F449" t="str">
        <f t="shared" si="13"/>
        <v>TAK</v>
      </c>
      <c r="G449">
        <f t="shared" si="12"/>
        <v>1</v>
      </c>
    </row>
    <row r="450" spans="1:7" x14ac:dyDescent="0.25">
      <c r="A450">
        <v>449</v>
      </c>
      <c r="B450">
        <v>9.1999999999999993</v>
      </c>
      <c r="C450">
        <v>2</v>
      </c>
      <c r="D450" t="s">
        <v>5</v>
      </c>
      <c r="E450">
        <v>0</v>
      </c>
      <c r="F450" t="str">
        <f t="shared" si="13"/>
        <v>TAK</v>
      </c>
      <c r="G450">
        <f t="shared" si="12"/>
        <v>2</v>
      </c>
    </row>
    <row r="451" spans="1:7" x14ac:dyDescent="0.25">
      <c r="A451">
        <v>450</v>
      </c>
      <c r="B451">
        <v>12.3</v>
      </c>
      <c r="C451">
        <v>7</v>
      </c>
      <c r="D451" t="s">
        <v>5</v>
      </c>
      <c r="E451">
        <v>0</v>
      </c>
      <c r="F451" t="str">
        <f t="shared" si="13"/>
        <v>TAK</v>
      </c>
      <c r="G451">
        <f t="shared" si="12"/>
        <v>3</v>
      </c>
    </row>
    <row r="452" spans="1:7" x14ac:dyDescent="0.25">
      <c r="A452">
        <v>451</v>
      </c>
      <c r="B452">
        <v>16.3</v>
      </c>
      <c r="C452">
        <v>18</v>
      </c>
      <c r="D452" t="s">
        <v>5</v>
      </c>
      <c r="E452">
        <v>0</v>
      </c>
      <c r="F452" t="str">
        <f t="shared" si="13"/>
        <v>TAK</v>
      </c>
      <c r="G452">
        <f t="shared" ref="G452:G501" si="14">IF(F452 = "TAK",G451+1,0)</f>
        <v>4</v>
      </c>
    </row>
    <row r="453" spans="1:7" x14ac:dyDescent="0.25">
      <c r="A453">
        <v>452</v>
      </c>
      <c r="B453">
        <v>20.2</v>
      </c>
      <c r="C453">
        <v>23</v>
      </c>
      <c r="D453" t="s">
        <v>5</v>
      </c>
      <c r="E453">
        <v>0</v>
      </c>
      <c r="F453" t="str">
        <f t="shared" ref="F453:F501" si="15">IF(B452&lt;B453,"TAK","NIE")</f>
        <v>TAK</v>
      </c>
      <c r="G453">
        <f t="shared" si="14"/>
        <v>5</v>
      </c>
    </row>
    <row r="454" spans="1:7" x14ac:dyDescent="0.25">
      <c r="A454">
        <v>453</v>
      </c>
      <c r="B454">
        <v>23.2</v>
      </c>
      <c r="C454">
        <v>7</v>
      </c>
      <c r="D454" t="s">
        <v>5</v>
      </c>
      <c r="E454">
        <v>0</v>
      </c>
      <c r="F454" t="str">
        <f t="shared" si="15"/>
        <v>TAK</v>
      </c>
      <c r="G454">
        <f t="shared" si="14"/>
        <v>6</v>
      </c>
    </row>
    <row r="455" spans="1:7" x14ac:dyDescent="0.25">
      <c r="A455">
        <v>454</v>
      </c>
      <c r="B455">
        <v>24.8</v>
      </c>
      <c r="C455">
        <v>20</v>
      </c>
      <c r="D455" t="s">
        <v>5</v>
      </c>
      <c r="E455">
        <v>0</v>
      </c>
      <c r="F455" t="str">
        <f t="shared" si="15"/>
        <v>TAK</v>
      </c>
      <c r="G455">
        <f t="shared" si="14"/>
        <v>7</v>
      </c>
    </row>
    <row r="456" spans="1:7" x14ac:dyDescent="0.25">
      <c r="A456">
        <v>455</v>
      </c>
      <c r="B456">
        <v>24.9</v>
      </c>
      <c r="C456">
        <v>14</v>
      </c>
      <c r="D456" t="s">
        <v>5</v>
      </c>
      <c r="E456">
        <v>0</v>
      </c>
      <c r="F456" t="str">
        <f t="shared" si="15"/>
        <v>TAK</v>
      </c>
      <c r="G456">
        <f t="shared" si="14"/>
        <v>8</v>
      </c>
    </row>
    <row r="457" spans="1:7" x14ac:dyDescent="0.25">
      <c r="A457">
        <v>456</v>
      </c>
      <c r="B457">
        <v>23.3</v>
      </c>
      <c r="C457">
        <v>11</v>
      </c>
      <c r="D457" t="s">
        <v>5</v>
      </c>
      <c r="E457">
        <v>0</v>
      </c>
      <c r="F457" t="str">
        <f t="shared" si="15"/>
        <v>NIE</v>
      </c>
      <c r="G457">
        <f t="shared" si="14"/>
        <v>0</v>
      </c>
    </row>
    <row r="458" spans="1:7" x14ac:dyDescent="0.25">
      <c r="A458">
        <v>457</v>
      </c>
      <c r="B458">
        <v>21.3</v>
      </c>
      <c r="C458">
        <v>10</v>
      </c>
      <c r="D458" t="s">
        <v>5</v>
      </c>
      <c r="E458">
        <v>0</v>
      </c>
      <c r="F458" t="str">
        <f t="shared" si="15"/>
        <v>NIE</v>
      </c>
      <c r="G458">
        <f t="shared" si="14"/>
        <v>0</v>
      </c>
    </row>
    <row r="459" spans="1:7" x14ac:dyDescent="0.25">
      <c r="A459">
        <v>458</v>
      </c>
      <c r="B459">
        <v>19.7</v>
      </c>
      <c r="C459">
        <v>13</v>
      </c>
      <c r="D459" t="s">
        <v>5</v>
      </c>
      <c r="E459">
        <v>0</v>
      </c>
      <c r="F459" t="str">
        <f t="shared" si="15"/>
        <v>NIE</v>
      </c>
      <c r="G459">
        <f t="shared" si="14"/>
        <v>0</v>
      </c>
    </row>
    <row r="460" spans="1:7" x14ac:dyDescent="0.25">
      <c r="A460">
        <v>459</v>
      </c>
      <c r="B460">
        <v>19.100000000000001</v>
      </c>
      <c r="C460">
        <v>24</v>
      </c>
      <c r="D460" t="s">
        <v>5</v>
      </c>
      <c r="E460">
        <v>0</v>
      </c>
      <c r="F460" t="str">
        <f t="shared" si="15"/>
        <v>NIE</v>
      </c>
      <c r="G460">
        <f t="shared" si="14"/>
        <v>0</v>
      </c>
    </row>
    <row r="461" spans="1:7" x14ac:dyDescent="0.25">
      <c r="A461">
        <v>460</v>
      </c>
      <c r="B461">
        <v>20</v>
      </c>
      <c r="C461">
        <v>0</v>
      </c>
      <c r="D461" t="s">
        <v>5</v>
      </c>
      <c r="E461">
        <v>0</v>
      </c>
      <c r="F461" t="str">
        <f t="shared" si="15"/>
        <v>TAK</v>
      </c>
      <c r="G461">
        <f t="shared" si="14"/>
        <v>1</v>
      </c>
    </row>
    <row r="462" spans="1:7" x14ac:dyDescent="0.25">
      <c r="A462">
        <v>461</v>
      </c>
      <c r="B462">
        <v>22.1</v>
      </c>
      <c r="C462">
        <v>1</v>
      </c>
      <c r="D462" t="s">
        <v>5</v>
      </c>
      <c r="E462">
        <v>0</v>
      </c>
      <c r="F462" t="str">
        <f t="shared" si="15"/>
        <v>TAK</v>
      </c>
      <c r="G462">
        <f t="shared" si="14"/>
        <v>2</v>
      </c>
    </row>
    <row r="463" spans="1:7" x14ac:dyDescent="0.25">
      <c r="A463">
        <v>462</v>
      </c>
      <c r="B463">
        <v>25</v>
      </c>
      <c r="C463">
        <v>4</v>
      </c>
      <c r="D463" t="s">
        <v>5</v>
      </c>
      <c r="E463">
        <v>0</v>
      </c>
      <c r="F463" t="str">
        <f t="shared" si="15"/>
        <v>TAK</v>
      </c>
      <c r="G463">
        <f t="shared" si="14"/>
        <v>3</v>
      </c>
    </row>
    <row r="464" spans="1:7" x14ac:dyDescent="0.25">
      <c r="A464">
        <v>463</v>
      </c>
      <c r="B464">
        <v>27.7</v>
      </c>
      <c r="C464">
        <v>1</v>
      </c>
      <c r="D464" t="s">
        <v>5</v>
      </c>
      <c r="E464">
        <v>0</v>
      </c>
      <c r="F464" t="str">
        <f t="shared" si="15"/>
        <v>TAK</v>
      </c>
      <c r="G464">
        <f t="shared" si="14"/>
        <v>4</v>
      </c>
    </row>
    <row r="465" spans="1:7" x14ac:dyDescent="0.25">
      <c r="A465">
        <v>464</v>
      </c>
      <c r="B465">
        <v>29.4</v>
      </c>
      <c r="C465">
        <v>12</v>
      </c>
      <c r="D465" t="s">
        <v>5</v>
      </c>
      <c r="E465">
        <v>0</v>
      </c>
      <c r="F465" t="str">
        <f t="shared" si="15"/>
        <v>TAK</v>
      </c>
      <c r="G465">
        <f t="shared" si="14"/>
        <v>5</v>
      </c>
    </row>
    <row r="466" spans="1:7" x14ac:dyDescent="0.25">
      <c r="A466">
        <v>465</v>
      </c>
      <c r="B466">
        <v>29.5</v>
      </c>
      <c r="C466">
        <v>12</v>
      </c>
      <c r="D466" t="s">
        <v>5</v>
      </c>
      <c r="E466">
        <v>0</v>
      </c>
      <c r="F466" t="str">
        <f t="shared" si="15"/>
        <v>TAK</v>
      </c>
      <c r="G466">
        <f t="shared" si="14"/>
        <v>6</v>
      </c>
    </row>
    <row r="467" spans="1:7" x14ac:dyDescent="0.25">
      <c r="A467">
        <v>466</v>
      </c>
      <c r="B467">
        <v>27.8</v>
      </c>
      <c r="C467">
        <v>8</v>
      </c>
      <c r="D467" t="s">
        <v>5</v>
      </c>
      <c r="E467">
        <v>0</v>
      </c>
      <c r="F467" t="str">
        <f t="shared" si="15"/>
        <v>NIE</v>
      </c>
      <c r="G467">
        <f t="shared" si="14"/>
        <v>0</v>
      </c>
    </row>
    <row r="468" spans="1:7" x14ac:dyDescent="0.25">
      <c r="A468">
        <v>467</v>
      </c>
      <c r="B468">
        <v>24.9</v>
      </c>
      <c r="C468">
        <v>13</v>
      </c>
      <c r="D468" t="s">
        <v>5</v>
      </c>
      <c r="E468">
        <v>0</v>
      </c>
      <c r="F468" t="str">
        <f t="shared" si="15"/>
        <v>NIE</v>
      </c>
      <c r="G468">
        <f t="shared" si="14"/>
        <v>0</v>
      </c>
    </row>
    <row r="469" spans="1:7" x14ac:dyDescent="0.25">
      <c r="A469">
        <v>468</v>
      </c>
      <c r="B469">
        <v>21.3</v>
      </c>
      <c r="C469">
        <v>18</v>
      </c>
      <c r="D469" t="s">
        <v>5</v>
      </c>
      <c r="E469">
        <v>0</v>
      </c>
      <c r="F469" t="str">
        <f t="shared" si="15"/>
        <v>NIE</v>
      </c>
      <c r="G469">
        <f t="shared" si="14"/>
        <v>0</v>
      </c>
    </row>
    <row r="470" spans="1:7" x14ac:dyDescent="0.25">
      <c r="A470">
        <v>469</v>
      </c>
      <c r="B470">
        <v>18.100000000000001</v>
      </c>
      <c r="C470">
        <v>15</v>
      </c>
      <c r="D470" t="s">
        <v>5</v>
      </c>
      <c r="E470">
        <v>0</v>
      </c>
      <c r="F470" t="str">
        <f t="shared" si="15"/>
        <v>NIE</v>
      </c>
      <c r="G470">
        <f t="shared" si="14"/>
        <v>0</v>
      </c>
    </row>
    <row r="471" spans="1:7" x14ac:dyDescent="0.25">
      <c r="A471">
        <v>470</v>
      </c>
      <c r="B471">
        <v>15.9</v>
      </c>
      <c r="C471">
        <v>10</v>
      </c>
      <c r="D471" t="s">
        <v>5</v>
      </c>
      <c r="E471">
        <v>0</v>
      </c>
      <c r="F471" t="str">
        <f t="shared" si="15"/>
        <v>NIE</v>
      </c>
      <c r="G471">
        <f t="shared" si="14"/>
        <v>0</v>
      </c>
    </row>
    <row r="472" spans="1:7" x14ac:dyDescent="0.25">
      <c r="A472">
        <v>471</v>
      </c>
      <c r="B472">
        <v>15.3</v>
      </c>
      <c r="C472">
        <v>7</v>
      </c>
      <c r="D472" t="s">
        <v>5</v>
      </c>
      <c r="E472">
        <v>0</v>
      </c>
      <c r="F472" t="str">
        <f t="shared" si="15"/>
        <v>NIE</v>
      </c>
      <c r="G472">
        <f t="shared" si="14"/>
        <v>0</v>
      </c>
    </row>
    <row r="473" spans="1:7" x14ac:dyDescent="0.25">
      <c r="A473">
        <v>472</v>
      </c>
      <c r="B473">
        <v>16</v>
      </c>
      <c r="C473">
        <v>5</v>
      </c>
      <c r="D473" t="s">
        <v>5</v>
      </c>
      <c r="E473">
        <v>0</v>
      </c>
      <c r="F473" t="str">
        <f t="shared" si="15"/>
        <v>TAK</v>
      </c>
      <c r="G473">
        <f t="shared" si="14"/>
        <v>1</v>
      </c>
    </row>
    <row r="474" spans="1:7" x14ac:dyDescent="0.25">
      <c r="A474">
        <v>473</v>
      </c>
      <c r="B474">
        <v>17.5</v>
      </c>
      <c r="C474">
        <v>26</v>
      </c>
      <c r="D474" t="s">
        <v>5</v>
      </c>
      <c r="E474">
        <v>0</v>
      </c>
      <c r="F474" t="str">
        <f t="shared" si="15"/>
        <v>TAK</v>
      </c>
      <c r="G474">
        <f t="shared" si="14"/>
        <v>2</v>
      </c>
    </row>
    <row r="475" spans="1:7" x14ac:dyDescent="0.25">
      <c r="A475">
        <v>474</v>
      </c>
      <c r="B475">
        <v>19</v>
      </c>
      <c r="C475">
        <v>0</v>
      </c>
      <c r="D475" t="s">
        <v>5</v>
      </c>
      <c r="E475">
        <v>0</v>
      </c>
      <c r="F475" t="str">
        <f t="shared" si="15"/>
        <v>TAK</v>
      </c>
      <c r="G475">
        <f t="shared" si="14"/>
        <v>3</v>
      </c>
    </row>
    <row r="476" spans="1:7" x14ac:dyDescent="0.25">
      <c r="A476">
        <v>475</v>
      </c>
      <c r="B476">
        <v>19.5</v>
      </c>
      <c r="C476">
        <v>2</v>
      </c>
      <c r="D476" t="s">
        <v>5</v>
      </c>
      <c r="E476">
        <v>0</v>
      </c>
      <c r="F476" t="str">
        <f t="shared" si="15"/>
        <v>TAK</v>
      </c>
      <c r="G476">
        <f t="shared" si="14"/>
        <v>4</v>
      </c>
    </row>
    <row r="477" spans="1:7" x14ac:dyDescent="0.25">
      <c r="A477">
        <v>476</v>
      </c>
      <c r="B477">
        <v>18.7</v>
      </c>
      <c r="C477">
        <v>6</v>
      </c>
      <c r="D477" t="s">
        <v>5</v>
      </c>
      <c r="E477">
        <v>0</v>
      </c>
      <c r="F477" t="str">
        <f t="shared" si="15"/>
        <v>NIE</v>
      </c>
      <c r="G477">
        <f t="shared" si="14"/>
        <v>0</v>
      </c>
    </row>
    <row r="478" spans="1:7" x14ac:dyDescent="0.25">
      <c r="A478">
        <v>477</v>
      </c>
      <c r="B478">
        <v>16.3</v>
      </c>
      <c r="C478">
        <v>5</v>
      </c>
      <c r="D478" t="s">
        <v>5</v>
      </c>
      <c r="E478">
        <v>0</v>
      </c>
      <c r="F478" t="str">
        <f t="shared" si="15"/>
        <v>NIE</v>
      </c>
      <c r="G478">
        <f t="shared" si="14"/>
        <v>0</v>
      </c>
    </row>
    <row r="479" spans="1:7" x14ac:dyDescent="0.25">
      <c r="A479">
        <v>478</v>
      </c>
      <c r="B479">
        <v>12.7</v>
      </c>
      <c r="C479">
        <v>6</v>
      </c>
      <c r="D479" t="s">
        <v>5</v>
      </c>
      <c r="E479">
        <v>0</v>
      </c>
      <c r="F479" t="str">
        <f t="shared" si="15"/>
        <v>NIE</v>
      </c>
      <c r="G479">
        <f t="shared" si="14"/>
        <v>0</v>
      </c>
    </row>
    <row r="480" spans="1:7" x14ac:dyDescent="0.25">
      <c r="A480">
        <v>479</v>
      </c>
      <c r="B480">
        <v>8.8000000000000007</v>
      </c>
      <c r="C480">
        <v>7</v>
      </c>
      <c r="D480" t="s">
        <v>5</v>
      </c>
      <c r="E480">
        <v>0</v>
      </c>
      <c r="F480" t="str">
        <f t="shared" si="15"/>
        <v>NIE</v>
      </c>
      <c r="G480">
        <f t="shared" si="14"/>
        <v>0</v>
      </c>
    </row>
    <row r="481" spans="1:7" x14ac:dyDescent="0.25">
      <c r="A481">
        <v>480</v>
      </c>
      <c r="B481">
        <v>5.3</v>
      </c>
      <c r="C481">
        <v>2</v>
      </c>
      <c r="D481" t="s">
        <v>5</v>
      </c>
      <c r="E481">
        <v>0</v>
      </c>
      <c r="F481" t="str">
        <f t="shared" si="15"/>
        <v>NIE</v>
      </c>
      <c r="G481">
        <f t="shared" si="14"/>
        <v>0</v>
      </c>
    </row>
    <row r="482" spans="1:7" x14ac:dyDescent="0.25">
      <c r="A482">
        <v>481</v>
      </c>
      <c r="B482">
        <v>3.2</v>
      </c>
      <c r="C482">
        <v>7</v>
      </c>
      <c r="D482" t="s">
        <v>5</v>
      </c>
      <c r="E482">
        <v>0</v>
      </c>
      <c r="F482" t="str">
        <f t="shared" si="15"/>
        <v>NIE</v>
      </c>
      <c r="G482">
        <f t="shared" si="14"/>
        <v>0</v>
      </c>
    </row>
    <row r="483" spans="1:7" x14ac:dyDescent="0.25">
      <c r="A483">
        <v>482</v>
      </c>
      <c r="B483">
        <v>2.7</v>
      </c>
      <c r="C483">
        <v>7</v>
      </c>
      <c r="D483" t="s">
        <v>5</v>
      </c>
      <c r="E483">
        <v>0</v>
      </c>
      <c r="F483" t="str">
        <f t="shared" si="15"/>
        <v>NIE</v>
      </c>
      <c r="G483">
        <f t="shared" si="14"/>
        <v>0</v>
      </c>
    </row>
    <row r="484" spans="1:7" x14ac:dyDescent="0.25">
      <c r="A484">
        <v>483</v>
      </c>
      <c r="B484">
        <v>3.9</v>
      </c>
      <c r="C484">
        <v>8</v>
      </c>
      <c r="D484" t="s">
        <v>5</v>
      </c>
      <c r="E484">
        <v>0</v>
      </c>
      <c r="F484" t="str">
        <f t="shared" si="15"/>
        <v>TAK</v>
      </c>
      <c r="G484">
        <f t="shared" si="14"/>
        <v>1</v>
      </c>
    </row>
    <row r="485" spans="1:7" x14ac:dyDescent="0.25">
      <c r="A485">
        <v>484</v>
      </c>
      <c r="B485">
        <v>6</v>
      </c>
      <c r="C485">
        <v>18</v>
      </c>
      <c r="D485" t="s">
        <v>5</v>
      </c>
      <c r="E485">
        <v>0</v>
      </c>
      <c r="F485" t="str">
        <f t="shared" si="15"/>
        <v>TAK</v>
      </c>
      <c r="G485">
        <f t="shared" si="14"/>
        <v>2</v>
      </c>
    </row>
    <row r="486" spans="1:7" x14ac:dyDescent="0.25">
      <c r="A486">
        <v>485</v>
      </c>
      <c r="B486">
        <v>8.1999999999999993</v>
      </c>
      <c r="C486">
        <v>23</v>
      </c>
      <c r="D486" t="s">
        <v>5</v>
      </c>
      <c r="E486">
        <v>0</v>
      </c>
      <c r="F486" t="str">
        <f t="shared" si="15"/>
        <v>TAK</v>
      </c>
      <c r="G486">
        <f t="shared" si="14"/>
        <v>3</v>
      </c>
    </row>
    <row r="487" spans="1:7" x14ac:dyDescent="0.25">
      <c r="A487">
        <v>486</v>
      </c>
      <c r="B487">
        <v>9.6999999999999993</v>
      </c>
      <c r="C487">
        <v>23</v>
      </c>
      <c r="D487" t="s">
        <v>5</v>
      </c>
      <c r="E487">
        <v>0</v>
      </c>
      <c r="F487" t="str">
        <f t="shared" si="15"/>
        <v>TAK</v>
      </c>
      <c r="G487">
        <f t="shared" si="14"/>
        <v>4</v>
      </c>
    </row>
    <row r="488" spans="1:7" x14ac:dyDescent="0.25">
      <c r="A488">
        <v>487</v>
      </c>
      <c r="B488">
        <v>10</v>
      </c>
      <c r="C488">
        <v>11</v>
      </c>
      <c r="D488" t="s">
        <v>5</v>
      </c>
      <c r="E488">
        <v>0</v>
      </c>
      <c r="F488" t="str">
        <f t="shared" si="15"/>
        <v>TAK</v>
      </c>
      <c r="G488">
        <f t="shared" si="14"/>
        <v>5</v>
      </c>
    </row>
    <row r="489" spans="1:7" x14ac:dyDescent="0.25">
      <c r="A489">
        <v>488</v>
      </c>
      <c r="B489">
        <v>8.8000000000000007</v>
      </c>
      <c r="C489">
        <v>16</v>
      </c>
      <c r="D489" t="s">
        <v>5</v>
      </c>
      <c r="E489">
        <v>0</v>
      </c>
      <c r="F489" t="str">
        <f t="shared" si="15"/>
        <v>NIE</v>
      </c>
      <c r="G489">
        <f t="shared" si="14"/>
        <v>0</v>
      </c>
    </row>
    <row r="490" spans="1:7" x14ac:dyDescent="0.25">
      <c r="A490">
        <v>489</v>
      </c>
      <c r="B490">
        <v>6.6</v>
      </c>
      <c r="C490">
        <v>22</v>
      </c>
      <c r="D490" t="s">
        <v>5</v>
      </c>
      <c r="E490">
        <v>0</v>
      </c>
      <c r="F490" t="str">
        <f t="shared" si="15"/>
        <v>NIE</v>
      </c>
      <c r="G490">
        <f t="shared" si="14"/>
        <v>0</v>
      </c>
    </row>
    <row r="491" spans="1:7" x14ac:dyDescent="0.25">
      <c r="A491">
        <v>490</v>
      </c>
      <c r="B491">
        <v>4.0999999999999996</v>
      </c>
      <c r="C491">
        <v>0</v>
      </c>
      <c r="D491" t="s">
        <v>5</v>
      </c>
      <c r="E491">
        <v>0</v>
      </c>
      <c r="F491" t="str">
        <f t="shared" si="15"/>
        <v>NIE</v>
      </c>
      <c r="G491">
        <f t="shared" si="14"/>
        <v>0</v>
      </c>
    </row>
    <row r="492" spans="1:7" x14ac:dyDescent="0.25">
      <c r="A492">
        <v>491</v>
      </c>
      <c r="B492">
        <v>2.2000000000000002</v>
      </c>
      <c r="C492">
        <v>1</v>
      </c>
      <c r="D492" t="s">
        <v>5</v>
      </c>
      <c r="E492">
        <v>0</v>
      </c>
      <c r="F492" t="str">
        <f t="shared" si="15"/>
        <v>NIE</v>
      </c>
      <c r="G492">
        <f t="shared" si="14"/>
        <v>0</v>
      </c>
    </row>
    <row r="493" spans="1:7" x14ac:dyDescent="0.25">
      <c r="A493">
        <v>492</v>
      </c>
      <c r="B493">
        <v>1.6</v>
      </c>
      <c r="C493">
        <v>4</v>
      </c>
      <c r="D493" t="s">
        <v>5</v>
      </c>
      <c r="E493">
        <v>0</v>
      </c>
      <c r="F493" t="str">
        <f t="shared" si="15"/>
        <v>NIE</v>
      </c>
      <c r="G493">
        <f t="shared" si="14"/>
        <v>0</v>
      </c>
    </row>
    <row r="494" spans="1:7" x14ac:dyDescent="0.25">
      <c r="A494">
        <v>493</v>
      </c>
      <c r="B494">
        <v>2.7</v>
      </c>
      <c r="C494">
        <v>1</v>
      </c>
      <c r="D494" t="s">
        <v>5</v>
      </c>
      <c r="E494">
        <v>0</v>
      </c>
      <c r="F494" t="str">
        <f t="shared" si="15"/>
        <v>TAK</v>
      </c>
      <c r="G494">
        <f t="shared" si="14"/>
        <v>1</v>
      </c>
    </row>
    <row r="495" spans="1:7" x14ac:dyDescent="0.25">
      <c r="A495">
        <v>494</v>
      </c>
      <c r="B495">
        <v>5.4</v>
      </c>
      <c r="C495">
        <v>9</v>
      </c>
      <c r="D495" t="s">
        <v>5</v>
      </c>
      <c r="E495">
        <v>0</v>
      </c>
      <c r="F495" t="str">
        <f t="shared" si="15"/>
        <v>TAK</v>
      </c>
      <c r="G495">
        <f t="shared" si="14"/>
        <v>2</v>
      </c>
    </row>
    <row r="496" spans="1:7" x14ac:dyDescent="0.25">
      <c r="A496">
        <v>495</v>
      </c>
      <c r="B496">
        <v>9.1</v>
      </c>
      <c r="C496">
        <v>11</v>
      </c>
      <c r="D496" t="s">
        <v>5</v>
      </c>
      <c r="E496">
        <v>0</v>
      </c>
      <c r="F496" t="str">
        <f t="shared" si="15"/>
        <v>TAK</v>
      </c>
      <c r="G496">
        <f t="shared" si="14"/>
        <v>3</v>
      </c>
    </row>
    <row r="497" spans="1:7" x14ac:dyDescent="0.25">
      <c r="A497">
        <v>496</v>
      </c>
      <c r="B497">
        <v>12.9</v>
      </c>
      <c r="C497">
        <v>8</v>
      </c>
      <c r="D497" t="s">
        <v>5</v>
      </c>
      <c r="E497">
        <v>0</v>
      </c>
      <c r="F497" t="str">
        <f t="shared" si="15"/>
        <v>TAK</v>
      </c>
      <c r="G497">
        <f t="shared" si="14"/>
        <v>4</v>
      </c>
    </row>
    <row r="498" spans="1:7" x14ac:dyDescent="0.25">
      <c r="A498">
        <v>497</v>
      </c>
      <c r="B498">
        <v>15.9</v>
      </c>
      <c r="C498">
        <v>16</v>
      </c>
      <c r="D498" t="s">
        <v>5</v>
      </c>
      <c r="E498">
        <v>0</v>
      </c>
      <c r="F498" t="str">
        <f t="shared" si="15"/>
        <v>TAK</v>
      </c>
      <c r="G498">
        <f t="shared" si="14"/>
        <v>5</v>
      </c>
    </row>
    <row r="499" spans="1:7" x14ac:dyDescent="0.25">
      <c r="A499">
        <v>498</v>
      </c>
      <c r="B499">
        <v>17.5</v>
      </c>
      <c r="C499">
        <v>15</v>
      </c>
      <c r="D499" t="s">
        <v>5</v>
      </c>
      <c r="E499">
        <v>0</v>
      </c>
      <c r="F499" t="str">
        <f t="shared" si="15"/>
        <v>TAK</v>
      </c>
      <c r="G499">
        <f t="shared" si="14"/>
        <v>6</v>
      </c>
    </row>
    <row r="500" spans="1:7" x14ac:dyDescent="0.25">
      <c r="A500">
        <v>499</v>
      </c>
      <c r="B500">
        <v>17.5</v>
      </c>
      <c r="C500">
        <v>8</v>
      </c>
      <c r="D500" t="s">
        <v>5</v>
      </c>
      <c r="E500">
        <v>0</v>
      </c>
      <c r="F500" t="str">
        <f t="shared" si="15"/>
        <v>NIE</v>
      </c>
      <c r="G500">
        <f t="shared" si="14"/>
        <v>0</v>
      </c>
    </row>
    <row r="501" spans="1:7" x14ac:dyDescent="0.25">
      <c r="A501">
        <v>500</v>
      </c>
      <c r="B501">
        <v>16.399999999999999</v>
      </c>
      <c r="C501">
        <v>14</v>
      </c>
      <c r="D501" t="s">
        <v>5</v>
      </c>
      <c r="E501">
        <v>0</v>
      </c>
      <c r="F501" t="str">
        <f t="shared" si="15"/>
        <v>NIE</v>
      </c>
      <c r="G501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33C1-C673-468E-9F21-B2EE8D2B5AD3}">
  <dimension ref="A3:J34"/>
  <sheetViews>
    <sheetView workbookViewId="0">
      <selection activeCell="I22" sqref="I22:J32"/>
    </sheetView>
  </sheetViews>
  <sheetFormatPr defaultRowHeight="15" x14ac:dyDescent="0.25"/>
  <cols>
    <col min="1" max="1" width="17.85546875" bestFit="1" customWidth="1"/>
    <col min="2" max="2" width="14.42578125" bestFit="1" customWidth="1"/>
    <col min="3" max="3" width="12" bestFit="1" customWidth="1"/>
    <col min="4" max="4" width="19.28515625" customWidth="1"/>
    <col min="5" max="5" width="21.7109375" customWidth="1"/>
    <col min="6" max="6" width="19.42578125" bestFit="1" customWidth="1"/>
    <col min="7" max="7" width="12" bestFit="1" customWidth="1"/>
    <col min="8" max="8" width="14.42578125" bestFit="1" customWidth="1"/>
    <col min="9" max="12" width="12" bestFit="1" customWidth="1"/>
    <col min="13" max="13" width="3" bestFit="1" customWidth="1"/>
    <col min="14" max="15" width="12" bestFit="1" customWidth="1"/>
    <col min="16" max="16" width="14.42578125" bestFit="1" customWidth="1"/>
  </cols>
  <sheetData>
    <row r="3" spans="1:7" x14ac:dyDescent="0.25">
      <c r="A3" s="1" t="s">
        <v>12</v>
      </c>
      <c r="B3" t="s">
        <v>14</v>
      </c>
      <c r="D3" t="s">
        <v>12</v>
      </c>
      <c r="E3" t="s">
        <v>14</v>
      </c>
      <c r="F3" t="s">
        <v>15</v>
      </c>
    </row>
    <row r="4" spans="1:7" x14ac:dyDescent="0.25">
      <c r="A4" s="2" t="s">
        <v>5</v>
      </c>
      <c r="B4">
        <v>0</v>
      </c>
      <c r="D4" t="s">
        <v>5</v>
      </c>
      <c r="E4">
        <v>0</v>
      </c>
      <c r="F4" t="str">
        <f>FIXED(E4,)</f>
        <v>0,00</v>
      </c>
    </row>
    <row r="5" spans="1:7" x14ac:dyDescent="0.25">
      <c r="A5" s="3">
        <v>0</v>
      </c>
      <c r="B5">
        <v>0</v>
      </c>
      <c r="D5">
        <v>0</v>
      </c>
      <c r="E5">
        <v>0</v>
      </c>
      <c r="F5" t="str">
        <f t="shared" ref="F5:F18" si="0">FIXED(E5,)</f>
        <v>0,00</v>
      </c>
    </row>
    <row r="6" spans="1:7" x14ac:dyDescent="0.25">
      <c r="A6" s="2" t="s">
        <v>6</v>
      </c>
      <c r="B6">
        <v>9.3922651933701662</v>
      </c>
      <c r="D6" t="s">
        <v>6</v>
      </c>
      <c r="E6">
        <v>9.3922651933701662</v>
      </c>
      <c r="F6" t="str">
        <f t="shared" si="0"/>
        <v>9,39</v>
      </c>
    </row>
    <row r="7" spans="1:7" x14ac:dyDescent="0.25">
      <c r="A7" s="3">
        <v>1</v>
      </c>
      <c r="B7">
        <v>3.45</v>
      </c>
      <c r="D7">
        <v>1</v>
      </c>
      <c r="E7">
        <v>3.45</v>
      </c>
      <c r="F7" t="str">
        <f t="shared" si="0"/>
        <v>3,45</v>
      </c>
      <c r="G7" t="s">
        <v>16</v>
      </c>
    </row>
    <row r="8" spans="1:7" x14ac:dyDescent="0.25">
      <c r="A8" s="3">
        <v>2</v>
      </c>
      <c r="B8">
        <v>7.2820512820512819</v>
      </c>
      <c r="D8">
        <v>2</v>
      </c>
      <c r="E8">
        <v>7.2820512820512819</v>
      </c>
      <c r="F8" t="str">
        <f t="shared" si="0"/>
        <v>7,28</v>
      </c>
      <c r="G8" t="s">
        <v>17</v>
      </c>
    </row>
    <row r="9" spans="1:7" x14ac:dyDescent="0.25">
      <c r="A9" s="3">
        <v>3</v>
      </c>
      <c r="B9">
        <v>9.0512820512820511</v>
      </c>
      <c r="D9">
        <v>3</v>
      </c>
      <c r="E9">
        <v>9.0512820512820511</v>
      </c>
      <c r="F9" t="str">
        <f t="shared" si="0"/>
        <v>9,05</v>
      </c>
      <c r="G9" t="s">
        <v>18</v>
      </c>
    </row>
    <row r="10" spans="1:7" x14ac:dyDescent="0.25">
      <c r="A10" s="3">
        <v>4</v>
      </c>
      <c r="B10">
        <v>11.578947368421053</v>
      </c>
      <c r="D10">
        <v>4</v>
      </c>
      <c r="E10">
        <v>11.578947368421053</v>
      </c>
      <c r="F10" t="str">
        <f t="shared" si="0"/>
        <v>11,58</v>
      </c>
      <c r="G10" t="s">
        <v>19</v>
      </c>
    </row>
    <row r="11" spans="1:7" x14ac:dyDescent="0.25">
      <c r="A11" s="3">
        <v>5</v>
      </c>
      <c r="B11">
        <v>19.399999999999999</v>
      </c>
      <c r="D11">
        <v>5</v>
      </c>
      <c r="E11">
        <v>19.399999999999999</v>
      </c>
      <c r="F11" t="str">
        <f t="shared" si="0"/>
        <v>19,40</v>
      </c>
      <c r="G11" t="s">
        <v>20</v>
      </c>
    </row>
    <row r="12" spans="1:7" x14ac:dyDescent="0.25">
      <c r="A12" s="2" t="s">
        <v>7</v>
      </c>
      <c r="B12">
        <v>10.306122448979592</v>
      </c>
      <c r="D12" t="s">
        <v>7</v>
      </c>
      <c r="E12">
        <v>10.306122448979592</v>
      </c>
      <c r="F12" t="str">
        <f t="shared" si="0"/>
        <v>10,31</v>
      </c>
    </row>
    <row r="13" spans="1:7" x14ac:dyDescent="0.25">
      <c r="A13" s="3">
        <v>1</v>
      </c>
      <c r="B13">
        <v>3.7272727272727271</v>
      </c>
      <c r="D13">
        <v>1</v>
      </c>
      <c r="E13">
        <v>3.7272727272727271</v>
      </c>
      <c r="F13" t="str">
        <f t="shared" si="0"/>
        <v>3,73</v>
      </c>
      <c r="G13" t="s">
        <v>21</v>
      </c>
    </row>
    <row r="14" spans="1:7" x14ac:dyDescent="0.25">
      <c r="A14" s="3">
        <v>2</v>
      </c>
      <c r="B14">
        <v>6.5238095238095237</v>
      </c>
      <c r="D14">
        <v>2</v>
      </c>
      <c r="E14">
        <v>6.5238095238095237</v>
      </c>
      <c r="F14" t="str">
        <f t="shared" si="0"/>
        <v>6,52</v>
      </c>
      <c r="G14" t="s">
        <v>22</v>
      </c>
    </row>
    <row r="15" spans="1:7" x14ac:dyDescent="0.25">
      <c r="A15" s="3">
        <v>3</v>
      </c>
      <c r="B15">
        <v>10.285714285714286</v>
      </c>
      <c r="D15">
        <v>3</v>
      </c>
      <c r="E15">
        <v>10.285714285714286</v>
      </c>
      <c r="F15" t="str">
        <f t="shared" si="0"/>
        <v>10,29</v>
      </c>
      <c r="G15" t="s">
        <v>23</v>
      </c>
    </row>
    <row r="16" spans="1:7" x14ac:dyDescent="0.25">
      <c r="A16" s="3">
        <v>4</v>
      </c>
      <c r="B16">
        <v>15</v>
      </c>
      <c r="D16">
        <v>4</v>
      </c>
      <c r="E16">
        <v>15</v>
      </c>
      <c r="F16" t="str">
        <f t="shared" si="0"/>
        <v>15,00</v>
      </c>
      <c r="G16" t="s">
        <v>24</v>
      </c>
    </row>
    <row r="17" spans="1:10" x14ac:dyDescent="0.25">
      <c r="A17" s="3">
        <v>5</v>
      </c>
      <c r="B17">
        <v>19.642857142857142</v>
      </c>
      <c r="D17">
        <v>5</v>
      </c>
      <c r="E17">
        <v>19.642857142857142</v>
      </c>
      <c r="F17" t="str">
        <f t="shared" si="0"/>
        <v>19,64</v>
      </c>
      <c r="G17" t="s">
        <v>25</v>
      </c>
    </row>
    <row r="18" spans="1:10" x14ac:dyDescent="0.25">
      <c r="A18" s="2" t="s">
        <v>13</v>
      </c>
      <c r="B18">
        <v>9.0333333333333332</v>
      </c>
      <c r="D18" t="s">
        <v>13</v>
      </c>
      <c r="E18">
        <v>9.0333333333333332</v>
      </c>
      <c r="F18" t="str">
        <f t="shared" si="0"/>
        <v>9,03</v>
      </c>
    </row>
    <row r="22" spans="1:10" x14ac:dyDescent="0.25">
      <c r="I22" t="s">
        <v>36</v>
      </c>
      <c r="J22" t="s">
        <v>37</v>
      </c>
    </row>
    <row r="23" spans="1:10" x14ac:dyDescent="0.25">
      <c r="I23" t="s">
        <v>16</v>
      </c>
      <c r="J23">
        <v>3.45</v>
      </c>
    </row>
    <row r="24" spans="1:10" x14ac:dyDescent="0.25">
      <c r="C24" t="s">
        <v>36</v>
      </c>
      <c r="D24" t="s">
        <v>37</v>
      </c>
      <c r="I24" t="s">
        <v>17</v>
      </c>
      <c r="J24">
        <v>7.28</v>
      </c>
    </row>
    <row r="25" spans="1:10" x14ac:dyDescent="0.25">
      <c r="C25" t="s">
        <v>16</v>
      </c>
      <c r="D25" s="4" t="s">
        <v>26</v>
      </c>
      <c r="I25" t="s">
        <v>18</v>
      </c>
      <c r="J25">
        <v>9.0500000000000007</v>
      </c>
    </row>
    <row r="26" spans="1:10" x14ac:dyDescent="0.25">
      <c r="C26" t="s">
        <v>17</v>
      </c>
      <c r="D26" s="4" t="s">
        <v>27</v>
      </c>
      <c r="I26" t="s">
        <v>19</v>
      </c>
      <c r="J26">
        <v>11.58</v>
      </c>
    </row>
    <row r="27" spans="1:10" x14ac:dyDescent="0.25">
      <c r="C27" t="s">
        <v>18</v>
      </c>
      <c r="D27" s="4" t="s">
        <v>28</v>
      </c>
      <c r="I27" t="s">
        <v>20</v>
      </c>
      <c r="J27">
        <v>19.399999999999999</v>
      </c>
    </row>
    <row r="28" spans="1:10" x14ac:dyDescent="0.25">
      <c r="C28" t="s">
        <v>19</v>
      </c>
      <c r="D28" s="4" t="s">
        <v>29</v>
      </c>
      <c r="I28" t="s">
        <v>21</v>
      </c>
      <c r="J28">
        <v>3.73</v>
      </c>
    </row>
    <row r="29" spans="1:10" x14ac:dyDescent="0.25">
      <c r="C29" t="s">
        <v>20</v>
      </c>
      <c r="D29" s="4" t="s">
        <v>30</v>
      </c>
      <c r="I29" t="s">
        <v>22</v>
      </c>
      <c r="J29">
        <v>6.52</v>
      </c>
    </row>
    <row r="30" spans="1:10" x14ac:dyDescent="0.25">
      <c r="C30" t="s">
        <v>21</v>
      </c>
      <c r="D30" s="4" t="s">
        <v>31</v>
      </c>
      <c r="I30" t="s">
        <v>23</v>
      </c>
      <c r="J30">
        <v>10.29</v>
      </c>
    </row>
    <row r="31" spans="1:10" x14ac:dyDescent="0.25">
      <c r="C31" t="s">
        <v>22</v>
      </c>
      <c r="D31" s="4" t="s">
        <v>32</v>
      </c>
      <c r="I31" t="s">
        <v>24</v>
      </c>
      <c r="J31">
        <v>15</v>
      </c>
    </row>
    <row r="32" spans="1:10" x14ac:dyDescent="0.25">
      <c r="C32" t="s">
        <v>23</v>
      </c>
      <c r="D32" s="4" t="s">
        <v>33</v>
      </c>
      <c r="I32" t="s">
        <v>25</v>
      </c>
      <c r="J32">
        <v>19.64</v>
      </c>
    </row>
    <row r="33" spans="3:4" x14ac:dyDescent="0.25">
      <c r="C33" t="s">
        <v>24</v>
      </c>
      <c r="D33" s="4" t="s">
        <v>34</v>
      </c>
    </row>
    <row r="34" spans="3:4" x14ac:dyDescent="0.25">
      <c r="C34" t="s">
        <v>25</v>
      </c>
      <c r="D34" s="4" t="s">
        <v>35</v>
      </c>
    </row>
  </sheetData>
  <phoneticPr fontId="1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A26E-C47E-43C6-B8B0-C89ACEF9571A}">
  <dimension ref="A1:E301"/>
  <sheetViews>
    <sheetView workbookViewId="0">
      <selection activeCell="D11" sqref="D11"/>
    </sheetView>
  </sheetViews>
  <sheetFormatPr defaultRowHeight="15" x14ac:dyDescent="0.25"/>
  <cols>
    <col min="2" max="2" width="15.5703125" customWidth="1"/>
    <col min="4" max="4" width="19.85546875" customWidth="1"/>
    <col min="5" max="5" width="2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19</v>
      </c>
      <c r="C2">
        <v>0</v>
      </c>
      <c r="D2" t="s">
        <v>5</v>
      </c>
      <c r="E2">
        <v>0</v>
      </c>
    </row>
    <row r="3" spans="1:5" x14ac:dyDescent="0.25">
      <c r="A3">
        <v>2</v>
      </c>
      <c r="B3">
        <v>22</v>
      </c>
      <c r="C3">
        <v>1</v>
      </c>
      <c r="D3" t="s">
        <v>6</v>
      </c>
      <c r="E3">
        <v>1</v>
      </c>
    </row>
    <row r="4" spans="1:5" x14ac:dyDescent="0.25">
      <c r="A4">
        <v>3</v>
      </c>
      <c r="B4">
        <v>23.6</v>
      </c>
      <c r="C4">
        <v>4</v>
      </c>
      <c r="D4" t="s">
        <v>6</v>
      </c>
      <c r="E4">
        <v>1</v>
      </c>
    </row>
    <row r="5" spans="1:5" x14ac:dyDescent="0.25">
      <c r="A5">
        <v>4</v>
      </c>
      <c r="B5">
        <v>23.6</v>
      </c>
      <c r="C5">
        <v>4</v>
      </c>
      <c r="D5" t="s">
        <v>6</v>
      </c>
      <c r="E5">
        <v>1</v>
      </c>
    </row>
    <row r="6" spans="1:5" x14ac:dyDescent="0.25">
      <c r="A6">
        <v>5</v>
      </c>
      <c r="B6">
        <v>22.3</v>
      </c>
      <c r="C6">
        <v>10</v>
      </c>
      <c r="D6" t="s">
        <v>6</v>
      </c>
      <c r="E6">
        <v>2</v>
      </c>
    </row>
    <row r="7" spans="1:5" x14ac:dyDescent="0.25">
      <c r="A7">
        <v>6</v>
      </c>
      <c r="B7">
        <v>20.399999999999999</v>
      </c>
      <c r="C7">
        <v>8</v>
      </c>
      <c r="D7" t="s">
        <v>6</v>
      </c>
      <c r="E7">
        <v>2</v>
      </c>
    </row>
    <row r="8" spans="1:5" x14ac:dyDescent="0.25">
      <c r="A8">
        <v>7</v>
      </c>
      <c r="B8">
        <v>18.899999999999999</v>
      </c>
      <c r="C8">
        <v>10</v>
      </c>
      <c r="D8" t="s">
        <v>6</v>
      </c>
      <c r="E8">
        <v>2</v>
      </c>
    </row>
    <row r="9" spans="1:5" x14ac:dyDescent="0.25">
      <c r="A9">
        <v>8</v>
      </c>
      <c r="B9">
        <v>18.5</v>
      </c>
      <c r="C9">
        <v>11</v>
      </c>
      <c r="D9" t="s">
        <v>6</v>
      </c>
      <c r="E9">
        <v>3</v>
      </c>
    </row>
    <row r="10" spans="1:5" x14ac:dyDescent="0.25">
      <c r="A10">
        <v>9</v>
      </c>
      <c r="B10">
        <v>19.5</v>
      </c>
      <c r="C10">
        <v>14</v>
      </c>
      <c r="D10" t="s">
        <v>6</v>
      </c>
      <c r="E10">
        <v>3</v>
      </c>
    </row>
    <row r="11" spans="1:5" x14ac:dyDescent="0.25">
      <c r="A11">
        <v>10</v>
      </c>
      <c r="B11">
        <v>21.8</v>
      </c>
      <c r="C11">
        <v>15</v>
      </c>
      <c r="D11" t="s">
        <v>6</v>
      </c>
      <c r="E11">
        <v>3</v>
      </c>
    </row>
    <row r="12" spans="1:5" x14ac:dyDescent="0.25">
      <c r="A12">
        <v>11</v>
      </c>
      <c r="B12">
        <v>24.8</v>
      </c>
      <c r="C12">
        <v>3</v>
      </c>
      <c r="D12" t="s">
        <v>6</v>
      </c>
      <c r="E12">
        <v>4</v>
      </c>
    </row>
    <row r="13" spans="1:5" x14ac:dyDescent="0.25">
      <c r="A13">
        <v>12</v>
      </c>
      <c r="B13">
        <v>27.7</v>
      </c>
      <c r="C13">
        <v>23</v>
      </c>
      <c r="D13" t="s">
        <v>6</v>
      </c>
      <c r="E13">
        <v>4</v>
      </c>
    </row>
    <row r="14" spans="1:5" x14ac:dyDescent="0.25">
      <c r="A14">
        <v>13</v>
      </c>
      <c r="B14">
        <v>29.5</v>
      </c>
      <c r="C14">
        <v>17</v>
      </c>
      <c r="D14" t="s">
        <v>6</v>
      </c>
      <c r="E14">
        <v>4</v>
      </c>
    </row>
    <row r="15" spans="1:5" x14ac:dyDescent="0.25">
      <c r="A15">
        <v>14</v>
      </c>
      <c r="B15">
        <v>29.8</v>
      </c>
      <c r="C15">
        <v>15</v>
      </c>
      <c r="D15" t="s">
        <v>6</v>
      </c>
      <c r="E15">
        <v>5</v>
      </c>
    </row>
    <row r="16" spans="1:5" x14ac:dyDescent="0.25">
      <c r="A16">
        <v>15</v>
      </c>
      <c r="B16">
        <v>28.3</v>
      </c>
      <c r="C16">
        <v>22</v>
      </c>
      <c r="D16" t="s">
        <v>6</v>
      </c>
      <c r="E16">
        <v>5</v>
      </c>
    </row>
    <row r="17" spans="1:5" x14ac:dyDescent="0.25">
      <c r="A17">
        <v>16</v>
      </c>
      <c r="B17">
        <v>25.5</v>
      </c>
      <c r="C17">
        <v>0</v>
      </c>
      <c r="D17" t="s">
        <v>5</v>
      </c>
      <c r="E17">
        <v>0</v>
      </c>
    </row>
    <row r="18" spans="1:5" x14ac:dyDescent="0.25">
      <c r="A18">
        <v>17</v>
      </c>
      <c r="B18">
        <v>22</v>
      </c>
      <c r="C18">
        <v>2</v>
      </c>
      <c r="D18" t="s">
        <v>6</v>
      </c>
      <c r="E18">
        <v>1</v>
      </c>
    </row>
    <row r="19" spans="1:5" x14ac:dyDescent="0.25">
      <c r="A19">
        <v>18</v>
      </c>
      <c r="B19">
        <v>18.899999999999999</v>
      </c>
      <c r="C19">
        <v>1</v>
      </c>
      <c r="D19" t="s">
        <v>6</v>
      </c>
      <c r="E19">
        <v>1</v>
      </c>
    </row>
    <row r="20" spans="1:5" x14ac:dyDescent="0.25">
      <c r="A20">
        <v>19</v>
      </c>
      <c r="B20">
        <v>16.899999999999999</v>
      </c>
      <c r="C20">
        <v>1</v>
      </c>
      <c r="D20" t="s">
        <v>6</v>
      </c>
      <c r="E20">
        <v>1</v>
      </c>
    </row>
    <row r="21" spans="1:5" x14ac:dyDescent="0.25">
      <c r="A21">
        <v>20</v>
      </c>
      <c r="B21">
        <v>16.3</v>
      </c>
      <c r="C21">
        <v>12</v>
      </c>
      <c r="D21" t="s">
        <v>6</v>
      </c>
      <c r="E21">
        <v>2</v>
      </c>
    </row>
    <row r="22" spans="1:5" x14ac:dyDescent="0.25">
      <c r="A22">
        <v>21</v>
      </c>
      <c r="B22">
        <v>17.100000000000001</v>
      </c>
      <c r="C22">
        <v>11</v>
      </c>
      <c r="D22" t="s">
        <v>6</v>
      </c>
      <c r="E22">
        <v>2</v>
      </c>
    </row>
    <row r="23" spans="1:5" x14ac:dyDescent="0.25">
      <c r="A23">
        <v>22</v>
      </c>
      <c r="B23">
        <v>18.7</v>
      </c>
      <c r="C23">
        <v>6</v>
      </c>
      <c r="D23" t="s">
        <v>6</v>
      </c>
      <c r="E23">
        <v>2</v>
      </c>
    </row>
    <row r="24" spans="1:5" x14ac:dyDescent="0.25">
      <c r="A24">
        <v>23</v>
      </c>
      <c r="B24">
        <v>20.2</v>
      </c>
      <c r="C24">
        <v>18</v>
      </c>
      <c r="D24" t="s">
        <v>6</v>
      </c>
      <c r="E24">
        <v>2</v>
      </c>
    </row>
    <row r="25" spans="1:5" x14ac:dyDescent="0.25">
      <c r="A25">
        <v>24</v>
      </c>
      <c r="B25">
        <v>20.8</v>
      </c>
      <c r="C25">
        <v>15</v>
      </c>
      <c r="D25" t="s">
        <v>6</v>
      </c>
      <c r="E25">
        <v>3</v>
      </c>
    </row>
    <row r="26" spans="1:5" x14ac:dyDescent="0.25">
      <c r="A26">
        <v>25</v>
      </c>
      <c r="B26">
        <v>19.899999999999999</v>
      </c>
      <c r="C26">
        <v>5</v>
      </c>
      <c r="D26" t="s">
        <v>6</v>
      </c>
      <c r="E26">
        <v>3</v>
      </c>
    </row>
    <row r="27" spans="1:5" x14ac:dyDescent="0.25">
      <c r="A27">
        <v>26</v>
      </c>
      <c r="B27">
        <v>17.5</v>
      </c>
      <c r="C27">
        <v>19</v>
      </c>
      <c r="D27" t="s">
        <v>6</v>
      </c>
      <c r="E27">
        <v>4</v>
      </c>
    </row>
    <row r="28" spans="1:5" x14ac:dyDescent="0.25">
      <c r="A28">
        <v>27</v>
      </c>
      <c r="B28">
        <v>13.9</v>
      </c>
      <c r="C28">
        <v>18</v>
      </c>
      <c r="D28" t="s">
        <v>6</v>
      </c>
      <c r="E28">
        <v>4</v>
      </c>
    </row>
    <row r="29" spans="1:5" x14ac:dyDescent="0.25">
      <c r="A29">
        <v>28</v>
      </c>
      <c r="B29">
        <v>9.9</v>
      </c>
      <c r="C29">
        <v>4</v>
      </c>
      <c r="D29" t="s">
        <v>6</v>
      </c>
      <c r="E29">
        <v>4</v>
      </c>
    </row>
    <row r="30" spans="1:5" x14ac:dyDescent="0.25">
      <c r="A30">
        <v>29</v>
      </c>
      <c r="B30">
        <v>6.4</v>
      </c>
      <c r="C30">
        <v>17</v>
      </c>
      <c r="D30" t="s">
        <v>6</v>
      </c>
      <c r="E30">
        <v>5</v>
      </c>
    </row>
    <row r="31" spans="1:5" x14ac:dyDescent="0.25">
      <c r="A31">
        <v>30</v>
      </c>
      <c r="B31">
        <v>4.2</v>
      </c>
      <c r="C31">
        <v>14</v>
      </c>
      <c r="D31" t="s">
        <v>6</v>
      </c>
      <c r="E31">
        <v>5</v>
      </c>
    </row>
    <row r="32" spans="1:5" x14ac:dyDescent="0.25">
      <c r="A32">
        <v>31</v>
      </c>
      <c r="B32">
        <v>3.6</v>
      </c>
      <c r="C32">
        <v>12</v>
      </c>
      <c r="D32" t="s">
        <v>6</v>
      </c>
      <c r="E32">
        <v>5</v>
      </c>
    </row>
    <row r="33" spans="1:5" x14ac:dyDescent="0.25">
      <c r="A33">
        <v>32</v>
      </c>
      <c r="B33">
        <v>4.5999999999999996</v>
      </c>
      <c r="C33">
        <v>11</v>
      </c>
      <c r="D33" t="s">
        <v>6</v>
      </c>
      <c r="E33">
        <v>5</v>
      </c>
    </row>
    <row r="34" spans="1:5" x14ac:dyDescent="0.25">
      <c r="A34">
        <v>33</v>
      </c>
      <c r="B34">
        <v>6.6</v>
      </c>
      <c r="C34">
        <v>17</v>
      </c>
      <c r="D34" t="s">
        <v>6</v>
      </c>
      <c r="E34">
        <v>5</v>
      </c>
    </row>
    <row r="35" spans="1:5" x14ac:dyDescent="0.25">
      <c r="A35">
        <v>34</v>
      </c>
      <c r="B35">
        <v>8.6999999999999993</v>
      </c>
      <c r="C35">
        <v>26</v>
      </c>
      <c r="D35" t="s">
        <v>6</v>
      </c>
      <c r="E35">
        <v>5</v>
      </c>
    </row>
    <row r="36" spans="1:5" x14ac:dyDescent="0.25">
      <c r="A36">
        <v>35</v>
      </c>
      <c r="B36">
        <v>10</v>
      </c>
      <c r="C36">
        <v>0</v>
      </c>
      <c r="D36" t="s">
        <v>5</v>
      </c>
      <c r="E36">
        <v>0</v>
      </c>
    </row>
    <row r="37" spans="1:5" x14ac:dyDescent="0.25">
      <c r="A37">
        <v>36</v>
      </c>
      <c r="B37">
        <v>10.1</v>
      </c>
      <c r="C37">
        <v>3</v>
      </c>
      <c r="D37" t="s">
        <v>6</v>
      </c>
      <c r="E37">
        <v>1</v>
      </c>
    </row>
    <row r="38" spans="1:5" x14ac:dyDescent="0.25">
      <c r="A38">
        <v>37</v>
      </c>
      <c r="B38">
        <v>8.8000000000000007</v>
      </c>
      <c r="C38">
        <v>3</v>
      </c>
      <c r="D38" t="s">
        <v>6</v>
      </c>
      <c r="E38">
        <v>1</v>
      </c>
    </row>
    <row r="39" spans="1:5" x14ac:dyDescent="0.25">
      <c r="A39">
        <v>38</v>
      </c>
      <c r="B39">
        <v>6.4</v>
      </c>
      <c r="C39">
        <v>5</v>
      </c>
      <c r="D39" t="s">
        <v>6</v>
      </c>
      <c r="E39">
        <v>1</v>
      </c>
    </row>
    <row r="40" spans="1:5" x14ac:dyDescent="0.25">
      <c r="A40">
        <v>39</v>
      </c>
      <c r="B40">
        <v>3.8</v>
      </c>
      <c r="C40">
        <v>11</v>
      </c>
      <c r="D40" t="s">
        <v>6</v>
      </c>
      <c r="E40">
        <v>2</v>
      </c>
    </row>
    <row r="41" spans="1:5" x14ac:dyDescent="0.25">
      <c r="A41">
        <v>40</v>
      </c>
      <c r="B41">
        <v>1.7</v>
      </c>
      <c r="C41">
        <v>6</v>
      </c>
      <c r="D41" t="s">
        <v>6</v>
      </c>
      <c r="E41">
        <v>2</v>
      </c>
    </row>
    <row r="42" spans="1:5" x14ac:dyDescent="0.25">
      <c r="A42">
        <v>41</v>
      </c>
      <c r="B42">
        <v>1</v>
      </c>
      <c r="C42">
        <v>3</v>
      </c>
      <c r="D42" t="s">
        <v>6</v>
      </c>
      <c r="E42">
        <v>2</v>
      </c>
    </row>
    <row r="43" spans="1:5" x14ac:dyDescent="0.25">
      <c r="A43">
        <v>42</v>
      </c>
      <c r="B43">
        <v>2</v>
      </c>
      <c r="C43">
        <v>17</v>
      </c>
      <c r="D43" t="s">
        <v>6</v>
      </c>
      <c r="E43">
        <v>3</v>
      </c>
    </row>
    <row r="44" spans="1:5" x14ac:dyDescent="0.25">
      <c r="A44">
        <v>43</v>
      </c>
      <c r="B44">
        <v>4.5999999999999996</v>
      </c>
      <c r="C44">
        <v>5</v>
      </c>
      <c r="D44" t="s">
        <v>6</v>
      </c>
      <c r="E44">
        <v>3</v>
      </c>
    </row>
    <row r="45" spans="1:5" x14ac:dyDescent="0.25">
      <c r="A45">
        <v>44</v>
      </c>
      <c r="B45">
        <v>8.1999999999999993</v>
      </c>
      <c r="C45">
        <v>8</v>
      </c>
      <c r="D45" t="s">
        <v>6</v>
      </c>
      <c r="E45">
        <v>3</v>
      </c>
    </row>
    <row r="46" spans="1:5" x14ac:dyDescent="0.25">
      <c r="A46">
        <v>45</v>
      </c>
      <c r="B46">
        <v>11.8</v>
      </c>
      <c r="C46">
        <v>2</v>
      </c>
      <c r="D46" t="s">
        <v>6</v>
      </c>
      <c r="E46">
        <v>4</v>
      </c>
    </row>
    <row r="47" spans="1:5" x14ac:dyDescent="0.25">
      <c r="A47">
        <v>46</v>
      </c>
      <c r="B47">
        <v>14.7</v>
      </c>
      <c r="C47">
        <v>1</v>
      </c>
      <c r="D47" t="s">
        <v>6</v>
      </c>
      <c r="E47">
        <v>4</v>
      </c>
    </row>
    <row r="48" spans="1:5" x14ac:dyDescent="0.25">
      <c r="A48">
        <v>47</v>
      </c>
      <c r="B48">
        <v>16.3</v>
      </c>
      <c r="C48">
        <v>11</v>
      </c>
      <c r="D48" t="s">
        <v>6</v>
      </c>
      <c r="E48">
        <v>4</v>
      </c>
    </row>
    <row r="49" spans="1:5" x14ac:dyDescent="0.25">
      <c r="A49">
        <v>48</v>
      </c>
      <c r="B49">
        <v>16.3</v>
      </c>
      <c r="C49">
        <v>25</v>
      </c>
      <c r="D49" t="s">
        <v>6</v>
      </c>
      <c r="E49">
        <v>5</v>
      </c>
    </row>
    <row r="50" spans="1:5" x14ac:dyDescent="0.25">
      <c r="A50">
        <v>49</v>
      </c>
      <c r="B50">
        <v>15.2</v>
      </c>
      <c r="C50">
        <v>0</v>
      </c>
      <c r="D50" t="s">
        <v>5</v>
      </c>
      <c r="E50">
        <v>0</v>
      </c>
    </row>
    <row r="51" spans="1:5" x14ac:dyDescent="0.25">
      <c r="A51">
        <v>50</v>
      </c>
      <c r="B51">
        <v>13.6</v>
      </c>
      <c r="C51">
        <v>2</v>
      </c>
      <c r="D51" t="s">
        <v>6</v>
      </c>
      <c r="E51">
        <v>1</v>
      </c>
    </row>
    <row r="52" spans="1:5" x14ac:dyDescent="0.25">
      <c r="A52">
        <v>51</v>
      </c>
      <c r="B52">
        <v>12.5</v>
      </c>
      <c r="C52">
        <v>3</v>
      </c>
      <c r="D52" t="s">
        <v>6</v>
      </c>
      <c r="E52">
        <v>1</v>
      </c>
    </row>
    <row r="53" spans="1:5" x14ac:dyDescent="0.25">
      <c r="A53">
        <v>52</v>
      </c>
      <c r="B53">
        <v>12.5</v>
      </c>
      <c r="C53">
        <v>2</v>
      </c>
      <c r="D53" t="s">
        <v>6</v>
      </c>
      <c r="E53">
        <v>1</v>
      </c>
    </row>
    <row r="54" spans="1:5" x14ac:dyDescent="0.25">
      <c r="A54">
        <v>53</v>
      </c>
      <c r="B54">
        <v>14.1</v>
      </c>
      <c r="C54">
        <v>4</v>
      </c>
      <c r="D54" t="s">
        <v>6</v>
      </c>
      <c r="E54">
        <v>2</v>
      </c>
    </row>
    <row r="55" spans="1:5" x14ac:dyDescent="0.25">
      <c r="A55">
        <v>54</v>
      </c>
      <c r="B55">
        <v>17.100000000000001</v>
      </c>
      <c r="C55">
        <v>5</v>
      </c>
      <c r="D55" t="s">
        <v>6</v>
      </c>
      <c r="E55">
        <v>2</v>
      </c>
    </row>
    <row r="56" spans="1:5" x14ac:dyDescent="0.25">
      <c r="A56">
        <v>55</v>
      </c>
      <c r="B56">
        <v>20.9</v>
      </c>
      <c r="C56">
        <v>9</v>
      </c>
      <c r="D56" t="s">
        <v>6</v>
      </c>
      <c r="E56">
        <v>2</v>
      </c>
    </row>
    <row r="57" spans="1:5" x14ac:dyDescent="0.25">
      <c r="A57">
        <v>56</v>
      </c>
      <c r="B57">
        <v>24.5</v>
      </c>
      <c r="C57">
        <v>2</v>
      </c>
      <c r="D57" t="s">
        <v>6</v>
      </c>
      <c r="E57">
        <v>3</v>
      </c>
    </row>
    <row r="58" spans="1:5" x14ac:dyDescent="0.25">
      <c r="A58">
        <v>57</v>
      </c>
      <c r="B58">
        <v>27.3</v>
      </c>
      <c r="C58">
        <v>16</v>
      </c>
      <c r="D58" t="s">
        <v>6</v>
      </c>
      <c r="E58">
        <v>3</v>
      </c>
    </row>
    <row r="59" spans="1:5" x14ac:dyDescent="0.25">
      <c r="A59">
        <v>58</v>
      </c>
      <c r="B59">
        <v>28.4</v>
      </c>
      <c r="C59">
        <v>14</v>
      </c>
      <c r="D59" t="s">
        <v>6</v>
      </c>
      <c r="E59">
        <v>3</v>
      </c>
    </row>
    <row r="60" spans="1:5" x14ac:dyDescent="0.25">
      <c r="A60">
        <v>59</v>
      </c>
      <c r="B60">
        <v>27.8</v>
      </c>
      <c r="C60">
        <v>14</v>
      </c>
      <c r="D60" t="s">
        <v>6</v>
      </c>
      <c r="E60">
        <v>3</v>
      </c>
    </row>
    <row r="61" spans="1:5" x14ac:dyDescent="0.25">
      <c r="A61">
        <v>60</v>
      </c>
      <c r="B61">
        <v>25.9</v>
      </c>
      <c r="C61">
        <v>6</v>
      </c>
      <c r="D61" t="s">
        <v>6</v>
      </c>
      <c r="E61">
        <v>4</v>
      </c>
    </row>
    <row r="62" spans="1:5" x14ac:dyDescent="0.25">
      <c r="A62">
        <v>61</v>
      </c>
      <c r="B62">
        <v>23.4</v>
      </c>
      <c r="C62">
        <v>21</v>
      </c>
      <c r="D62" t="s">
        <v>6</v>
      </c>
      <c r="E62">
        <v>4</v>
      </c>
    </row>
    <row r="63" spans="1:5" x14ac:dyDescent="0.25">
      <c r="A63">
        <v>62</v>
      </c>
      <c r="B63">
        <v>21.2</v>
      </c>
      <c r="C63">
        <v>21</v>
      </c>
      <c r="D63" t="s">
        <v>6</v>
      </c>
      <c r="E63">
        <v>5</v>
      </c>
    </row>
    <row r="64" spans="1:5" x14ac:dyDescent="0.25">
      <c r="A64">
        <v>63</v>
      </c>
      <c r="B64">
        <v>20</v>
      </c>
      <c r="C64">
        <v>0</v>
      </c>
      <c r="D64" t="s">
        <v>5</v>
      </c>
      <c r="E64">
        <v>0</v>
      </c>
    </row>
    <row r="65" spans="1:5" x14ac:dyDescent="0.25">
      <c r="A65">
        <v>64</v>
      </c>
      <c r="B65">
        <v>20.3</v>
      </c>
      <c r="C65">
        <v>4</v>
      </c>
      <c r="D65" t="s">
        <v>6</v>
      </c>
      <c r="E65">
        <v>1</v>
      </c>
    </row>
    <row r="66" spans="1:5" x14ac:dyDescent="0.25">
      <c r="A66">
        <v>65</v>
      </c>
      <c r="B66">
        <v>21.8</v>
      </c>
      <c r="C66">
        <v>6</v>
      </c>
      <c r="D66" t="s">
        <v>6</v>
      </c>
      <c r="E66">
        <v>1</v>
      </c>
    </row>
    <row r="67" spans="1:5" x14ac:dyDescent="0.25">
      <c r="A67">
        <v>66</v>
      </c>
      <c r="B67">
        <v>24</v>
      </c>
      <c r="C67">
        <v>3</v>
      </c>
      <c r="D67" t="s">
        <v>6</v>
      </c>
      <c r="E67">
        <v>1</v>
      </c>
    </row>
    <row r="68" spans="1:5" x14ac:dyDescent="0.25">
      <c r="A68">
        <v>67</v>
      </c>
      <c r="B68">
        <v>26.1</v>
      </c>
      <c r="C68">
        <v>7</v>
      </c>
      <c r="D68" t="s">
        <v>6</v>
      </c>
      <c r="E68">
        <v>2</v>
      </c>
    </row>
    <row r="69" spans="1:5" x14ac:dyDescent="0.25">
      <c r="A69">
        <v>68</v>
      </c>
      <c r="B69">
        <v>27.3</v>
      </c>
      <c r="C69">
        <v>6</v>
      </c>
      <c r="D69" t="s">
        <v>6</v>
      </c>
      <c r="E69">
        <v>2</v>
      </c>
    </row>
    <row r="70" spans="1:5" x14ac:dyDescent="0.25">
      <c r="A70">
        <v>69</v>
      </c>
      <c r="B70">
        <v>26.8</v>
      </c>
      <c r="C70">
        <v>8</v>
      </c>
      <c r="D70" t="s">
        <v>6</v>
      </c>
      <c r="E70">
        <v>2</v>
      </c>
    </row>
    <row r="71" spans="1:5" x14ac:dyDescent="0.25">
      <c r="A71">
        <v>70</v>
      </c>
      <c r="B71">
        <v>24.7</v>
      </c>
      <c r="C71">
        <v>3</v>
      </c>
      <c r="D71" t="s">
        <v>6</v>
      </c>
      <c r="E71">
        <v>3</v>
      </c>
    </row>
    <row r="72" spans="1:5" x14ac:dyDescent="0.25">
      <c r="A72">
        <v>71</v>
      </c>
      <c r="B72">
        <v>21.2</v>
      </c>
      <c r="C72">
        <v>16</v>
      </c>
      <c r="D72" t="s">
        <v>6</v>
      </c>
      <c r="E72">
        <v>3</v>
      </c>
    </row>
    <row r="73" spans="1:5" x14ac:dyDescent="0.25">
      <c r="A73">
        <v>72</v>
      </c>
      <c r="B73">
        <v>17.3</v>
      </c>
      <c r="C73">
        <v>8</v>
      </c>
      <c r="D73" t="s">
        <v>6</v>
      </c>
      <c r="E73">
        <v>3</v>
      </c>
    </row>
    <row r="74" spans="1:5" x14ac:dyDescent="0.25">
      <c r="A74">
        <v>73</v>
      </c>
      <c r="B74">
        <v>13.7</v>
      </c>
      <c r="C74">
        <v>19</v>
      </c>
      <c r="D74" t="s">
        <v>6</v>
      </c>
      <c r="E74">
        <v>4</v>
      </c>
    </row>
    <row r="75" spans="1:5" x14ac:dyDescent="0.25">
      <c r="A75">
        <v>74</v>
      </c>
      <c r="B75">
        <v>11.3</v>
      </c>
      <c r="C75">
        <v>5</v>
      </c>
      <c r="D75" t="s">
        <v>6</v>
      </c>
      <c r="E75">
        <v>4</v>
      </c>
    </row>
    <row r="76" spans="1:5" x14ac:dyDescent="0.25">
      <c r="A76">
        <v>75</v>
      </c>
      <c r="B76">
        <v>10.5</v>
      </c>
      <c r="C76">
        <v>2</v>
      </c>
      <c r="D76" t="s">
        <v>6</v>
      </c>
      <c r="E76">
        <v>4</v>
      </c>
    </row>
    <row r="77" spans="1:5" x14ac:dyDescent="0.25">
      <c r="A77">
        <v>76</v>
      </c>
      <c r="B77">
        <v>11</v>
      </c>
      <c r="C77">
        <v>22</v>
      </c>
      <c r="D77" t="s">
        <v>6</v>
      </c>
      <c r="E77">
        <v>5</v>
      </c>
    </row>
    <row r="78" spans="1:5" x14ac:dyDescent="0.25">
      <c r="A78">
        <v>77</v>
      </c>
      <c r="B78">
        <v>12.5</v>
      </c>
      <c r="C78">
        <v>0</v>
      </c>
      <c r="D78" t="s">
        <v>5</v>
      </c>
      <c r="E78">
        <v>0</v>
      </c>
    </row>
    <row r="79" spans="1:5" x14ac:dyDescent="0.25">
      <c r="A79">
        <v>78</v>
      </c>
      <c r="B79">
        <v>14</v>
      </c>
      <c r="C79">
        <v>2</v>
      </c>
      <c r="D79" t="s">
        <v>6</v>
      </c>
      <c r="E79">
        <v>1</v>
      </c>
    </row>
    <row r="80" spans="1:5" x14ac:dyDescent="0.25">
      <c r="A80">
        <v>79</v>
      </c>
      <c r="B80">
        <v>14.7</v>
      </c>
      <c r="C80">
        <v>4</v>
      </c>
      <c r="D80" t="s">
        <v>6</v>
      </c>
      <c r="E80">
        <v>1</v>
      </c>
    </row>
    <row r="81" spans="1:5" x14ac:dyDescent="0.25">
      <c r="A81">
        <v>80</v>
      </c>
      <c r="B81">
        <v>14.1</v>
      </c>
      <c r="C81">
        <v>5</v>
      </c>
      <c r="D81" t="s">
        <v>7</v>
      </c>
      <c r="E81">
        <v>1</v>
      </c>
    </row>
    <row r="82" spans="1:5" x14ac:dyDescent="0.25">
      <c r="A82">
        <v>81</v>
      </c>
      <c r="B82">
        <v>11.9</v>
      </c>
      <c r="C82">
        <v>8</v>
      </c>
      <c r="D82" t="s">
        <v>6</v>
      </c>
      <c r="E82">
        <v>2</v>
      </c>
    </row>
    <row r="83" spans="1:5" x14ac:dyDescent="0.25">
      <c r="A83">
        <v>82</v>
      </c>
      <c r="B83">
        <v>8.6999999999999993</v>
      </c>
      <c r="C83">
        <v>6</v>
      </c>
      <c r="D83" t="s">
        <v>6</v>
      </c>
      <c r="E83">
        <v>2</v>
      </c>
    </row>
    <row r="84" spans="1:5" x14ac:dyDescent="0.25">
      <c r="A84">
        <v>83</v>
      </c>
      <c r="B84">
        <v>5.0999999999999996</v>
      </c>
      <c r="C84">
        <v>3</v>
      </c>
      <c r="D84" t="s">
        <v>6</v>
      </c>
      <c r="E84">
        <v>2</v>
      </c>
    </row>
    <row r="85" spans="1:5" x14ac:dyDescent="0.25">
      <c r="A85">
        <v>84</v>
      </c>
      <c r="B85">
        <v>2.2000000000000002</v>
      </c>
      <c r="C85">
        <v>1</v>
      </c>
      <c r="D85" t="s">
        <v>6</v>
      </c>
      <c r="E85">
        <v>3</v>
      </c>
    </row>
    <row r="86" spans="1:5" x14ac:dyDescent="0.25">
      <c r="A86">
        <v>85</v>
      </c>
      <c r="B86">
        <v>0.5</v>
      </c>
      <c r="C86">
        <v>5</v>
      </c>
      <c r="D86" t="s">
        <v>6</v>
      </c>
      <c r="E86">
        <v>3</v>
      </c>
    </row>
    <row r="87" spans="1:5" x14ac:dyDescent="0.25">
      <c r="A87">
        <v>86</v>
      </c>
      <c r="B87">
        <v>0.6</v>
      </c>
      <c r="C87">
        <v>13</v>
      </c>
      <c r="D87" t="s">
        <v>6</v>
      </c>
      <c r="E87">
        <v>3</v>
      </c>
    </row>
    <row r="88" spans="1:5" x14ac:dyDescent="0.25">
      <c r="A88">
        <v>87</v>
      </c>
      <c r="B88">
        <v>2.2999999999999998</v>
      </c>
      <c r="C88">
        <v>4</v>
      </c>
      <c r="D88" t="s">
        <v>6</v>
      </c>
      <c r="E88">
        <v>4</v>
      </c>
    </row>
    <row r="89" spans="1:5" x14ac:dyDescent="0.25">
      <c r="A89">
        <v>88</v>
      </c>
      <c r="B89">
        <v>5</v>
      </c>
      <c r="C89">
        <v>9</v>
      </c>
      <c r="D89" t="s">
        <v>6</v>
      </c>
      <c r="E89">
        <v>4</v>
      </c>
    </row>
    <row r="90" spans="1:5" x14ac:dyDescent="0.25">
      <c r="A90">
        <v>89</v>
      </c>
      <c r="B90">
        <v>7.9</v>
      </c>
      <c r="C90">
        <v>24</v>
      </c>
      <c r="D90" t="s">
        <v>6</v>
      </c>
      <c r="E90">
        <v>4</v>
      </c>
    </row>
    <row r="91" spans="1:5" x14ac:dyDescent="0.25">
      <c r="A91">
        <v>90</v>
      </c>
      <c r="B91">
        <v>10</v>
      </c>
      <c r="C91">
        <v>15</v>
      </c>
      <c r="D91" t="s">
        <v>6</v>
      </c>
      <c r="E91">
        <v>5</v>
      </c>
    </row>
    <row r="92" spans="1:5" x14ac:dyDescent="0.25">
      <c r="A92">
        <v>91</v>
      </c>
      <c r="B92">
        <v>10.9</v>
      </c>
      <c r="C92">
        <v>29</v>
      </c>
      <c r="D92" t="s">
        <v>6</v>
      </c>
      <c r="E92">
        <v>5</v>
      </c>
    </row>
    <row r="93" spans="1:5" x14ac:dyDescent="0.25">
      <c r="A93">
        <v>92</v>
      </c>
      <c r="B93">
        <v>10.3</v>
      </c>
      <c r="C93">
        <v>0</v>
      </c>
      <c r="D93" t="s">
        <v>5</v>
      </c>
      <c r="E93">
        <v>0</v>
      </c>
    </row>
    <row r="94" spans="1:5" x14ac:dyDescent="0.25">
      <c r="A94">
        <v>93</v>
      </c>
      <c r="B94">
        <v>8.6999999999999993</v>
      </c>
      <c r="C94">
        <v>1</v>
      </c>
      <c r="D94" t="s">
        <v>7</v>
      </c>
      <c r="E94">
        <v>1</v>
      </c>
    </row>
    <row r="95" spans="1:5" x14ac:dyDescent="0.25">
      <c r="A95">
        <v>94</v>
      </c>
      <c r="B95">
        <v>6.7</v>
      </c>
      <c r="C95">
        <v>3</v>
      </c>
      <c r="D95" t="s">
        <v>7</v>
      </c>
      <c r="E95">
        <v>1</v>
      </c>
    </row>
    <row r="96" spans="1:5" x14ac:dyDescent="0.25">
      <c r="A96">
        <v>95</v>
      </c>
      <c r="B96">
        <v>5.3</v>
      </c>
      <c r="C96">
        <v>6</v>
      </c>
      <c r="D96" t="s">
        <v>7</v>
      </c>
      <c r="E96">
        <v>1</v>
      </c>
    </row>
    <row r="97" spans="1:5" x14ac:dyDescent="0.25">
      <c r="A97">
        <v>96</v>
      </c>
      <c r="B97">
        <v>5.2</v>
      </c>
      <c r="C97">
        <v>3</v>
      </c>
      <c r="D97" t="s">
        <v>7</v>
      </c>
      <c r="E97">
        <v>2</v>
      </c>
    </row>
    <row r="98" spans="1:5" x14ac:dyDescent="0.25">
      <c r="A98">
        <v>97</v>
      </c>
      <c r="B98">
        <v>6.8</v>
      </c>
      <c r="C98">
        <v>2</v>
      </c>
      <c r="D98" t="s">
        <v>7</v>
      </c>
      <c r="E98">
        <v>2</v>
      </c>
    </row>
    <row r="99" spans="1:5" x14ac:dyDescent="0.25">
      <c r="A99">
        <v>98</v>
      </c>
      <c r="B99">
        <v>9.8000000000000007</v>
      </c>
      <c r="C99">
        <v>11</v>
      </c>
      <c r="D99" t="s">
        <v>7</v>
      </c>
      <c r="E99">
        <v>2</v>
      </c>
    </row>
    <row r="100" spans="1:5" x14ac:dyDescent="0.25">
      <c r="A100">
        <v>99</v>
      </c>
      <c r="B100">
        <v>13.7</v>
      </c>
      <c r="C100">
        <v>8</v>
      </c>
      <c r="D100" t="s">
        <v>7</v>
      </c>
      <c r="E100">
        <v>3</v>
      </c>
    </row>
    <row r="101" spans="1:5" x14ac:dyDescent="0.25">
      <c r="A101">
        <v>100</v>
      </c>
      <c r="B101">
        <v>17.7</v>
      </c>
      <c r="C101">
        <v>6</v>
      </c>
      <c r="D101" t="s">
        <v>7</v>
      </c>
      <c r="E101">
        <v>3</v>
      </c>
    </row>
    <row r="102" spans="1:5" x14ac:dyDescent="0.25">
      <c r="A102">
        <v>101</v>
      </c>
      <c r="B102">
        <v>20.8</v>
      </c>
      <c r="C102">
        <v>5</v>
      </c>
      <c r="D102" t="s">
        <v>7</v>
      </c>
      <c r="E102">
        <v>3</v>
      </c>
    </row>
    <row r="103" spans="1:5" x14ac:dyDescent="0.25">
      <c r="A103">
        <v>102</v>
      </c>
      <c r="B103">
        <v>22.4</v>
      </c>
      <c r="C103">
        <v>20</v>
      </c>
      <c r="D103" t="s">
        <v>7</v>
      </c>
      <c r="E103">
        <v>4</v>
      </c>
    </row>
    <row r="104" spans="1:5" x14ac:dyDescent="0.25">
      <c r="A104">
        <v>103</v>
      </c>
      <c r="B104">
        <v>22.5</v>
      </c>
      <c r="C104">
        <v>17</v>
      </c>
      <c r="D104" t="s">
        <v>7</v>
      </c>
      <c r="E104">
        <v>4</v>
      </c>
    </row>
    <row r="105" spans="1:5" x14ac:dyDescent="0.25">
      <c r="A105">
        <v>104</v>
      </c>
      <c r="B105">
        <v>21.2</v>
      </c>
      <c r="C105">
        <v>11</v>
      </c>
      <c r="D105" t="s">
        <v>7</v>
      </c>
      <c r="E105">
        <v>4</v>
      </c>
    </row>
    <row r="106" spans="1:5" x14ac:dyDescent="0.25">
      <c r="A106">
        <v>105</v>
      </c>
      <c r="B106">
        <v>19.5</v>
      </c>
      <c r="C106">
        <v>27</v>
      </c>
      <c r="D106" t="s">
        <v>7</v>
      </c>
      <c r="E106">
        <v>5</v>
      </c>
    </row>
    <row r="107" spans="1:5" x14ac:dyDescent="0.25">
      <c r="A107">
        <v>106</v>
      </c>
      <c r="B107">
        <v>18.100000000000001</v>
      </c>
      <c r="C107">
        <v>0</v>
      </c>
      <c r="D107" t="s">
        <v>5</v>
      </c>
      <c r="E107">
        <v>0</v>
      </c>
    </row>
    <row r="108" spans="1:5" x14ac:dyDescent="0.25">
      <c r="A108">
        <v>107</v>
      </c>
      <c r="B108">
        <v>17.8</v>
      </c>
      <c r="C108">
        <v>5</v>
      </c>
      <c r="D108" t="s">
        <v>6</v>
      </c>
      <c r="E108">
        <v>1</v>
      </c>
    </row>
    <row r="109" spans="1:5" x14ac:dyDescent="0.25">
      <c r="A109">
        <v>108</v>
      </c>
      <c r="B109">
        <v>18.899999999999999</v>
      </c>
      <c r="C109">
        <v>3</v>
      </c>
      <c r="D109" t="s">
        <v>6</v>
      </c>
      <c r="E109">
        <v>1</v>
      </c>
    </row>
    <row r="110" spans="1:5" x14ac:dyDescent="0.25">
      <c r="A110">
        <v>109</v>
      </c>
      <c r="B110">
        <v>21.3</v>
      </c>
      <c r="C110">
        <v>1</v>
      </c>
      <c r="D110" t="s">
        <v>6</v>
      </c>
      <c r="E110">
        <v>1</v>
      </c>
    </row>
    <row r="111" spans="1:5" x14ac:dyDescent="0.25">
      <c r="A111">
        <v>110</v>
      </c>
      <c r="B111">
        <v>24.5</v>
      </c>
      <c r="C111">
        <v>7</v>
      </c>
      <c r="D111" t="s">
        <v>6</v>
      </c>
      <c r="E111">
        <v>2</v>
      </c>
    </row>
    <row r="112" spans="1:5" x14ac:dyDescent="0.25">
      <c r="A112">
        <v>111</v>
      </c>
      <c r="B112">
        <v>27.5</v>
      </c>
      <c r="C112">
        <v>12</v>
      </c>
      <c r="D112" t="s">
        <v>6</v>
      </c>
      <c r="E112">
        <v>2</v>
      </c>
    </row>
    <row r="113" spans="1:5" x14ac:dyDescent="0.25">
      <c r="A113">
        <v>112</v>
      </c>
      <c r="B113">
        <v>29.5</v>
      </c>
      <c r="C113">
        <v>6</v>
      </c>
      <c r="D113" t="s">
        <v>6</v>
      </c>
      <c r="E113">
        <v>2</v>
      </c>
    </row>
    <row r="114" spans="1:5" x14ac:dyDescent="0.25">
      <c r="A114">
        <v>113</v>
      </c>
      <c r="B114">
        <v>29.9</v>
      </c>
      <c r="C114">
        <v>5</v>
      </c>
      <c r="D114" t="s">
        <v>6</v>
      </c>
      <c r="E114">
        <v>3</v>
      </c>
    </row>
    <row r="115" spans="1:5" x14ac:dyDescent="0.25">
      <c r="A115">
        <v>114</v>
      </c>
      <c r="B115">
        <v>28.6</v>
      </c>
      <c r="C115">
        <v>6</v>
      </c>
      <c r="D115" t="s">
        <v>6</v>
      </c>
      <c r="E115">
        <v>3</v>
      </c>
    </row>
    <row r="116" spans="1:5" x14ac:dyDescent="0.25">
      <c r="A116">
        <v>115</v>
      </c>
      <c r="B116">
        <v>25.9</v>
      </c>
      <c r="C116">
        <v>6</v>
      </c>
      <c r="D116" t="s">
        <v>6</v>
      </c>
      <c r="E116">
        <v>3</v>
      </c>
    </row>
    <row r="117" spans="1:5" x14ac:dyDescent="0.25">
      <c r="A117">
        <v>116</v>
      </c>
      <c r="B117">
        <v>22.6</v>
      </c>
      <c r="C117">
        <v>23</v>
      </c>
      <c r="D117" t="s">
        <v>6</v>
      </c>
      <c r="E117">
        <v>4</v>
      </c>
    </row>
    <row r="118" spans="1:5" x14ac:dyDescent="0.25">
      <c r="A118">
        <v>117</v>
      </c>
      <c r="B118">
        <v>19.7</v>
      </c>
      <c r="C118">
        <v>16</v>
      </c>
      <c r="D118" t="s">
        <v>6</v>
      </c>
      <c r="E118">
        <v>4</v>
      </c>
    </row>
    <row r="119" spans="1:5" x14ac:dyDescent="0.25">
      <c r="A119">
        <v>118</v>
      </c>
      <c r="B119">
        <v>17.8</v>
      </c>
      <c r="C119">
        <v>1</v>
      </c>
      <c r="D119" t="s">
        <v>6</v>
      </c>
      <c r="E119">
        <v>4</v>
      </c>
    </row>
    <row r="120" spans="1:5" x14ac:dyDescent="0.25">
      <c r="A120">
        <v>119</v>
      </c>
      <c r="B120">
        <v>17.3</v>
      </c>
      <c r="C120">
        <v>27</v>
      </c>
      <c r="D120" t="s">
        <v>6</v>
      </c>
      <c r="E120">
        <v>5</v>
      </c>
    </row>
    <row r="121" spans="1:5" x14ac:dyDescent="0.25">
      <c r="A121">
        <v>120</v>
      </c>
      <c r="B121">
        <v>18.2</v>
      </c>
      <c r="C121">
        <v>0</v>
      </c>
      <c r="D121" t="s">
        <v>5</v>
      </c>
      <c r="E121">
        <v>0</v>
      </c>
    </row>
    <row r="122" spans="1:5" x14ac:dyDescent="0.25">
      <c r="A122">
        <v>121</v>
      </c>
      <c r="B122">
        <v>19.8</v>
      </c>
      <c r="C122">
        <v>1</v>
      </c>
      <c r="D122" t="s">
        <v>6</v>
      </c>
      <c r="E122">
        <v>1</v>
      </c>
    </row>
    <row r="123" spans="1:5" x14ac:dyDescent="0.25">
      <c r="A123">
        <v>122</v>
      </c>
      <c r="B123">
        <v>21.4</v>
      </c>
      <c r="C123">
        <v>1</v>
      </c>
      <c r="D123" t="s">
        <v>6</v>
      </c>
      <c r="E123">
        <v>1</v>
      </c>
    </row>
    <row r="124" spans="1:5" x14ac:dyDescent="0.25">
      <c r="A124">
        <v>123</v>
      </c>
      <c r="B124">
        <v>22</v>
      </c>
      <c r="C124">
        <v>6</v>
      </c>
      <c r="D124" t="s">
        <v>6</v>
      </c>
      <c r="E124">
        <v>1</v>
      </c>
    </row>
    <row r="125" spans="1:5" x14ac:dyDescent="0.25">
      <c r="A125">
        <v>124</v>
      </c>
      <c r="B125">
        <v>21.2</v>
      </c>
      <c r="C125">
        <v>9</v>
      </c>
      <c r="D125" t="s">
        <v>6</v>
      </c>
      <c r="E125">
        <v>2</v>
      </c>
    </row>
    <row r="126" spans="1:5" x14ac:dyDescent="0.25">
      <c r="A126">
        <v>125</v>
      </c>
      <c r="B126">
        <v>18.8</v>
      </c>
      <c r="C126">
        <v>7</v>
      </c>
      <c r="D126" t="s">
        <v>6</v>
      </c>
      <c r="E126">
        <v>2</v>
      </c>
    </row>
    <row r="127" spans="1:5" x14ac:dyDescent="0.25">
      <c r="A127">
        <v>126</v>
      </c>
      <c r="B127">
        <v>15.2</v>
      </c>
      <c r="C127">
        <v>12</v>
      </c>
      <c r="D127" t="s">
        <v>6</v>
      </c>
      <c r="E127">
        <v>2</v>
      </c>
    </row>
    <row r="128" spans="1:5" x14ac:dyDescent="0.25">
      <c r="A128">
        <v>127</v>
      </c>
      <c r="B128">
        <v>11.1</v>
      </c>
      <c r="C128">
        <v>15</v>
      </c>
      <c r="D128" t="s">
        <v>6</v>
      </c>
      <c r="E128">
        <v>3</v>
      </c>
    </row>
    <row r="129" spans="1:5" x14ac:dyDescent="0.25">
      <c r="A129">
        <v>128</v>
      </c>
      <c r="B129">
        <v>7.5</v>
      </c>
      <c r="C129">
        <v>10</v>
      </c>
      <c r="D129" t="s">
        <v>6</v>
      </c>
      <c r="E129">
        <v>3</v>
      </c>
    </row>
    <row r="130" spans="1:5" x14ac:dyDescent="0.25">
      <c r="A130">
        <v>129</v>
      </c>
      <c r="B130">
        <v>5.2</v>
      </c>
      <c r="C130">
        <v>5</v>
      </c>
      <c r="D130" t="s">
        <v>6</v>
      </c>
      <c r="E130">
        <v>3</v>
      </c>
    </row>
    <row r="131" spans="1:5" x14ac:dyDescent="0.25">
      <c r="A131">
        <v>130</v>
      </c>
      <c r="B131">
        <v>4.5999999999999996</v>
      </c>
      <c r="C131">
        <v>23</v>
      </c>
      <c r="D131" t="s">
        <v>6</v>
      </c>
      <c r="E131">
        <v>4</v>
      </c>
    </row>
    <row r="132" spans="1:5" x14ac:dyDescent="0.25">
      <c r="A132">
        <v>131</v>
      </c>
      <c r="B132">
        <v>5.5</v>
      </c>
      <c r="C132">
        <v>11</v>
      </c>
      <c r="D132" t="s">
        <v>6</v>
      </c>
      <c r="E132">
        <v>4</v>
      </c>
    </row>
    <row r="133" spans="1:5" x14ac:dyDescent="0.25">
      <c r="A133">
        <v>132</v>
      </c>
      <c r="B133">
        <v>7.3</v>
      </c>
      <c r="C133">
        <v>23</v>
      </c>
      <c r="D133" t="s">
        <v>6</v>
      </c>
      <c r="E133">
        <v>4</v>
      </c>
    </row>
    <row r="134" spans="1:5" x14ac:dyDescent="0.25">
      <c r="A134">
        <v>133</v>
      </c>
      <c r="B134">
        <v>9.3000000000000007</v>
      </c>
      <c r="C134">
        <v>16</v>
      </c>
      <c r="D134" t="s">
        <v>6</v>
      </c>
      <c r="E134">
        <v>5</v>
      </c>
    </row>
    <row r="135" spans="1:5" x14ac:dyDescent="0.25">
      <c r="A135">
        <v>134</v>
      </c>
      <c r="B135">
        <v>10.5</v>
      </c>
      <c r="C135">
        <v>21</v>
      </c>
      <c r="D135" t="s">
        <v>6</v>
      </c>
      <c r="E135">
        <v>5</v>
      </c>
    </row>
    <row r="136" spans="1:5" x14ac:dyDescent="0.25">
      <c r="A136">
        <v>135</v>
      </c>
      <c r="B136">
        <v>10.4</v>
      </c>
      <c r="C136">
        <v>0</v>
      </c>
      <c r="D136" t="s">
        <v>5</v>
      </c>
      <c r="E136">
        <v>0</v>
      </c>
    </row>
    <row r="137" spans="1:5" x14ac:dyDescent="0.25">
      <c r="A137">
        <v>136</v>
      </c>
      <c r="B137">
        <v>9</v>
      </c>
      <c r="C137">
        <v>4</v>
      </c>
      <c r="D137" t="s">
        <v>7</v>
      </c>
      <c r="E137">
        <v>1</v>
      </c>
    </row>
    <row r="138" spans="1:5" x14ac:dyDescent="0.25">
      <c r="A138">
        <v>137</v>
      </c>
      <c r="B138">
        <v>6.4</v>
      </c>
      <c r="C138">
        <v>3</v>
      </c>
      <c r="D138" t="s">
        <v>7</v>
      </c>
      <c r="E138">
        <v>1</v>
      </c>
    </row>
    <row r="139" spans="1:5" x14ac:dyDescent="0.25">
      <c r="A139">
        <v>138</v>
      </c>
      <c r="B139">
        <v>3.6</v>
      </c>
      <c r="C139">
        <v>3</v>
      </c>
      <c r="D139" t="s">
        <v>7</v>
      </c>
      <c r="E139">
        <v>1</v>
      </c>
    </row>
    <row r="140" spans="1:5" x14ac:dyDescent="0.25">
      <c r="A140">
        <v>139</v>
      </c>
      <c r="B140">
        <v>1.4</v>
      </c>
      <c r="C140">
        <v>4</v>
      </c>
      <c r="D140" t="s">
        <v>7</v>
      </c>
      <c r="E140">
        <v>2</v>
      </c>
    </row>
    <row r="141" spans="1:5" x14ac:dyDescent="0.25">
      <c r="A141">
        <v>140</v>
      </c>
      <c r="B141">
        <v>0.5</v>
      </c>
      <c r="C141">
        <v>5</v>
      </c>
      <c r="D141" t="s">
        <v>7</v>
      </c>
      <c r="E141">
        <v>2</v>
      </c>
    </row>
    <row r="142" spans="1:5" x14ac:dyDescent="0.25">
      <c r="A142">
        <v>141</v>
      </c>
      <c r="B142">
        <v>1.4</v>
      </c>
      <c r="C142">
        <v>1</v>
      </c>
      <c r="D142" t="s">
        <v>7</v>
      </c>
      <c r="E142">
        <v>2</v>
      </c>
    </row>
    <row r="143" spans="1:5" x14ac:dyDescent="0.25">
      <c r="A143">
        <v>142</v>
      </c>
      <c r="B143">
        <v>3.9</v>
      </c>
      <c r="C143">
        <v>3</v>
      </c>
      <c r="D143" t="s">
        <v>7</v>
      </c>
      <c r="E143">
        <v>3</v>
      </c>
    </row>
    <row r="144" spans="1:5" x14ac:dyDescent="0.25">
      <c r="A144">
        <v>143</v>
      </c>
      <c r="B144">
        <v>7.3</v>
      </c>
      <c r="C144">
        <v>13</v>
      </c>
      <c r="D144" t="s">
        <v>7</v>
      </c>
      <c r="E144">
        <v>3</v>
      </c>
    </row>
    <row r="145" spans="1:5" x14ac:dyDescent="0.25">
      <c r="A145">
        <v>144</v>
      </c>
      <c r="B145">
        <v>10.9</v>
      </c>
      <c r="C145">
        <v>12</v>
      </c>
      <c r="D145" t="s">
        <v>7</v>
      </c>
      <c r="E145">
        <v>3</v>
      </c>
    </row>
    <row r="146" spans="1:5" x14ac:dyDescent="0.25">
      <c r="A146">
        <v>145</v>
      </c>
      <c r="B146">
        <v>13.7</v>
      </c>
      <c r="C146">
        <v>9</v>
      </c>
      <c r="D146" t="s">
        <v>7</v>
      </c>
      <c r="E146">
        <v>4</v>
      </c>
    </row>
    <row r="147" spans="1:5" x14ac:dyDescent="0.25">
      <c r="A147">
        <v>146</v>
      </c>
      <c r="B147">
        <v>15.1</v>
      </c>
      <c r="C147">
        <v>21</v>
      </c>
      <c r="D147" t="s">
        <v>7</v>
      </c>
      <c r="E147">
        <v>4</v>
      </c>
    </row>
    <row r="148" spans="1:5" x14ac:dyDescent="0.25">
      <c r="A148">
        <v>147</v>
      </c>
      <c r="B148">
        <v>15.1</v>
      </c>
      <c r="C148">
        <v>14</v>
      </c>
      <c r="D148" t="s">
        <v>7</v>
      </c>
      <c r="E148">
        <v>4</v>
      </c>
    </row>
    <row r="149" spans="1:5" x14ac:dyDescent="0.25">
      <c r="A149">
        <v>148</v>
      </c>
      <c r="B149">
        <v>13.9</v>
      </c>
      <c r="C149">
        <v>11</v>
      </c>
      <c r="D149" t="s">
        <v>7</v>
      </c>
      <c r="E149">
        <v>5</v>
      </c>
    </row>
    <row r="150" spans="1:5" x14ac:dyDescent="0.25">
      <c r="A150">
        <v>149</v>
      </c>
      <c r="B150">
        <v>12.3</v>
      </c>
      <c r="C150">
        <v>20</v>
      </c>
      <c r="D150" t="s">
        <v>7</v>
      </c>
      <c r="E150">
        <v>5</v>
      </c>
    </row>
    <row r="151" spans="1:5" x14ac:dyDescent="0.25">
      <c r="A151">
        <v>150</v>
      </c>
      <c r="B151">
        <v>11.2</v>
      </c>
      <c r="C151">
        <v>0</v>
      </c>
      <c r="D151" t="s">
        <v>5</v>
      </c>
      <c r="E151">
        <v>0</v>
      </c>
    </row>
    <row r="152" spans="1:5" x14ac:dyDescent="0.25">
      <c r="A152">
        <v>151</v>
      </c>
      <c r="B152">
        <v>11.3</v>
      </c>
      <c r="C152">
        <v>6</v>
      </c>
      <c r="D152" t="s">
        <v>6</v>
      </c>
      <c r="E152">
        <v>1</v>
      </c>
    </row>
    <row r="153" spans="1:5" x14ac:dyDescent="0.25">
      <c r="A153">
        <v>152</v>
      </c>
      <c r="B153">
        <v>12.9</v>
      </c>
      <c r="C153">
        <v>3</v>
      </c>
      <c r="D153" t="s">
        <v>6</v>
      </c>
      <c r="E153">
        <v>1</v>
      </c>
    </row>
    <row r="154" spans="1:5" x14ac:dyDescent="0.25">
      <c r="A154">
        <v>153</v>
      </c>
      <c r="B154">
        <v>16</v>
      </c>
      <c r="C154">
        <v>6</v>
      </c>
      <c r="D154" t="s">
        <v>6</v>
      </c>
      <c r="E154">
        <v>1</v>
      </c>
    </row>
    <row r="155" spans="1:5" x14ac:dyDescent="0.25">
      <c r="A155">
        <v>154</v>
      </c>
      <c r="B155">
        <v>19.8</v>
      </c>
      <c r="C155">
        <v>2</v>
      </c>
      <c r="D155" t="s">
        <v>6</v>
      </c>
      <c r="E155">
        <v>2</v>
      </c>
    </row>
    <row r="156" spans="1:5" x14ac:dyDescent="0.25">
      <c r="A156">
        <v>155</v>
      </c>
      <c r="B156">
        <v>23.6</v>
      </c>
      <c r="C156">
        <v>11</v>
      </c>
      <c r="D156" t="s">
        <v>6</v>
      </c>
      <c r="E156">
        <v>2</v>
      </c>
    </row>
    <row r="157" spans="1:5" x14ac:dyDescent="0.25">
      <c r="A157">
        <v>156</v>
      </c>
      <c r="B157">
        <v>26.4</v>
      </c>
      <c r="C157">
        <v>11</v>
      </c>
      <c r="D157" t="s">
        <v>6</v>
      </c>
      <c r="E157">
        <v>2</v>
      </c>
    </row>
    <row r="158" spans="1:5" x14ac:dyDescent="0.25">
      <c r="A158">
        <v>157</v>
      </c>
      <c r="B158">
        <v>27.7</v>
      </c>
      <c r="C158">
        <v>5</v>
      </c>
      <c r="D158" t="s">
        <v>6</v>
      </c>
      <c r="E158">
        <v>3</v>
      </c>
    </row>
    <row r="159" spans="1:5" x14ac:dyDescent="0.25">
      <c r="A159">
        <v>158</v>
      </c>
      <c r="B159">
        <v>27.2</v>
      </c>
      <c r="C159">
        <v>18</v>
      </c>
      <c r="D159" t="s">
        <v>6</v>
      </c>
      <c r="E159">
        <v>3</v>
      </c>
    </row>
    <row r="160" spans="1:5" x14ac:dyDescent="0.25">
      <c r="A160">
        <v>159</v>
      </c>
      <c r="B160">
        <v>25.5</v>
      </c>
      <c r="C160">
        <v>5</v>
      </c>
      <c r="D160" t="s">
        <v>6</v>
      </c>
      <c r="E160">
        <v>3</v>
      </c>
    </row>
    <row r="161" spans="1:5" x14ac:dyDescent="0.25">
      <c r="A161">
        <v>160</v>
      </c>
      <c r="B161">
        <v>23.1</v>
      </c>
      <c r="C161">
        <v>8</v>
      </c>
      <c r="D161" t="s">
        <v>6</v>
      </c>
      <c r="E161">
        <v>4</v>
      </c>
    </row>
    <row r="162" spans="1:5" x14ac:dyDescent="0.25">
      <c r="A162">
        <v>161</v>
      </c>
      <c r="B162">
        <v>21</v>
      </c>
      <c r="C162">
        <v>22</v>
      </c>
      <c r="D162" t="s">
        <v>6</v>
      </c>
      <c r="E162">
        <v>4</v>
      </c>
    </row>
    <row r="163" spans="1:5" x14ac:dyDescent="0.25">
      <c r="A163">
        <v>162</v>
      </c>
      <c r="B163">
        <v>20</v>
      </c>
      <c r="C163">
        <v>19</v>
      </c>
      <c r="D163" t="s">
        <v>6</v>
      </c>
      <c r="E163">
        <v>4</v>
      </c>
    </row>
    <row r="164" spans="1:5" x14ac:dyDescent="0.25">
      <c r="A164">
        <v>163</v>
      </c>
      <c r="B164">
        <v>20.399999999999999</v>
      </c>
      <c r="C164">
        <v>23</v>
      </c>
      <c r="D164" t="s">
        <v>6</v>
      </c>
      <c r="E164">
        <v>5</v>
      </c>
    </row>
    <row r="165" spans="1:5" x14ac:dyDescent="0.25">
      <c r="A165">
        <v>164</v>
      </c>
      <c r="B165">
        <v>22.1</v>
      </c>
      <c r="C165">
        <v>0</v>
      </c>
      <c r="D165" t="s">
        <v>5</v>
      </c>
      <c r="E165">
        <v>0</v>
      </c>
    </row>
    <row r="166" spans="1:5" x14ac:dyDescent="0.25">
      <c r="A166">
        <v>165</v>
      </c>
      <c r="B166">
        <v>24.5</v>
      </c>
      <c r="C166">
        <v>1</v>
      </c>
      <c r="D166" t="s">
        <v>7</v>
      </c>
      <c r="E166">
        <v>1</v>
      </c>
    </row>
    <row r="167" spans="1:5" x14ac:dyDescent="0.25">
      <c r="A167">
        <v>166</v>
      </c>
      <c r="B167">
        <v>26.8</v>
      </c>
      <c r="C167">
        <v>2</v>
      </c>
      <c r="D167" t="s">
        <v>7</v>
      </c>
      <c r="E167">
        <v>1</v>
      </c>
    </row>
    <row r="168" spans="1:5" x14ac:dyDescent="0.25">
      <c r="A168">
        <v>167</v>
      </c>
      <c r="B168">
        <v>28</v>
      </c>
      <c r="C168">
        <v>4</v>
      </c>
      <c r="D168" t="s">
        <v>7</v>
      </c>
      <c r="E168">
        <v>1</v>
      </c>
    </row>
    <row r="169" spans="1:5" x14ac:dyDescent="0.25">
      <c r="A169">
        <v>168</v>
      </c>
      <c r="B169">
        <v>27.7</v>
      </c>
      <c r="C169">
        <v>8</v>
      </c>
      <c r="D169" t="s">
        <v>7</v>
      </c>
      <c r="E169">
        <v>2</v>
      </c>
    </row>
    <row r="170" spans="1:5" x14ac:dyDescent="0.25">
      <c r="A170">
        <v>169</v>
      </c>
      <c r="B170">
        <v>25.6</v>
      </c>
      <c r="C170">
        <v>4</v>
      </c>
      <c r="D170" t="s">
        <v>7</v>
      </c>
      <c r="E170">
        <v>2</v>
      </c>
    </row>
    <row r="171" spans="1:5" x14ac:dyDescent="0.25">
      <c r="A171">
        <v>170</v>
      </c>
      <c r="B171">
        <v>22.3</v>
      </c>
      <c r="C171">
        <v>7</v>
      </c>
      <c r="D171" t="s">
        <v>7</v>
      </c>
      <c r="E171">
        <v>2</v>
      </c>
    </row>
    <row r="172" spans="1:5" x14ac:dyDescent="0.25">
      <c r="A172">
        <v>171</v>
      </c>
      <c r="B172">
        <v>18.399999999999999</v>
      </c>
      <c r="C172">
        <v>6</v>
      </c>
      <c r="D172" t="s">
        <v>7</v>
      </c>
      <c r="E172">
        <v>3</v>
      </c>
    </row>
    <row r="173" spans="1:5" x14ac:dyDescent="0.25">
      <c r="A173">
        <v>172</v>
      </c>
      <c r="B173">
        <v>14.9</v>
      </c>
      <c r="C173">
        <v>18</v>
      </c>
      <c r="D173" t="s">
        <v>7</v>
      </c>
      <c r="E173">
        <v>3</v>
      </c>
    </row>
    <row r="174" spans="1:5" x14ac:dyDescent="0.25">
      <c r="A174">
        <v>173</v>
      </c>
      <c r="B174">
        <v>12.5</v>
      </c>
      <c r="C174">
        <v>6</v>
      </c>
      <c r="D174" t="s">
        <v>7</v>
      </c>
      <c r="E174">
        <v>3</v>
      </c>
    </row>
    <row r="175" spans="1:5" x14ac:dyDescent="0.25">
      <c r="A175">
        <v>174</v>
      </c>
      <c r="B175">
        <v>11.7</v>
      </c>
      <c r="C175">
        <v>20</v>
      </c>
      <c r="D175" t="s">
        <v>7</v>
      </c>
      <c r="E175">
        <v>4</v>
      </c>
    </row>
    <row r="176" spans="1:5" x14ac:dyDescent="0.25">
      <c r="A176">
        <v>175</v>
      </c>
      <c r="B176">
        <v>12.3</v>
      </c>
      <c r="C176">
        <v>14</v>
      </c>
      <c r="D176" t="s">
        <v>7</v>
      </c>
      <c r="E176">
        <v>4</v>
      </c>
    </row>
    <row r="177" spans="1:5" x14ac:dyDescent="0.25">
      <c r="A177">
        <v>176</v>
      </c>
      <c r="B177">
        <v>13.7</v>
      </c>
      <c r="C177">
        <v>22</v>
      </c>
      <c r="D177" t="s">
        <v>7</v>
      </c>
      <c r="E177">
        <v>4</v>
      </c>
    </row>
    <row r="178" spans="1:5" x14ac:dyDescent="0.25">
      <c r="A178">
        <v>177</v>
      </c>
      <c r="B178">
        <v>15.2</v>
      </c>
      <c r="C178">
        <v>23</v>
      </c>
      <c r="D178" t="s">
        <v>7</v>
      </c>
      <c r="E178">
        <v>5</v>
      </c>
    </row>
    <row r="179" spans="1:5" x14ac:dyDescent="0.25">
      <c r="A179">
        <v>178</v>
      </c>
      <c r="B179">
        <v>15.9</v>
      </c>
      <c r="C179">
        <v>0</v>
      </c>
      <c r="D179" t="s">
        <v>5</v>
      </c>
      <c r="E179">
        <v>0</v>
      </c>
    </row>
    <row r="180" spans="1:5" x14ac:dyDescent="0.25">
      <c r="A180">
        <v>179</v>
      </c>
      <c r="B180">
        <v>15.1</v>
      </c>
      <c r="C180">
        <v>1</v>
      </c>
      <c r="D180" t="s">
        <v>6</v>
      </c>
      <c r="E180">
        <v>1</v>
      </c>
    </row>
    <row r="181" spans="1:5" x14ac:dyDescent="0.25">
      <c r="A181">
        <v>180</v>
      </c>
      <c r="B181">
        <v>12.9</v>
      </c>
      <c r="C181">
        <v>1</v>
      </c>
      <c r="D181" t="s">
        <v>6</v>
      </c>
      <c r="E181">
        <v>1</v>
      </c>
    </row>
    <row r="182" spans="1:5" x14ac:dyDescent="0.25">
      <c r="A182">
        <v>181</v>
      </c>
      <c r="B182">
        <v>9.6</v>
      </c>
      <c r="C182">
        <v>1</v>
      </c>
      <c r="D182" t="s">
        <v>6</v>
      </c>
      <c r="E182">
        <v>1</v>
      </c>
    </row>
    <row r="183" spans="1:5" x14ac:dyDescent="0.25">
      <c r="A183">
        <v>182</v>
      </c>
      <c r="B183">
        <v>5.9</v>
      </c>
      <c r="C183">
        <v>2</v>
      </c>
      <c r="D183" t="s">
        <v>6</v>
      </c>
      <c r="E183">
        <v>2</v>
      </c>
    </row>
    <row r="184" spans="1:5" x14ac:dyDescent="0.25">
      <c r="A184">
        <v>183</v>
      </c>
      <c r="B184">
        <v>2.8</v>
      </c>
      <c r="C184">
        <v>6</v>
      </c>
      <c r="D184" t="s">
        <v>6</v>
      </c>
      <c r="E184">
        <v>2</v>
      </c>
    </row>
    <row r="185" spans="1:5" x14ac:dyDescent="0.25">
      <c r="A185">
        <v>184</v>
      </c>
      <c r="B185">
        <v>1</v>
      </c>
      <c r="C185">
        <v>9</v>
      </c>
      <c r="D185" t="s">
        <v>6</v>
      </c>
      <c r="E185">
        <v>2</v>
      </c>
    </row>
    <row r="186" spans="1:5" x14ac:dyDescent="0.25">
      <c r="A186">
        <v>185</v>
      </c>
      <c r="B186">
        <v>0.9</v>
      </c>
      <c r="C186">
        <v>6</v>
      </c>
      <c r="D186" t="s">
        <v>6</v>
      </c>
      <c r="E186">
        <v>3</v>
      </c>
    </row>
    <row r="187" spans="1:5" x14ac:dyDescent="0.25">
      <c r="A187">
        <v>186</v>
      </c>
      <c r="B187">
        <v>2.5</v>
      </c>
      <c r="C187">
        <v>1</v>
      </c>
      <c r="D187" t="s">
        <v>6</v>
      </c>
      <c r="E187">
        <v>3</v>
      </c>
    </row>
    <row r="188" spans="1:5" x14ac:dyDescent="0.25">
      <c r="A188">
        <v>187</v>
      </c>
      <c r="B188">
        <v>5</v>
      </c>
      <c r="C188">
        <v>3</v>
      </c>
      <c r="D188" t="s">
        <v>6</v>
      </c>
      <c r="E188">
        <v>3</v>
      </c>
    </row>
    <row r="189" spans="1:5" x14ac:dyDescent="0.25">
      <c r="A189">
        <v>188</v>
      </c>
      <c r="B189">
        <v>7.7</v>
      </c>
      <c r="C189">
        <v>7</v>
      </c>
      <c r="D189" t="s">
        <v>6</v>
      </c>
      <c r="E189">
        <v>4</v>
      </c>
    </row>
    <row r="190" spans="1:5" x14ac:dyDescent="0.25">
      <c r="A190">
        <v>189</v>
      </c>
      <c r="B190">
        <v>9.6999999999999993</v>
      </c>
      <c r="C190">
        <v>6</v>
      </c>
      <c r="D190" t="s">
        <v>6</v>
      </c>
      <c r="E190">
        <v>4</v>
      </c>
    </row>
    <row r="191" spans="1:5" x14ac:dyDescent="0.25">
      <c r="A191">
        <v>190</v>
      </c>
      <c r="B191">
        <v>10.4</v>
      </c>
      <c r="C191">
        <v>3</v>
      </c>
      <c r="D191" t="s">
        <v>6</v>
      </c>
      <c r="E191">
        <v>4</v>
      </c>
    </row>
    <row r="192" spans="1:5" x14ac:dyDescent="0.25">
      <c r="A192">
        <v>191</v>
      </c>
      <c r="B192">
        <v>9.6999999999999993</v>
      </c>
      <c r="C192">
        <v>22</v>
      </c>
      <c r="D192" t="s">
        <v>6</v>
      </c>
      <c r="E192">
        <v>5</v>
      </c>
    </row>
    <row r="193" spans="1:5" x14ac:dyDescent="0.25">
      <c r="A193">
        <v>192</v>
      </c>
      <c r="B193">
        <v>8</v>
      </c>
      <c r="C193">
        <v>0</v>
      </c>
      <c r="D193" t="s">
        <v>5</v>
      </c>
      <c r="E193">
        <v>0</v>
      </c>
    </row>
    <row r="194" spans="1:5" x14ac:dyDescent="0.25">
      <c r="A194">
        <v>193</v>
      </c>
      <c r="B194">
        <v>5.9</v>
      </c>
      <c r="C194">
        <v>3</v>
      </c>
      <c r="D194" t="s">
        <v>7</v>
      </c>
      <c r="E194">
        <v>1</v>
      </c>
    </row>
    <row r="195" spans="1:5" x14ac:dyDescent="0.25">
      <c r="A195">
        <v>194</v>
      </c>
      <c r="B195">
        <v>4.4000000000000004</v>
      </c>
      <c r="C195">
        <v>4</v>
      </c>
      <c r="D195" t="s">
        <v>7</v>
      </c>
      <c r="E195">
        <v>1</v>
      </c>
    </row>
    <row r="196" spans="1:5" x14ac:dyDescent="0.25">
      <c r="A196">
        <v>195</v>
      </c>
      <c r="B196">
        <v>4.2</v>
      </c>
      <c r="C196">
        <v>6</v>
      </c>
      <c r="D196" t="s">
        <v>7</v>
      </c>
      <c r="E196">
        <v>1</v>
      </c>
    </row>
    <row r="197" spans="1:5" x14ac:dyDescent="0.25">
      <c r="A197">
        <v>196</v>
      </c>
      <c r="B197">
        <v>5.6</v>
      </c>
      <c r="C197">
        <v>8</v>
      </c>
      <c r="D197" t="s">
        <v>7</v>
      </c>
      <c r="E197">
        <v>2</v>
      </c>
    </row>
    <row r="198" spans="1:5" x14ac:dyDescent="0.25">
      <c r="A198">
        <v>197</v>
      </c>
      <c r="B198">
        <v>8.6</v>
      </c>
      <c r="C198">
        <v>12</v>
      </c>
      <c r="D198" t="s">
        <v>7</v>
      </c>
      <c r="E198">
        <v>2</v>
      </c>
    </row>
    <row r="199" spans="1:5" x14ac:dyDescent="0.25">
      <c r="A199">
        <v>198</v>
      </c>
      <c r="B199">
        <v>12.5</v>
      </c>
      <c r="C199">
        <v>9</v>
      </c>
      <c r="D199" t="s">
        <v>7</v>
      </c>
      <c r="E199">
        <v>2</v>
      </c>
    </row>
    <row r="200" spans="1:5" x14ac:dyDescent="0.25">
      <c r="A200">
        <v>199</v>
      </c>
      <c r="B200">
        <v>16.399999999999999</v>
      </c>
      <c r="C200">
        <v>14</v>
      </c>
      <c r="D200" t="s">
        <v>7</v>
      </c>
      <c r="E200">
        <v>3</v>
      </c>
    </row>
    <row r="201" spans="1:5" x14ac:dyDescent="0.25">
      <c r="A201">
        <v>200</v>
      </c>
      <c r="B201">
        <v>19.5</v>
      </c>
      <c r="C201">
        <v>12</v>
      </c>
      <c r="D201" t="s">
        <v>7</v>
      </c>
      <c r="E201">
        <v>3</v>
      </c>
    </row>
    <row r="202" spans="1:5" x14ac:dyDescent="0.25">
      <c r="A202">
        <v>201</v>
      </c>
      <c r="B202">
        <v>21.2</v>
      </c>
      <c r="C202">
        <v>1</v>
      </c>
      <c r="D202" t="s">
        <v>7</v>
      </c>
      <c r="E202">
        <v>3</v>
      </c>
    </row>
    <row r="203" spans="1:5" x14ac:dyDescent="0.25">
      <c r="A203">
        <v>202</v>
      </c>
      <c r="B203">
        <v>21.3</v>
      </c>
      <c r="C203">
        <v>11</v>
      </c>
      <c r="D203" t="s">
        <v>7</v>
      </c>
      <c r="E203">
        <v>4</v>
      </c>
    </row>
    <row r="204" spans="1:5" x14ac:dyDescent="0.25">
      <c r="A204">
        <v>203</v>
      </c>
      <c r="B204">
        <v>20.100000000000001</v>
      </c>
      <c r="C204">
        <v>6</v>
      </c>
      <c r="D204" t="s">
        <v>7</v>
      </c>
      <c r="E204">
        <v>4</v>
      </c>
    </row>
    <row r="205" spans="1:5" x14ac:dyDescent="0.25">
      <c r="A205">
        <v>204</v>
      </c>
      <c r="B205">
        <v>18.399999999999999</v>
      </c>
      <c r="C205">
        <v>3</v>
      </c>
      <c r="D205" t="s">
        <v>7</v>
      </c>
      <c r="E205">
        <v>4</v>
      </c>
    </row>
    <row r="206" spans="1:5" x14ac:dyDescent="0.25">
      <c r="A206">
        <v>205</v>
      </c>
      <c r="B206">
        <v>17.100000000000001</v>
      </c>
      <c r="C206">
        <v>15</v>
      </c>
      <c r="D206" t="s">
        <v>7</v>
      </c>
      <c r="E206">
        <v>5</v>
      </c>
    </row>
    <row r="207" spans="1:5" x14ac:dyDescent="0.25">
      <c r="A207">
        <v>206</v>
      </c>
      <c r="B207">
        <v>16.899999999999999</v>
      </c>
      <c r="C207">
        <v>16</v>
      </c>
      <c r="D207" t="s">
        <v>7</v>
      </c>
      <c r="E207">
        <v>5</v>
      </c>
    </row>
    <row r="208" spans="1:5" x14ac:dyDescent="0.25">
      <c r="A208">
        <v>207</v>
      </c>
      <c r="B208">
        <v>18.2</v>
      </c>
      <c r="C208">
        <v>17</v>
      </c>
      <c r="D208" t="s">
        <v>7</v>
      </c>
      <c r="E208">
        <v>5</v>
      </c>
    </row>
    <row r="209" spans="1:5" x14ac:dyDescent="0.25">
      <c r="A209">
        <v>208</v>
      </c>
      <c r="B209">
        <v>20.7</v>
      </c>
      <c r="C209">
        <v>18</v>
      </c>
      <c r="D209" t="s">
        <v>7</v>
      </c>
      <c r="E209">
        <v>5</v>
      </c>
    </row>
    <row r="210" spans="1:5" x14ac:dyDescent="0.25">
      <c r="A210">
        <v>209</v>
      </c>
      <c r="B210">
        <v>24</v>
      </c>
      <c r="C210">
        <v>13</v>
      </c>
      <c r="D210" t="s">
        <v>7</v>
      </c>
      <c r="E210">
        <v>5</v>
      </c>
    </row>
    <row r="211" spans="1:5" x14ac:dyDescent="0.25">
      <c r="A211">
        <v>210</v>
      </c>
      <c r="B211">
        <v>27.2</v>
      </c>
      <c r="C211">
        <v>27</v>
      </c>
      <c r="D211" t="s">
        <v>7</v>
      </c>
      <c r="E211">
        <v>5</v>
      </c>
    </row>
    <row r="212" spans="1:5" x14ac:dyDescent="0.25">
      <c r="A212">
        <v>211</v>
      </c>
      <c r="B212">
        <v>29.4</v>
      </c>
      <c r="C212">
        <v>0</v>
      </c>
      <c r="D212" t="s">
        <v>5</v>
      </c>
      <c r="E212">
        <v>0</v>
      </c>
    </row>
    <row r="213" spans="1:5" x14ac:dyDescent="0.25">
      <c r="A213">
        <v>212</v>
      </c>
      <c r="B213">
        <v>29.9</v>
      </c>
      <c r="C213">
        <v>2</v>
      </c>
      <c r="D213" t="s">
        <v>6</v>
      </c>
      <c r="E213">
        <v>1</v>
      </c>
    </row>
    <row r="214" spans="1:5" x14ac:dyDescent="0.25">
      <c r="A214">
        <v>213</v>
      </c>
      <c r="B214">
        <v>28.8</v>
      </c>
      <c r="C214">
        <v>4</v>
      </c>
      <c r="D214" t="s">
        <v>6</v>
      </c>
      <c r="E214">
        <v>1</v>
      </c>
    </row>
    <row r="215" spans="1:5" x14ac:dyDescent="0.25">
      <c r="A215">
        <v>214</v>
      </c>
      <c r="B215">
        <v>26.2</v>
      </c>
      <c r="C215">
        <v>2</v>
      </c>
      <c r="D215" t="s">
        <v>6</v>
      </c>
      <c r="E215">
        <v>1</v>
      </c>
    </row>
    <row r="216" spans="1:5" x14ac:dyDescent="0.25">
      <c r="A216">
        <v>215</v>
      </c>
      <c r="B216">
        <v>23.1</v>
      </c>
      <c r="C216">
        <v>11</v>
      </c>
      <c r="D216" t="s">
        <v>6</v>
      </c>
      <c r="E216">
        <v>1</v>
      </c>
    </row>
    <row r="217" spans="1:5" x14ac:dyDescent="0.25">
      <c r="A217">
        <v>216</v>
      </c>
      <c r="B217">
        <v>20.3</v>
      </c>
      <c r="C217">
        <v>1</v>
      </c>
      <c r="D217" t="s">
        <v>6</v>
      </c>
      <c r="E217">
        <v>2</v>
      </c>
    </row>
    <row r="218" spans="1:5" x14ac:dyDescent="0.25">
      <c r="A218">
        <v>217</v>
      </c>
      <c r="B218">
        <v>18.5</v>
      </c>
      <c r="C218">
        <v>7</v>
      </c>
      <c r="D218" t="s">
        <v>6</v>
      </c>
      <c r="E218">
        <v>2</v>
      </c>
    </row>
    <row r="219" spans="1:5" x14ac:dyDescent="0.25">
      <c r="A219">
        <v>218</v>
      </c>
      <c r="B219">
        <v>18.2</v>
      </c>
      <c r="C219">
        <v>10</v>
      </c>
      <c r="D219" t="s">
        <v>6</v>
      </c>
      <c r="E219">
        <v>3</v>
      </c>
    </row>
    <row r="220" spans="1:5" x14ac:dyDescent="0.25">
      <c r="A220">
        <v>219</v>
      </c>
      <c r="B220">
        <v>19.100000000000001</v>
      </c>
      <c r="C220">
        <v>10</v>
      </c>
      <c r="D220" t="s">
        <v>6</v>
      </c>
      <c r="E220">
        <v>3</v>
      </c>
    </row>
    <row r="221" spans="1:5" x14ac:dyDescent="0.25">
      <c r="A221">
        <v>220</v>
      </c>
      <c r="B221">
        <v>20.9</v>
      </c>
      <c r="C221">
        <v>1</v>
      </c>
      <c r="D221" t="s">
        <v>6</v>
      </c>
      <c r="E221">
        <v>3</v>
      </c>
    </row>
    <row r="222" spans="1:5" x14ac:dyDescent="0.25">
      <c r="A222">
        <v>221</v>
      </c>
      <c r="B222">
        <v>22.5</v>
      </c>
      <c r="C222">
        <v>4</v>
      </c>
      <c r="D222" t="s">
        <v>6</v>
      </c>
      <c r="E222">
        <v>4</v>
      </c>
    </row>
    <row r="223" spans="1:5" x14ac:dyDescent="0.25">
      <c r="A223">
        <v>222</v>
      </c>
      <c r="B223">
        <v>23.2</v>
      </c>
      <c r="C223">
        <v>12</v>
      </c>
      <c r="D223" t="s">
        <v>6</v>
      </c>
      <c r="E223">
        <v>4</v>
      </c>
    </row>
    <row r="224" spans="1:5" x14ac:dyDescent="0.25">
      <c r="A224">
        <v>223</v>
      </c>
      <c r="B224">
        <v>22.4</v>
      </c>
      <c r="C224">
        <v>7</v>
      </c>
      <c r="D224" t="s">
        <v>6</v>
      </c>
      <c r="E224">
        <v>4</v>
      </c>
    </row>
    <row r="225" spans="1:5" x14ac:dyDescent="0.25">
      <c r="A225">
        <v>224</v>
      </c>
      <c r="B225">
        <v>20</v>
      </c>
      <c r="C225">
        <v>16</v>
      </c>
      <c r="D225" t="s">
        <v>6</v>
      </c>
      <c r="E225">
        <v>5</v>
      </c>
    </row>
    <row r="226" spans="1:5" x14ac:dyDescent="0.25">
      <c r="A226">
        <v>225</v>
      </c>
      <c r="B226">
        <v>16.399999999999999</v>
      </c>
      <c r="C226">
        <v>24</v>
      </c>
      <c r="D226" t="s">
        <v>6</v>
      </c>
      <c r="E226">
        <v>5</v>
      </c>
    </row>
    <row r="227" spans="1:5" x14ac:dyDescent="0.25">
      <c r="A227">
        <v>226</v>
      </c>
      <c r="B227">
        <v>12.3</v>
      </c>
      <c r="C227">
        <v>0</v>
      </c>
      <c r="D227" t="s">
        <v>5</v>
      </c>
      <c r="E227">
        <v>0</v>
      </c>
    </row>
    <row r="228" spans="1:5" x14ac:dyDescent="0.25">
      <c r="A228">
        <v>227</v>
      </c>
      <c r="B228">
        <v>8.6999999999999993</v>
      </c>
      <c r="C228">
        <v>5</v>
      </c>
      <c r="D228" t="s">
        <v>7</v>
      </c>
      <c r="E228">
        <v>1</v>
      </c>
    </row>
    <row r="229" spans="1:5" x14ac:dyDescent="0.25">
      <c r="A229">
        <v>228</v>
      </c>
      <c r="B229">
        <v>6.4</v>
      </c>
      <c r="C229">
        <v>1</v>
      </c>
      <c r="D229" t="s">
        <v>7</v>
      </c>
      <c r="E229">
        <v>1</v>
      </c>
    </row>
    <row r="230" spans="1:5" x14ac:dyDescent="0.25">
      <c r="A230">
        <v>229</v>
      </c>
      <c r="B230">
        <v>5.6</v>
      </c>
      <c r="C230">
        <v>6</v>
      </c>
      <c r="D230" t="s">
        <v>7</v>
      </c>
      <c r="E230">
        <v>1</v>
      </c>
    </row>
    <row r="231" spans="1:5" x14ac:dyDescent="0.25">
      <c r="A231">
        <v>230</v>
      </c>
      <c r="B231">
        <v>6.4</v>
      </c>
      <c r="C231">
        <v>12</v>
      </c>
      <c r="D231" t="s">
        <v>7</v>
      </c>
      <c r="E231">
        <v>2</v>
      </c>
    </row>
    <row r="232" spans="1:5" x14ac:dyDescent="0.25">
      <c r="A232">
        <v>231</v>
      </c>
      <c r="B232">
        <v>8.1999999999999993</v>
      </c>
      <c r="C232">
        <v>3</v>
      </c>
      <c r="D232" t="s">
        <v>7</v>
      </c>
      <c r="E232">
        <v>2</v>
      </c>
    </row>
    <row r="233" spans="1:5" x14ac:dyDescent="0.25">
      <c r="A233">
        <v>232</v>
      </c>
      <c r="B233">
        <v>10</v>
      </c>
      <c r="C233">
        <v>12</v>
      </c>
      <c r="D233" t="s">
        <v>7</v>
      </c>
      <c r="E233">
        <v>2</v>
      </c>
    </row>
    <row r="234" spans="1:5" x14ac:dyDescent="0.25">
      <c r="A234">
        <v>233</v>
      </c>
      <c r="B234">
        <v>11.1</v>
      </c>
      <c r="C234">
        <v>17</v>
      </c>
      <c r="D234" t="s">
        <v>7</v>
      </c>
      <c r="E234">
        <v>3</v>
      </c>
    </row>
    <row r="235" spans="1:5" x14ac:dyDescent="0.25">
      <c r="A235">
        <v>234</v>
      </c>
      <c r="B235">
        <v>10.9</v>
      </c>
      <c r="C235">
        <v>16</v>
      </c>
      <c r="D235" t="s">
        <v>7</v>
      </c>
      <c r="E235">
        <v>3</v>
      </c>
    </row>
    <row r="236" spans="1:5" x14ac:dyDescent="0.25">
      <c r="A236">
        <v>235</v>
      </c>
      <c r="B236">
        <v>9.3000000000000007</v>
      </c>
      <c r="C236">
        <v>3</v>
      </c>
      <c r="D236" t="s">
        <v>7</v>
      </c>
      <c r="E236">
        <v>3</v>
      </c>
    </row>
    <row r="237" spans="1:5" x14ac:dyDescent="0.25">
      <c r="A237">
        <v>236</v>
      </c>
      <c r="B237">
        <v>6.6</v>
      </c>
      <c r="C237">
        <v>21</v>
      </c>
      <c r="D237" t="s">
        <v>7</v>
      </c>
      <c r="E237">
        <v>4</v>
      </c>
    </row>
    <row r="238" spans="1:5" x14ac:dyDescent="0.25">
      <c r="A238">
        <v>237</v>
      </c>
      <c r="B238">
        <v>3.6</v>
      </c>
      <c r="C238">
        <v>18</v>
      </c>
      <c r="D238" t="s">
        <v>7</v>
      </c>
      <c r="E238">
        <v>4</v>
      </c>
    </row>
    <row r="239" spans="1:5" x14ac:dyDescent="0.25">
      <c r="A239">
        <v>238</v>
      </c>
      <c r="B239">
        <v>1.2</v>
      </c>
      <c r="C239">
        <v>13</v>
      </c>
      <c r="D239" t="s">
        <v>7</v>
      </c>
      <c r="E239">
        <v>4</v>
      </c>
    </row>
    <row r="240" spans="1:5" x14ac:dyDescent="0.25">
      <c r="A240">
        <v>239</v>
      </c>
      <c r="B240">
        <v>0.2</v>
      </c>
      <c r="C240">
        <v>29</v>
      </c>
      <c r="D240" t="s">
        <v>7</v>
      </c>
      <c r="E240">
        <v>5</v>
      </c>
    </row>
    <row r="241" spans="1:5" x14ac:dyDescent="0.25">
      <c r="A241">
        <v>240</v>
      </c>
      <c r="B241">
        <v>0.9</v>
      </c>
      <c r="C241">
        <v>0</v>
      </c>
      <c r="D241" t="s">
        <v>5</v>
      </c>
      <c r="E241">
        <v>0</v>
      </c>
    </row>
    <row r="242" spans="1:5" x14ac:dyDescent="0.25">
      <c r="A242">
        <v>241</v>
      </c>
      <c r="B242">
        <v>3.2</v>
      </c>
      <c r="C242">
        <v>6</v>
      </c>
      <c r="D242" t="s">
        <v>7</v>
      </c>
      <c r="E242">
        <v>1</v>
      </c>
    </row>
    <row r="243" spans="1:5" x14ac:dyDescent="0.25">
      <c r="A243">
        <v>242</v>
      </c>
      <c r="B243">
        <v>6.6</v>
      </c>
      <c r="C243">
        <v>5</v>
      </c>
      <c r="D243" t="s">
        <v>7</v>
      </c>
      <c r="E243">
        <v>1</v>
      </c>
    </row>
    <row r="244" spans="1:5" x14ac:dyDescent="0.25">
      <c r="A244">
        <v>243</v>
      </c>
      <c r="B244">
        <v>10</v>
      </c>
      <c r="C244">
        <v>2</v>
      </c>
      <c r="D244" t="s">
        <v>7</v>
      </c>
      <c r="E244">
        <v>1</v>
      </c>
    </row>
    <row r="245" spans="1:5" x14ac:dyDescent="0.25">
      <c r="A245">
        <v>244</v>
      </c>
      <c r="B245">
        <v>12.7</v>
      </c>
      <c r="C245">
        <v>8</v>
      </c>
      <c r="D245" t="s">
        <v>7</v>
      </c>
      <c r="E245">
        <v>2</v>
      </c>
    </row>
    <row r="246" spans="1:5" x14ac:dyDescent="0.25">
      <c r="A246">
        <v>245</v>
      </c>
      <c r="B246">
        <v>14.1</v>
      </c>
      <c r="C246">
        <v>1</v>
      </c>
      <c r="D246" t="s">
        <v>7</v>
      </c>
      <c r="E246">
        <v>2</v>
      </c>
    </row>
    <row r="247" spans="1:5" x14ac:dyDescent="0.25">
      <c r="A247">
        <v>246</v>
      </c>
      <c r="B247">
        <v>14</v>
      </c>
      <c r="C247">
        <v>11</v>
      </c>
      <c r="D247" t="s">
        <v>7</v>
      </c>
      <c r="E247">
        <v>2</v>
      </c>
    </row>
    <row r="248" spans="1:5" x14ac:dyDescent="0.25">
      <c r="A248">
        <v>247</v>
      </c>
      <c r="B248">
        <v>12.7</v>
      </c>
      <c r="C248">
        <v>13</v>
      </c>
      <c r="D248" t="s">
        <v>7</v>
      </c>
      <c r="E248">
        <v>3</v>
      </c>
    </row>
    <row r="249" spans="1:5" x14ac:dyDescent="0.25">
      <c r="A249">
        <v>248</v>
      </c>
      <c r="B249">
        <v>11.1</v>
      </c>
      <c r="C249">
        <v>18</v>
      </c>
      <c r="D249" t="s">
        <v>7</v>
      </c>
      <c r="E249">
        <v>3</v>
      </c>
    </row>
    <row r="250" spans="1:5" x14ac:dyDescent="0.25">
      <c r="A250">
        <v>249</v>
      </c>
      <c r="B250">
        <v>10</v>
      </c>
      <c r="C250">
        <v>15</v>
      </c>
      <c r="D250" t="s">
        <v>7</v>
      </c>
      <c r="E250">
        <v>3</v>
      </c>
    </row>
    <row r="251" spans="1:5" x14ac:dyDescent="0.25">
      <c r="A251">
        <v>250</v>
      </c>
      <c r="B251">
        <v>10.1</v>
      </c>
      <c r="C251">
        <v>12</v>
      </c>
      <c r="D251" t="s">
        <v>7</v>
      </c>
      <c r="E251">
        <v>4</v>
      </c>
    </row>
    <row r="252" spans="1:5" x14ac:dyDescent="0.25">
      <c r="A252">
        <v>251</v>
      </c>
      <c r="B252">
        <v>11.7</v>
      </c>
      <c r="C252">
        <v>2</v>
      </c>
      <c r="D252" t="s">
        <v>7</v>
      </c>
      <c r="E252">
        <v>4</v>
      </c>
    </row>
    <row r="253" spans="1:5" x14ac:dyDescent="0.25">
      <c r="A253">
        <v>252</v>
      </c>
      <c r="B253">
        <v>14.8</v>
      </c>
      <c r="C253">
        <v>21</v>
      </c>
      <c r="D253" t="s">
        <v>7</v>
      </c>
      <c r="E253">
        <v>4</v>
      </c>
    </row>
    <row r="254" spans="1:5" x14ac:dyDescent="0.25">
      <c r="A254">
        <v>253</v>
      </c>
      <c r="B254">
        <v>18.7</v>
      </c>
      <c r="C254">
        <v>28</v>
      </c>
      <c r="D254" t="s">
        <v>7</v>
      </c>
      <c r="E254">
        <v>5</v>
      </c>
    </row>
    <row r="255" spans="1:5" x14ac:dyDescent="0.25">
      <c r="A255">
        <v>254</v>
      </c>
      <c r="B255">
        <v>22.5</v>
      </c>
      <c r="C255">
        <v>0</v>
      </c>
      <c r="D255" t="s">
        <v>5</v>
      </c>
      <c r="E255">
        <v>0</v>
      </c>
    </row>
    <row r="256" spans="1:5" x14ac:dyDescent="0.25">
      <c r="A256">
        <v>255</v>
      </c>
      <c r="B256">
        <v>25.4</v>
      </c>
      <c r="C256">
        <v>3</v>
      </c>
      <c r="D256" t="s">
        <v>6</v>
      </c>
      <c r="E256">
        <v>1</v>
      </c>
    </row>
    <row r="257" spans="1:5" x14ac:dyDescent="0.25">
      <c r="A257">
        <v>256</v>
      </c>
      <c r="B257">
        <v>26.8</v>
      </c>
      <c r="C257">
        <v>5</v>
      </c>
      <c r="D257" t="s">
        <v>6</v>
      </c>
      <c r="E257">
        <v>1</v>
      </c>
    </row>
    <row r="258" spans="1:5" x14ac:dyDescent="0.25">
      <c r="A258">
        <v>257</v>
      </c>
      <c r="B258">
        <v>26.5</v>
      </c>
      <c r="C258">
        <v>5</v>
      </c>
      <c r="D258" t="s">
        <v>6</v>
      </c>
      <c r="E258">
        <v>1</v>
      </c>
    </row>
    <row r="259" spans="1:5" x14ac:dyDescent="0.25">
      <c r="A259">
        <v>258</v>
      </c>
      <c r="B259">
        <v>24.9</v>
      </c>
      <c r="C259">
        <v>7</v>
      </c>
      <c r="D259" t="s">
        <v>6</v>
      </c>
      <c r="E259">
        <v>2</v>
      </c>
    </row>
    <row r="260" spans="1:5" x14ac:dyDescent="0.25">
      <c r="A260">
        <v>259</v>
      </c>
      <c r="B260">
        <v>22.6</v>
      </c>
      <c r="C260">
        <v>1</v>
      </c>
      <c r="D260" t="s">
        <v>6</v>
      </c>
      <c r="E260">
        <v>2</v>
      </c>
    </row>
    <row r="261" spans="1:5" x14ac:dyDescent="0.25">
      <c r="A261">
        <v>260</v>
      </c>
      <c r="B261">
        <v>20.7</v>
      </c>
      <c r="C261">
        <v>6</v>
      </c>
      <c r="D261" t="s">
        <v>6</v>
      </c>
      <c r="E261">
        <v>2</v>
      </c>
    </row>
    <row r="262" spans="1:5" x14ac:dyDescent="0.25">
      <c r="A262">
        <v>261</v>
      </c>
      <c r="B262">
        <v>19.899999999999999</v>
      </c>
      <c r="C262">
        <v>6</v>
      </c>
      <c r="D262" t="s">
        <v>6</v>
      </c>
      <c r="E262">
        <v>3</v>
      </c>
    </row>
    <row r="263" spans="1:5" x14ac:dyDescent="0.25">
      <c r="A263">
        <v>262</v>
      </c>
      <c r="B263">
        <v>20.399999999999999</v>
      </c>
      <c r="C263">
        <v>10</v>
      </c>
      <c r="D263" t="s">
        <v>6</v>
      </c>
      <c r="E263">
        <v>3</v>
      </c>
    </row>
    <row r="264" spans="1:5" x14ac:dyDescent="0.25">
      <c r="A264">
        <v>263</v>
      </c>
      <c r="B264">
        <v>22.3</v>
      </c>
      <c r="C264">
        <v>16</v>
      </c>
      <c r="D264" t="s">
        <v>6</v>
      </c>
      <c r="E264">
        <v>3</v>
      </c>
    </row>
    <row r="265" spans="1:5" x14ac:dyDescent="0.25">
      <c r="A265">
        <v>264</v>
      </c>
      <c r="B265">
        <v>24.8</v>
      </c>
      <c r="C265">
        <v>9</v>
      </c>
      <c r="D265" t="s">
        <v>6</v>
      </c>
      <c r="E265">
        <v>4</v>
      </c>
    </row>
    <row r="266" spans="1:5" x14ac:dyDescent="0.25">
      <c r="A266">
        <v>265</v>
      </c>
      <c r="B266">
        <v>27.2</v>
      </c>
      <c r="C266">
        <v>18</v>
      </c>
      <c r="D266" t="s">
        <v>6</v>
      </c>
      <c r="E266">
        <v>4</v>
      </c>
    </row>
    <row r="267" spans="1:5" x14ac:dyDescent="0.25">
      <c r="A267">
        <v>266</v>
      </c>
      <c r="B267">
        <v>28.6</v>
      </c>
      <c r="C267">
        <v>4</v>
      </c>
      <c r="D267" t="s">
        <v>6</v>
      </c>
      <c r="E267">
        <v>4</v>
      </c>
    </row>
    <row r="268" spans="1:5" x14ac:dyDescent="0.25">
      <c r="A268">
        <v>267</v>
      </c>
      <c r="B268">
        <v>28.4</v>
      </c>
      <c r="C268">
        <v>22</v>
      </c>
      <c r="D268" t="s">
        <v>6</v>
      </c>
      <c r="E268">
        <v>5</v>
      </c>
    </row>
    <row r="269" spans="1:5" x14ac:dyDescent="0.25">
      <c r="A269">
        <v>268</v>
      </c>
      <c r="B269">
        <v>26.5</v>
      </c>
      <c r="C269">
        <v>0</v>
      </c>
      <c r="D269" t="s">
        <v>5</v>
      </c>
      <c r="E269">
        <v>0</v>
      </c>
    </row>
    <row r="270" spans="1:5" x14ac:dyDescent="0.25">
      <c r="A270">
        <v>269</v>
      </c>
      <c r="B270">
        <v>23.3</v>
      </c>
      <c r="C270">
        <v>4</v>
      </c>
      <c r="D270" t="s">
        <v>6</v>
      </c>
      <c r="E270">
        <v>1</v>
      </c>
    </row>
    <row r="271" spans="1:5" x14ac:dyDescent="0.25">
      <c r="A271">
        <v>270</v>
      </c>
      <c r="B271">
        <v>19.5</v>
      </c>
      <c r="C271">
        <v>6</v>
      </c>
      <c r="D271" t="s">
        <v>6</v>
      </c>
      <c r="E271">
        <v>1</v>
      </c>
    </row>
    <row r="272" spans="1:5" x14ac:dyDescent="0.25">
      <c r="A272">
        <v>271</v>
      </c>
      <c r="B272">
        <v>16</v>
      </c>
      <c r="C272">
        <v>6</v>
      </c>
      <c r="D272" t="s">
        <v>6</v>
      </c>
      <c r="E272">
        <v>1</v>
      </c>
    </row>
    <row r="273" spans="1:5" x14ac:dyDescent="0.25">
      <c r="A273">
        <v>272</v>
      </c>
      <c r="B273">
        <v>13.7</v>
      </c>
      <c r="C273">
        <v>9</v>
      </c>
      <c r="D273" t="s">
        <v>6</v>
      </c>
      <c r="E273">
        <v>2</v>
      </c>
    </row>
    <row r="274" spans="1:5" x14ac:dyDescent="0.25">
      <c r="A274">
        <v>273</v>
      </c>
      <c r="B274">
        <v>12.9</v>
      </c>
      <c r="C274">
        <v>7</v>
      </c>
      <c r="D274" t="s">
        <v>6</v>
      </c>
      <c r="E274">
        <v>2</v>
      </c>
    </row>
    <row r="275" spans="1:5" x14ac:dyDescent="0.25">
      <c r="A275">
        <v>274</v>
      </c>
      <c r="B275">
        <v>13.5</v>
      </c>
      <c r="C275">
        <v>1</v>
      </c>
      <c r="D275" t="s">
        <v>6</v>
      </c>
      <c r="E275">
        <v>2</v>
      </c>
    </row>
    <row r="276" spans="1:5" x14ac:dyDescent="0.25">
      <c r="A276">
        <v>275</v>
      </c>
      <c r="B276">
        <v>15</v>
      </c>
      <c r="C276">
        <v>18</v>
      </c>
      <c r="D276" t="s">
        <v>6</v>
      </c>
      <c r="E276">
        <v>3</v>
      </c>
    </row>
    <row r="277" spans="1:5" x14ac:dyDescent="0.25">
      <c r="A277">
        <v>276</v>
      </c>
      <c r="B277">
        <v>16.399999999999999</v>
      </c>
      <c r="C277">
        <v>13</v>
      </c>
      <c r="D277" t="s">
        <v>6</v>
      </c>
      <c r="E277">
        <v>3</v>
      </c>
    </row>
    <row r="278" spans="1:5" x14ac:dyDescent="0.25">
      <c r="A278">
        <v>277</v>
      </c>
      <c r="B278">
        <v>17.100000000000001</v>
      </c>
      <c r="C278">
        <v>2</v>
      </c>
      <c r="D278" t="s">
        <v>6</v>
      </c>
      <c r="E278">
        <v>3</v>
      </c>
    </row>
    <row r="279" spans="1:5" x14ac:dyDescent="0.25">
      <c r="A279">
        <v>278</v>
      </c>
      <c r="B279">
        <v>16.3</v>
      </c>
      <c r="C279">
        <v>10</v>
      </c>
      <c r="D279" t="s">
        <v>6</v>
      </c>
      <c r="E279">
        <v>4</v>
      </c>
    </row>
    <row r="280" spans="1:5" x14ac:dyDescent="0.25">
      <c r="A280">
        <v>279</v>
      </c>
      <c r="B280">
        <v>14</v>
      </c>
      <c r="C280">
        <v>6</v>
      </c>
      <c r="D280" t="s">
        <v>6</v>
      </c>
      <c r="E280">
        <v>4</v>
      </c>
    </row>
    <row r="281" spans="1:5" x14ac:dyDescent="0.25">
      <c r="A281">
        <v>280</v>
      </c>
      <c r="B281">
        <v>10.5</v>
      </c>
      <c r="C281">
        <v>20</v>
      </c>
      <c r="D281" t="s">
        <v>6</v>
      </c>
      <c r="E281">
        <v>4</v>
      </c>
    </row>
    <row r="282" spans="1:5" x14ac:dyDescent="0.25">
      <c r="A282">
        <v>281</v>
      </c>
      <c r="B282">
        <v>6.7</v>
      </c>
      <c r="C282">
        <v>17</v>
      </c>
      <c r="D282" t="s">
        <v>6</v>
      </c>
      <c r="E282">
        <v>5</v>
      </c>
    </row>
    <row r="283" spans="1:5" x14ac:dyDescent="0.25">
      <c r="A283">
        <v>282</v>
      </c>
      <c r="B283">
        <v>3.5</v>
      </c>
      <c r="C283">
        <v>13</v>
      </c>
      <c r="D283" t="s">
        <v>6</v>
      </c>
      <c r="E283">
        <v>5</v>
      </c>
    </row>
    <row r="284" spans="1:5" x14ac:dyDescent="0.25">
      <c r="A284">
        <v>283</v>
      </c>
      <c r="B284">
        <v>1.6</v>
      </c>
      <c r="C284">
        <v>18</v>
      </c>
      <c r="D284" t="s">
        <v>6</v>
      </c>
      <c r="E284">
        <v>5</v>
      </c>
    </row>
    <row r="285" spans="1:5" x14ac:dyDescent="0.25">
      <c r="A285">
        <v>284</v>
      </c>
      <c r="B285">
        <v>1.4</v>
      </c>
      <c r="C285">
        <v>20</v>
      </c>
      <c r="D285" t="s">
        <v>6</v>
      </c>
      <c r="E285">
        <v>5</v>
      </c>
    </row>
    <row r="286" spans="1:5" x14ac:dyDescent="0.25">
      <c r="A286">
        <v>285</v>
      </c>
      <c r="B286">
        <v>2.8</v>
      </c>
      <c r="C286">
        <v>0</v>
      </c>
      <c r="D286" t="s">
        <v>5</v>
      </c>
      <c r="E286">
        <v>0</v>
      </c>
    </row>
    <row r="287" spans="1:5" x14ac:dyDescent="0.25">
      <c r="A287">
        <v>286</v>
      </c>
      <c r="B287">
        <v>5.2</v>
      </c>
      <c r="C287">
        <v>6</v>
      </c>
      <c r="D287" t="s">
        <v>7</v>
      </c>
      <c r="E287">
        <v>1</v>
      </c>
    </row>
    <row r="288" spans="1:5" x14ac:dyDescent="0.25">
      <c r="A288">
        <v>287</v>
      </c>
      <c r="B288">
        <v>7.7</v>
      </c>
      <c r="C288">
        <v>5</v>
      </c>
      <c r="D288" t="s">
        <v>7</v>
      </c>
      <c r="E288">
        <v>1</v>
      </c>
    </row>
    <row r="289" spans="1:5" x14ac:dyDescent="0.25">
      <c r="A289">
        <v>288</v>
      </c>
      <c r="B289">
        <v>9.6</v>
      </c>
      <c r="C289">
        <v>1</v>
      </c>
      <c r="D289" t="s">
        <v>7</v>
      </c>
      <c r="E289">
        <v>1</v>
      </c>
    </row>
    <row r="290" spans="1:5" x14ac:dyDescent="0.25">
      <c r="A290">
        <v>289</v>
      </c>
      <c r="B290">
        <v>10.1</v>
      </c>
      <c r="C290">
        <v>8</v>
      </c>
      <c r="D290" t="s">
        <v>7</v>
      </c>
      <c r="E290">
        <v>2</v>
      </c>
    </row>
    <row r="291" spans="1:5" x14ac:dyDescent="0.25">
      <c r="A291">
        <v>290</v>
      </c>
      <c r="B291">
        <v>9.3000000000000007</v>
      </c>
      <c r="C291">
        <v>3</v>
      </c>
      <c r="D291" t="s">
        <v>7</v>
      </c>
      <c r="E291">
        <v>2</v>
      </c>
    </row>
    <row r="292" spans="1:5" x14ac:dyDescent="0.25">
      <c r="A292">
        <v>291</v>
      </c>
      <c r="B292">
        <v>7.4</v>
      </c>
      <c r="C292">
        <v>5</v>
      </c>
      <c r="D292" t="s">
        <v>7</v>
      </c>
      <c r="E292">
        <v>2</v>
      </c>
    </row>
    <row r="293" spans="1:5" x14ac:dyDescent="0.25">
      <c r="A293">
        <v>292</v>
      </c>
      <c r="B293">
        <v>5.0999999999999996</v>
      </c>
      <c r="C293">
        <v>17</v>
      </c>
      <c r="D293" t="s">
        <v>7</v>
      </c>
      <c r="E293">
        <v>3</v>
      </c>
    </row>
    <row r="294" spans="1:5" x14ac:dyDescent="0.25">
      <c r="A294">
        <v>293</v>
      </c>
      <c r="B294">
        <v>3.5</v>
      </c>
      <c r="C294">
        <v>9</v>
      </c>
      <c r="D294" t="s">
        <v>7</v>
      </c>
      <c r="E294">
        <v>3</v>
      </c>
    </row>
    <row r="295" spans="1:5" x14ac:dyDescent="0.25">
      <c r="A295">
        <v>294</v>
      </c>
      <c r="B295">
        <v>3.2</v>
      </c>
      <c r="C295">
        <v>4</v>
      </c>
      <c r="D295" t="s">
        <v>7</v>
      </c>
      <c r="E295">
        <v>3</v>
      </c>
    </row>
    <row r="296" spans="1:5" x14ac:dyDescent="0.25">
      <c r="A296">
        <v>295</v>
      </c>
      <c r="B296">
        <v>4.5999999999999996</v>
      </c>
      <c r="C296">
        <v>24</v>
      </c>
      <c r="D296" t="s">
        <v>7</v>
      </c>
      <c r="E296">
        <v>4</v>
      </c>
    </row>
    <row r="297" spans="1:5" x14ac:dyDescent="0.25">
      <c r="A297">
        <v>296</v>
      </c>
      <c r="B297">
        <v>7.5</v>
      </c>
      <c r="C297">
        <v>21</v>
      </c>
      <c r="D297" t="s">
        <v>7</v>
      </c>
      <c r="E297">
        <v>4</v>
      </c>
    </row>
    <row r="298" spans="1:5" x14ac:dyDescent="0.25">
      <c r="A298">
        <v>297</v>
      </c>
      <c r="B298">
        <v>11.3</v>
      </c>
      <c r="C298">
        <v>8</v>
      </c>
      <c r="D298" t="s">
        <v>7</v>
      </c>
      <c r="E298">
        <v>5</v>
      </c>
    </row>
    <row r="299" spans="1:5" x14ac:dyDescent="0.25">
      <c r="A299">
        <v>298</v>
      </c>
      <c r="B299">
        <v>15.2</v>
      </c>
      <c r="C299">
        <v>23</v>
      </c>
      <c r="D299" t="s">
        <v>7</v>
      </c>
      <c r="E299">
        <v>5</v>
      </c>
    </row>
    <row r="300" spans="1:5" x14ac:dyDescent="0.25">
      <c r="A300">
        <v>299</v>
      </c>
      <c r="B300">
        <v>18.3</v>
      </c>
      <c r="C300">
        <v>0</v>
      </c>
      <c r="D300" t="s">
        <v>5</v>
      </c>
      <c r="E300">
        <v>0</v>
      </c>
    </row>
    <row r="301" spans="1:5" x14ac:dyDescent="0.25">
      <c r="A301">
        <v>300</v>
      </c>
      <c r="B301">
        <v>19.899999999999999</v>
      </c>
      <c r="C301">
        <v>5</v>
      </c>
      <c r="D301" t="s">
        <v>6</v>
      </c>
      <c r="E3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5E3B-49BC-417E-BA44-FA38E9209B78}">
  <dimension ref="A1:K501"/>
  <sheetViews>
    <sheetView topLeftCell="A459" workbookViewId="0">
      <selection sqref="A1:E501"/>
    </sheetView>
  </sheetViews>
  <sheetFormatPr defaultRowHeight="15" x14ac:dyDescent="0.25"/>
  <cols>
    <col min="5" max="5" width="17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5">
      <c r="A2">
        <v>1</v>
      </c>
      <c r="B2">
        <v>19</v>
      </c>
      <c r="C2">
        <v>0</v>
      </c>
      <c r="E2">
        <v>0</v>
      </c>
      <c r="G2">
        <v>1</v>
      </c>
      <c r="H2">
        <v>2</v>
      </c>
      <c r="I2">
        <v>3</v>
      </c>
      <c r="J2">
        <v>4</v>
      </c>
      <c r="K2">
        <v>5</v>
      </c>
    </row>
    <row r="3" spans="1:11" x14ac:dyDescent="0.25">
      <c r="A3">
        <v>2</v>
      </c>
      <c r="B3">
        <v>22</v>
      </c>
      <c r="C3">
        <v>1</v>
      </c>
      <c r="E3">
        <v>1</v>
      </c>
      <c r="G3">
        <f>COUNTIF($E:$E,G2)</f>
        <v>102</v>
      </c>
      <c r="H3">
        <f>COUNTIF($E:$E,H2)</f>
        <v>102</v>
      </c>
      <c r="I3">
        <f t="shared" ref="I3:K3" si="0">COUNTIF($E:$E,I2)</f>
        <v>102</v>
      </c>
      <c r="J3">
        <f t="shared" si="0"/>
        <v>100</v>
      </c>
      <c r="K3">
        <f t="shared" si="0"/>
        <v>60</v>
      </c>
    </row>
    <row r="4" spans="1:11" x14ac:dyDescent="0.25">
      <c r="A4">
        <v>3</v>
      </c>
      <c r="B4">
        <v>23.6</v>
      </c>
      <c r="C4">
        <v>4</v>
      </c>
      <c r="E4">
        <v>1</v>
      </c>
    </row>
    <row r="5" spans="1:11" x14ac:dyDescent="0.25">
      <c r="A5">
        <v>4</v>
      </c>
      <c r="B5">
        <v>23.6</v>
      </c>
      <c r="C5">
        <v>4</v>
      </c>
      <c r="E5">
        <v>1</v>
      </c>
    </row>
    <row r="6" spans="1:11" x14ac:dyDescent="0.25">
      <c r="A6">
        <v>5</v>
      </c>
      <c r="B6">
        <v>22.3</v>
      </c>
      <c r="C6">
        <v>10</v>
      </c>
      <c r="E6">
        <v>2</v>
      </c>
    </row>
    <row r="7" spans="1:11" x14ac:dyDescent="0.25">
      <c r="A7">
        <v>6</v>
      </c>
      <c r="B7">
        <v>20.399999999999999</v>
      </c>
      <c r="C7">
        <v>8</v>
      </c>
      <c r="E7" cm="1">
        <f t="array" ref="E7">_xlfn.IFS(E6=0,1,AND(E6=1,E5=1,E4=1),2,AND(E6=2,E5=2,E4=2),3,AND(E6=3,E5=3,E4=3),4,AND(E6=5,C6&gt;=20),0,AND(OR(E6=4,E6=5),OR(E5=4,E5=5),OR(E4=4,E4=5)), 5, TRUE,E6)</f>
        <v>2</v>
      </c>
    </row>
    <row r="8" spans="1:11" x14ac:dyDescent="0.25">
      <c r="A8">
        <v>7</v>
      </c>
      <c r="B8">
        <v>18.899999999999999</v>
      </c>
      <c r="C8">
        <v>10</v>
      </c>
      <c r="E8" cm="1">
        <f t="array" ref="E8">_xlfn.IFS(E7=0,1,AND(E7=1,E6=1,E5=1),2,AND(E7=2,E6=2,E5=2),3,AND(E7=3,E6=3,E5=3),4,AND(E7=5,C7&gt;=20),0,AND(OR(E7=4,E7=5),OR(E6=4,E6=5),OR(E5=4,E5=5)), 5, TRUE,E7)</f>
        <v>2</v>
      </c>
    </row>
    <row r="9" spans="1:11" x14ac:dyDescent="0.25">
      <c r="A9">
        <v>8</v>
      </c>
      <c r="B9">
        <v>18.5</v>
      </c>
      <c r="C9">
        <v>11</v>
      </c>
      <c r="E9" cm="1">
        <f t="array" ref="E9">_xlfn.IFS(E8=0,1,AND(E8=1,E7=1,E6=1),2,AND(E8=2,E7=2,E6=2),3,AND(E8=3,E7=3,E6=3),4,AND(E8=5,C8&gt;=20),0,AND(OR(E8=4,E8=5),OR(E7=4,E7=5),OR(E6=4,E6=5)), 5, TRUE,E8)</f>
        <v>3</v>
      </c>
    </row>
    <row r="10" spans="1:11" x14ac:dyDescent="0.25">
      <c r="A10">
        <v>9</v>
      </c>
      <c r="B10">
        <v>19.5</v>
      </c>
      <c r="C10">
        <v>14</v>
      </c>
      <c r="E10" cm="1">
        <f t="array" ref="E10">_xlfn.IFS(E9=0,1,AND(E9=1,E8=1,E7=1),2,AND(E9=2,E8=2,E7=2),3,AND(E9=3,E8=3,E7=3),4,AND(E9=5,C9&gt;=20),0,AND(OR(E9=4,E9=5),OR(E8=4,E8=5),OR(E7=4,E7=5)), 5, TRUE,E9)</f>
        <v>3</v>
      </c>
    </row>
    <row r="11" spans="1:11" x14ac:dyDescent="0.25">
      <c r="A11">
        <v>10</v>
      </c>
      <c r="B11">
        <v>21.8</v>
      </c>
      <c r="C11">
        <v>15</v>
      </c>
      <c r="E11" cm="1">
        <f t="array" ref="E11">_xlfn.IFS(E10=0,1,AND(E10=1,E9=1,E8=1),2,AND(E10=2,E9=2,E8=2),3,AND(E10=3,E9=3,E8=3),4,AND(E10=5,C10&gt;=20),0,AND(OR(E10=4,E10=5),OR(E9=4,E9=5),OR(E8=4,E8=5)), 5, TRUE,E10)</f>
        <v>3</v>
      </c>
    </row>
    <row r="12" spans="1:11" x14ac:dyDescent="0.25">
      <c r="A12">
        <v>11</v>
      </c>
      <c r="B12">
        <v>24.8</v>
      </c>
      <c r="C12">
        <v>3</v>
      </c>
      <c r="E12" cm="1">
        <f t="array" ref="E12">_xlfn.IFS(E11=0,1,AND(E11=1,E10=1,E9=1),2,AND(E11=2,E10=2,E9=2),3,AND(E11=3,E10=3,E9=3),4,AND(E11=5,C11&gt;=20),0,AND(OR(E11=4,E11=5),OR(E10=4,E10=5),OR(E9=4,E9=5)), 5, TRUE,E11)</f>
        <v>4</v>
      </c>
    </row>
    <row r="13" spans="1:11" x14ac:dyDescent="0.25">
      <c r="A13">
        <v>12</v>
      </c>
      <c r="B13">
        <v>27.7</v>
      </c>
      <c r="C13">
        <v>23</v>
      </c>
      <c r="E13" cm="1">
        <f t="array" ref="E13">_xlfn.IFS(E12=0,1,AND(E12=1,E11=1,E10=1),2,AND(E12=2,E11=2,E10=2),3,AND(E12=3,E11=3,E10=3),4,AND(E12=5,C12&gt;=20),0,AND(OR(E12=4,E12=5),OR(E11=4,E11=5),OR(E10=4,E10=5)), 5, TRUE,E12)</f>
        <v>4</v>
      </c>
    </row>
    <row r="14" spans="1:11" x14ac:dyDescent="0.25">
      <c r="A14">
        <v>13</v>
      </c>
      <c r="B14">
        <v>29.5</v>
      </c>
      <c r="C14">
        <v>17</v>
      </c>
      <c r="E14" cm="1">
        <f t="array" ref="E14">_xlfn.IFS(E13=0,1,AND(E13=1,E12=1,E11=1),2,AND(E13=2,E12=2,E11=2),3,AND(E13=3,E12=3,E11=3),4,AND(E13=5,C13&gt;=20),0,AND(OR(E13=4,E13=5),OR(E12=4,E12=5),OR(E11=4,E11=5)), 5, TRUE,E13)</f>
        <v>4</v>
      </c>
    </row>
    <row r="15" spans="1:11" x14ac:dyDescent="0.25">
      <c r="A15">
        <v>14</v>
      </c>
      <c r="B15">
        <v>29.8</v>
      </c>
      <c r="C15">
        <v>15</v>
      </c>
      <c r="E15" cm="1">
        <f t="array" ref="E15">_xlfn.IFS(E14=0,1,AND(E14=1,E13=1,E12=1),2,AND(E14=2,E13=2,E12=2),3,AND(E14=3,E13=3,E12=3),4,AND(E14=5,C14&gt;=20),0,AND(OR(E14=4,E14=5),OR(E13=4,E13=5),OR(E12=4,E12=5)), 5, TRUE,E14)</f>
        <v>5</v>
      </c>
    </row>
    <row r="16" spans="1:11" x14ac:dyDescent="0.25">
      <c r="A16">
        <v>15</v>
      </c>
      <c r="B16">
        <v>28.3</v>
      </c>
      <c r="C16">
        <v>22</v>
      </c>
      <c r="E16" cm="1">
        <f t="array" ref="E16">_xlfn.IFS(E15=0,1,AND(E15=1,E14=1,E13=1),2,AND(E15=2,E14=2,E13=2),3,AND(E15=3,E14=3,E13=3),4,AND(E15=5,C15&gt;=20),0,AND(OR(E15=4,E15=5),OR(E14=4,E14=5),OR(E13=4,E13=5)), 5, TRUE,E15)</f>
        <v>5</v>
      </c>
    </row>
    <row r="17" spans="1:5" x14ac:dyDescent="0.25">
      <c r="A17">
        <v>16</v>
      </c>
      <c r="B17">
        <v>25.5</v>
      </c>
      <c r="C17">
        <v>0</v>
      </c>
      <c r="E17" cm="1">
        <f t="array" ref="E17">_xlfn.IFS(E16=0,1,AND(E16=1,E15=1,E14=1),2,AND(E16=2,E15=2,E14=2),3,AND(E16=3,E15=3,E14=3),4,AND(E16=5,C16&gt;=20),0,AND(OR(E16=4,E16=5),OR(E15=4,E15=5),OR(E14=4,E14=5)), 5, TRUE,E16)</f>
        <v>0</v>
      </c>
    </row>
    <row r="18" spans="1:5" x14ac:dyDescent="0.25">
      <c r="A18">
        <v>17</v>
      </c>
      <c r="B18">
        <v>22</v>
      </c>
      <c r="C18">
        <v>2</v>
      </c>
      <c r="E18" cm="1">
        <f t="array" ref="E18">_xlfn.IFS(E17=0,1,AND(E17=1,E16=1,E15=1),2,AND(E17=2,E16=2,E15=2),3,AND(E17=3,E16=3,E15=3),4,AND(E17=5,C17&gt;=20),0,AND(OR(E17=4,E17=5),OR(E16=4,E16=5),OR(E15=4,E15=5)), 5, TRUE,E17)</f>
        <v>1</v>
      </c>
    </row>
    <row r="19" spans="1:5" x14ac:dyDescent="0.25">
      <c r="A19">
        <v>18</v>
      </c>
      <c r="B19">
        <v>18.899999999999999</v>
      </c>
      <c r="C19">
        <v>1</v>
      </c>
      <c r="E19" cm="1">
        <f t="array" ref="E19">_xlfn.IFS(E18=0,1,AND(E18=1,E17=1,E16=1),2,AND(E18=2,E17=2,E16=2),3,AND(E18=3,E17=3,E16=3),4,AND(E18=5,C18&gt;=20),0,AND(OR(E18=4,E18=5),OR(E17=4,E17=5),OR(E16=4,E16=5)), 5, TRUE,E18)</f>
        <v>1</v>
      </c>
    </row>
    <row r="20" spans="1:5" x14ac:dyDescent="0.25">
      <c r="A20">
        <v>19</v>
      </c>
      <c r="B20">
        <v>16.899999999999999</v>
      </c>
      <c r="C20">
        <v>1</v>
      </c>
      <c r="E20" cm="1">
        <f t="array" ref="E20">_xlfn.IFS(E19=0,1,AND(E19=1,E18=1,E17=1),2,AND(E19=2,E18=2,E17=2),3,AND(E19=3,E18=3,E17=3),4,AND(E19=5,C19&gt;=20),0,AND(OR(E19=4,E19=5),OR(E18=4,E18=5),OR(E17=4,E17=5)), 5, TRUE,E19)</f>
        <v>1</v>
      </c>
    </row>
    <row r="21" spans="1:5" x14ac:dyDescent="0.25">
      <c r="A21">
        <v>20</v>
      </c>
      <c r="B21">
        <v>16.3</v>
      </c>
      <c r="C21">
        <v>12</v>
      </c>
      <c r="E21" cm="1">
        <f t="array" ref="E21">_xlfn.IFS(E20=0,1,AND(E20=1,E19=1,E18=1),2,AND(E20=2,E19=2,E18=2),3,AND(E20=3,E19=3,E18=3),4,AND(E20=5,C20&gt;=20),0,AND(OR(E20=4,E20=5),OR(E19=4,E19=5),OR(E18=4,E18=5)), 5, TRUE,E20)</f>
        <v>2</v>
      </c>
    </row>
    <row r="22" spans="1:5" x14ac:dyDescent="0.25">
      <c r="A22">
        <v>21</v>
      </c>
      <c r="B22">
        <v>17.100000000000001</v>
      </c>
      <c r="C22">
        <v>11</v>
      </c>
      <c r="E22" cm="1">
        <f t="array" ref="E22">_xlfn.IFS(E21=0,1,AND(E21=1,E20=1,E19=1),2,AND(E21=2,E20=2,E19=2),3,AND(E21=3,E20=3,E19=3),4,AND(E21=5,C21&gt;=20),0,AND(OR(E21=4,E21=5),OR(E20=4,E20=5),OR(E19=4,E19=5)), 5, TRUE,E21)</f>
        <v>2</v>
      </c>
    </row>
    <row r="23" spans="1:5" x14ac:dyDescent="0.25">
      <c r="A23">
        <v>22</v>
      </c>
      <c r="B23">
        <v>18.7</v>
      </c>
      <c r="C23">
        <v>6</v>
      </c>
      <c r="E23" cm="1">
        <f t="array" ref="E23">_xlfn.IFS(E22=0,1,AND(E22=1,E21=1,E20=1),2,AND(E22=2,E21=2,E20=2),3,AND(E22=3,E21=3,E20=3),4,AND(E22=5,C22&gt;=20),0,AND(OR(E22=4,E22=5),OR(E21=4,E21=5),OR(E20=4,E20=5)), 5, TRUE,E22)</f>
        <v>2</v>
      </c>
    </row>
    <row r="24" spans="1:5" x14ac:dyDescent="0.25">
      <c r="A24">
        <v>23</v>
      </c>
      <c r="B24">
        <v>20.2</v>
      </c>
      <c r="C24">
        <v>18</v>
      </c>
      <c r="E24" cm="1">
        <f t="array" ref="E24">_xlfn.IFS(E23=0,1,AND(E23=1,E22=1,E21=1),2,AND(E23=2,E22=2,E21=2),3,AND(E23=3,E22=3,E21=3),4,AND(E23=5,C23&gt;=20),0,AND(OR(E23=4,E23=5),OR(E22=4,E22=5),OR(E21=4,E21=5)), 5, TRUE,E23)</f>
        <v>3</v>
      </c>
    </row>
    <row r="25" spans="1:5" x14ac:dyDescent="0.25">
      <c r="A25">
        <v>24</v>
      </c>
      <c r="B25">
        <v>20.8</v>
      </c>
      <c r="C25">
        <v>15</v>
      </c>
      <c r="E25" cm="1">
        <f t="array" ref="E25">_xlfn.IFS(E24=0,1,AND(E24=1,E23=1,E22=1),2,AND(E24=2,E23=2,E22=2),3,AND(E24=3,E23=3,E22=3),4,AND(E24=5,C24&gt;=20),0,AND(OR(E24=4,E24=5),OR(E23=4,E23=5),OR(E22=4,E22=5)), 5, TRUE,E24)</f>
        <v>3</v>
      </c>
    </row>
    <row r="26" spans="1:5" x14ac:dyDescent="0.25">
      <c r="A26">
        <v>25</v>
      </c>
      <c r="B26">
        <v>19.899999999999999</v>
      </c>
      <c r="C26">
        <v>5</v>
      </c>
      <c r="E26" cm="1">
        <f t="array" ref="E26">_xlfn.IFS(E25=0,1,AND(E25=1,E24=1,E23=1),2,AND(E25=2,E24=2,E23=2),3,AND(E25=3,E24=3,E23=3),4,AND(E25=5,C25&gt;=20),0,AND(OR(E25=4,E25=5),OR(E24=4,E24=5),OR(E23=4,E23=5)), 5, TRUE,E25)</f>
        <v>3</v>
      </c>
    </row>
    <row r="27" spans="1:5" x14ac:dyDescent="0.25">
      <c r="A27">
        <v>26</v>
      </c>
      <c r="B27">
        <v>17.5</v>
      </c>
      <c r="C27">
        <v>19</v>
      </c>
      <c r="E27" cm="1">
        <f t="array" ref="E27">_xlfn.IFS(E26=0,1,AND(E26=1,E25=1,E24=1),2,AND(E26=2,E25=2,E24=2),3,AND(E26=3,E25=3,E24=3),4,AND(E26=5,C26&gt;=20),0,AND(OR(E26=4,E26=5),OR(E25=4,E25=5),OR(E24=4,E24=5)), 5, TRUE,E26)</f>
        <v>4</v>
      </c>
    </row>
    <row r="28" spans="1:5" x14ac:dyDescent="0.25">
      <c r="A28">
        <v>27</v>
      </c>
      <c r="B28">
        <v>13.9</v>
      </c>
      <c r="C28">
        <v>18</v>
      </c>
      <c r="E28" cm="1">
        <f t="array" ref="E28">_xlfn.IFS(E27=0,1,AND(E27=1,E26=1,E25=1),2,AND(E27=2,E26=2,E25=2),3,AND(E27=3,E26=3,E25=3),4,AND(E27=5,C27&gt;=20),0,AND(OR(E27=4,E27=5),OR(E26=4,E26=5),OR(E25=4,E25=5)), 5, TRUE,E27)</f>
        <v>4</v>
      </c>
    </row>
    <row r="29" spans="1:5" x14ac:dyDescent="0.25">
      <c r="A29">
        <v>28</v>
      </c>
      <c r="B29">
        <v>9.9</v>
      </c>
      <c r="C29">
        <v>4</v>
      </c>
      <c r="E29" cm="1">
        <f t="array" ref="E29">_xlfn.IFS(E28=0,1,AND(E28=1,E27=1,E26=1),2,AND(E28=2,E27=2,E26=2),3,AND(E28=3,E27=3,E26=3),4,AND(E28=5,C28&gt;=20),0,AND(OR(E28=4,E28=5),OR(E27=4,E27=5),OR(E26=4,E26=5)), 5, TRUE,E28)</f>
        <v>4</v>
      </c>
    </row>
    <row r="30" spans="1:5" x14ac:dyDescent="0.25">
      <c r="A30">
        <v>29</v>
      </c>
      <c r="B30">
        <v>6.4</v>
      </c>
      <c r="C30">
        <v>17</v>
      </c>
      <c r="E30" cm="1">
        <f t="array" ref="E30">_xlfn.IFS(E29=0,1,AND(E29=1,E28=1,E27=1),2,AND(E29=2,E28=2,E27=2),3,AND(E29=3,E28=3,E27=3),4,AND(E29=5,C29&gt;=20),0,AND(OR(E29=4,E29=5),OR(E28=4,E28=5),OR(E27=4,E27=5)), 5, TRUE,E29)</f>
        <v>5</v>
      </c>
    </row>
    <row r="31" spans="1:5" x14ac:dyDescent="0.25">
      <c r="A31">
        <v>30</v>
      </c>
      <c r="B31">
        <v>4.2</v>
      </c>
      <c r="C31">
        <v>14</v>
      </c>
      <c r="E31" cm="1">
        <f t="array" ref="E31">_xlfn.IFS(E30=0,1,AND(E30=1,E29=1,E28=1),2,AND(E30=2,E29=2,E28=2),3,AND(E30=3,E29=3,E28=3),4,AND(E30=5,C30&gt;=20),0,AND(OR(E30=4,E30=5),OR(E29=4,E29=5),OR(E28=4,E28=5)), 5, TRUE,E30)</f>
        <v>5</v>
      </c>
    </row>
    <row r="32" spans="1:5" x14ac:dyDescent="0.25">
      <c r="A32">
        <v>31</v>
      </c>
      <c r="B32">
        <v>3.6</v>
      </c>
      <c r="C32">
        <v>12</v>
      </c>
      <c r="E32" cm="1">
        <f t="array" ref="E32">_xlfn.IFS(E31=0,1,AND(E31=1,E30=1,E29=1),2,AND(E31=2,E30=2,E29=2),3,AND(E31=3,E30=3,E29=3),4,AND(E31=5,C31&gt;=20),0,AND(OR(E31=4,E31=5),OR(E30=4,E30=5),OR(E29=4,E29=5)), 5, TRUE,E31)</f>
        <v>5</v>
      </c>
    </row>
    <row r="33" spans="1:5" x14ac:dyDescent="0.25">
      <c r="A33">
        <v>32</v>
      </c>
      <c r="B33">
        <v>4.5999999999999996</v>
      </c>
      <c r="C33">
        <v>11</v>
      </c>
      <c r="E33" cm="1">
        <f t="array" ref="E33">_xlfn.IFS(E32=0,1,AND(E32=1,E31=1,E30=1),2,AND(E32=2,E31=2,E30=2),3,AND(E32=3,E31=3,E30=3),4,AND(E32=5,C32&gt;=20),0,AND(OR(E32=4,E32=5),OR(E31=4,E31=5),OR(E30=4,E30=5)), 5, TRUE,E32)</f>
        <v>5</v>
      </c>
    </row>
    <row r="34" spans="1:5" x14ac:dyDescent="0.25">
      <c r="A34">
        <v>33</v>
      </c>
      <c r="B34">
        <v>6.6</v>
      </c>
      <c r="C34">
        <v>17</v>
      </c>
      <c r="E34" cm="1">
        <f t="array" ref="E34">_xlfn.IFS(E33=0,1,AND(E33=1,E32=1,E31=1),2,AND(E33=2,E32=2,E31=2),3,AND(E33=3,E32=3,E31=3),4,AND(E33=5,C33&gt;=20),0,AND(OR(E33=4,E33=5),OR(E32=4,E32=5),OR(E31=4,E31=5)), 5, TRUE,E33)</f>
        <v>5</v>
      </c>
    </row>
    <row r="35" spans="1:5" x14ac:dyDescent="0.25">
      <c r="A35">
        <v>34</v>
      </c>
      <c r="B35">
        <v>8.6999999999999993</v>
      </c>
      <c r="C35">
        <v>26</v>
      </c>
      <c r="E35" cm="1">
        <f t="array" ref="E35">_xlfn.IFS(E34=0,1,AND(E34=1,E33=1,E32=1),2,AND(E34=2,E33=2,E32=2),3,AND(E34=3,E33=3,E32=3),4,AND(E34=5,C34&gt;=20),0,AND(OR(E34=4,E34=5),OR(E33=4,E33=5),OR(E32=4,E32=5)), 5, TRUE,E34)</f>
        <v>5</v>
      </c>
    </row>
    <row r="36" spans="1:5" x14ac:dyDescent="0.25">
      <c r="A36">
        <v>35</v>
      </c>
      <c r="B36">
        <v>10</v>
      </c>
      <c r="C36">
        <v>0</v>
      </c>
      <c r="E36" cm="1">
        <f t="array" ref="E36">_xlfn.IFS(E35=0,1,AND(E35=1,E34=1,E33=1),2,AND(E35=2,E34=2,E33=2),3,AND(E35=3,E34=3,E33=3),4,AND(E35=5,C35&gt;=20),0,AND(OR(E35=4,E35=5),OR(E34=4,E34=5),OR(E33=4,E33=5)), 5, TRUE,E35)</f>
        <v>0</v>
      </c>
    </row>
    <row r="37" spans="1:5" x14ac:dyDescent="0.25">
      <c r="A37">
        <v>36</v>
      </c>
      <c r="B37">
        <v>10.1</v>
      </c>
      <c r="C37">
        <v>3</v>
      </c>
      <c r="E37" cm="1">
        <f t="array" ref="E37">_xlfn.IFS(E36=0,1,AND(E36=1,E35=1,E34=1),2,AND(E36=2,E35=2,E34=2),3,AND(E36=3,E35=3,E34=3),4,AND(E36=5,C36&gt;=20),0,AND(OR(E36=4,E36=5),OR(E35=4,E35=5),OR(E34=4,E34=5)), 5, TRUE,E36)</f>
        <v>1</v>
      </c>
    </row>
    <row r="38" spans="1:5" x14ac:dyDescent="0.25">
      <c r="A38">
        <v>37</v>
      </c>
      <c r="B38">
        <v>8.8000000000000007</v>
      </c>
      <c r="C38">
        <v>3</v>
      </c>
      <c r="E38" cm="1">
        <f t="array" ref="E38">_xlfn.IFS(E37=0,1,AND(E37=1,E36=1,E35=1),2,AND(E37=2,E36=2,E35=2),3,AND(E37=3,E36=3,E35=3),4,AND(E37=5,C37&gt;=20),0,AND(OR(E37=4,E37=5),OR(E36=4,E36=5),OR(E35=4,E35=5)), 5, TRUE,E37)</f>
        <v>1</v>
      </c>
    </row>
    <row r="39" spans="1:5" x14ac:dyDescent="0.25">
      <c r="A39">
        <v>38</v>
      </c>
      <c r="B39">
        <v>6.4</v>
      </c>
      <c r="C39">
        <v>5</v>
      </c>
      <c r="E39" cm="1">
        <f t="array" ref="E39">_xlfn.IFS(E38=0,1,AND(E38=1,E37=1,E36=1),2,AND(E38=2,E37=2,E36=2),3,AND(E38=3,E37=3,E36=3),4,AND(E38=5,C38&gt;=20),0,AND(OR(E38=4,E38=5),OR(E37=4,E37=5),OR(E36=4,E36=5)), 5, TRUE,E38)</f>
        <v>1</v>
      </c>
    </row>
    <row r="40" spans="1:5" x14ac:dyDescent="0.25">
      <c r="A40">
        <v>39</v>
      </c>
      <c r="B40">
        <v>3.8</v>
      </c>
      <c r="C40">
        <v>11</v>
      </c>
      <c r="E40" cm="1">
        <f t="array" ref="E40">_xlfn.IFS(E39=0,1,AND(E39=1,E38=1,E37=1),2,AND(E39=2,E38=2,E37=2),3,AND(E39=3,E38=3,E37=3),4,AND(E39=5,C39&gt;=20),0,AND(OR(E39=4,E39=5),OR(E38=4,E38=5),OR(E37=4,E37=5)), 5, TRUE,E39)</f>
        <v>2</v>
      </c>
    </row>
    <row r="41" spans="1:5" x14ac:dyDescent="0.25">
      <c r="A41">
        <v>40</v>
      </c>
      <c r="B41">
        <v>1.7</v>
      </c>
      <c r="C41">
        <v>6</v>
      </c>
      <c r="E41" cm="1">
        <f t="array" ref="E41">_xlfn.IFS(E40=0,1,AND(E40=1,E39=1,E38=1),2,AND(E40=2,E39=2,E38=2),3,AND(E40=3,E39=3,E38=3),4,AND(E40=5,C40&gt;=20),0,AND(OR(E40=4,E40=5),OR(E39=4,E39=5),OR(E38=4,E38=5)), 5, TRUE,E40)</f>
        <v>2</v>
      </c>
    </row>
    <row r="42" spans="1:5" x14ac:dyDescent="0.25">
      <c r="A42">
        <v>41</v>
      </c>
      <c r="B42">
        <v>1</v>
      </c>
      <c r="C42">
        <v>3</v>
      </c>
      <c r="E42" cm="1">
        <f t="array" ref="E42">_xlfn.IFS(E41=0,1,AND(E41=1,E40=1,E39=1),2,AND(E41=2,E40=2,E39=2),3,AND(E41=3,E40=3,E39=3),4,AND(E41=5,C41&gt;=20),0,AND(OR(E41=4,E41=5),OR(E40=4,E40=5),OR(E39=4,E39=5)), 5, TRUE,E41)</f>
        <v>2</v>
      </c>
    </row>
    <row r="43" spans="1:5" x14ac:dyDescent="0.25">
      <c r="A43">
        <v>42</v>
      </c>
      <c r="B43">
        <v>2</v>
      </c>
      <c r="C43">
        <v>17</v>
      </c>
      <c r="E43" cm="1">
        <f t="array" ref="E43">_xlfn.IFS(E42=0,1,AND(E42=1,E41=1,E40=1),2,AND(E42=2,E41=2,E40=2),3,AND(E42=3,E41=3,E40=3),4,AND(E42=5,C42&gt;=20),0,AND(OR(E42=4,E42=5),OR(E41=4,E41=5),OR(E40=4,E40=5)), 5, TRUE,E42)</f>
        <v>3</v>
      </c>
    </row>
    <row r="44" spans="1:5" x14ac:dyDescent="0.25">
      <c r="A44">
        <v>43</v>
      </c>
      <c r="B44">
        <v>4.5999999999999996</v>
      </c>
      <c r="C44">
        <v>5</v>
      </c>
      <c r="E44" cm="1">
        <f t="array" ref="E44">_xlfn.IFS(E43=0,1,AND(E43=1,E42=1,E41=1),2,AND(E43=2,E42=2,E41=2),3,AND(E43=3,E42=3,E41=3),4,AND(E43=5,C43&gt;=20),0,AND(OR(E43=4,E43=5),OR(E42=4,E42=5),OR(E41=4,E41=5)), 5, TRUE,E43)</f>
        <v>3</v>
      </c>
    </row>
    <row r="45" spans="1:5" x14ac:dyDescent="0.25">
      <c r="A45">
        <v>44</v>
      </c>
      <c r="B45">
        <v>8.1999999999999993</v>
      </c>
      <c r="C45">
        <v>8</v>
      </c>
      <c r="E45" cm="1">
        <f t="array" ref="E45">_xlfn.IFS(E44=0,1,AND(E44=1,E43=1,E42=1),2,AND(E44=2,E43=2,E42=2),3,AND(E44=3,E43=3,E42=3),4,AND(E44=5,C44&gt;=20),0,AND(OR(E44=4,E44=5),OR(E43=4,E43=5),OR(E42=4,E42=5)), 5, TRUE,E44)</f>
        <v>3</v>
      </c>
    </row>
    <row r="46" spans="1:5" x14ac:dyDescent="0.25">
      <c r="A46">
        <v>45</v>
      </c>
      <c r="B46">
        <v>11.8</v>
      </c>
      <c r="C46">
        <v>2</v>
      </c>
      <c r="E46" cm="1">
        <f t="array" ref="E46">_xlfn.IFS(E45=0,1,AND(E45=1,E44=1,E43=1),2,AND(E45=2,E44=2,E43=2),3,AND(E45=3,E44=3,E43=3),4,AND(E45=5,C45&gt;=20),0,AND(OR(E45=4,E45=5),OR(E44=4,E44=5),OR(E43=4,E43=5)), 5, TRUE,E45)</f>
        <v>4</v>
      </c>
    </row>
    <row r="47" spans="1:5" x14ac:dyDescent="0.25">
      <c r="A47">
        <v>46</v>
      </c>
      <c r="B47">
        <v>14.7</v>
      </c>
      <c r="C47">
        <v>1</v>
      </c>
      <c r="E47" cm="1">
        <f t="array" ref="E47">_xlfn.IFS(E46=0,1,AND(E46=1,E45=1,E44=1),2,AND(E46=2,E45=2,E44=2),3,AND(E46=3,E45=3,E44=3),4,AND(E46=5,C46&gt;=20),0,AND(OR(E46=4,E46=5),OR(E45=4,E45=5),OR(E44=4,E44=5)), 5, TRUE,E46)</f>
        <v>4</v>
      </c>
    </row>
    <row r="48" spans="1:5" x14ac:dyDescent="0.25">
      <c r="A48">
        <v>47</v>
      </c>
      <c r="B48">
        <v>16.3</v>
      </c>
      <c r="C48">
        <v>11</v>
      </c>
      <c r="E48" cm="1">
        <f t="array" ref="E48">_xlfn.IFS(E47=0,1,AND(E47=1,E46=1,E45=1),2,AND(E47=2,E46=2,E45=2),3,AND(E47=3,E46=3,E45=3),4,AND(E47=5,C47&gt;=20),0,AND(OR(E47=4,E47=5),OR(E46=4,E46=5),OR(E45=4,E45=5)), 5, TRUE,E47)</f>
        <v>4</v>
      </c>
    </row>
    <row r="49" spans="1:5" x14ac:dyDescent="0.25">
      <c r="A49">
        <v>48</v>
      </c>
      <c r="B49">
        <v>16.3</v>
      </c>
      <c r="C49">
        <v>25</v>
      </c>
      <c r="E49" cm="1">
        <f t="array" ref="E49">_xlfn.IFS(E48=0,1,AND(E48=1,E47=1,E46=1),2,AND(E48=2,E47=2,E46=2),3,AND(E48=3,E47=3,E46=3),4,AND(E48=5,C48&gt;=20),0,AND(OR(E48=4,E48=5),OR(E47=4,E47=5),OR(E46=4,E46=5)), 5, TRUE,E48)</f>
        <v>5</v>
      </c>
    </row>
    <row r="50" spans="1:5" x14ac:dyDescent="0.25">
      <c r="A50">
        <v>49</v>
      </c>
      <c r="B50">
        <v>15.2</v>
      </c>
      <c r="C50">
        <v>0</v>
      </c>
      <c r="E50" cm="1">
        <f t="array" ref="E50">_xlfn.IFS(E49=0,1,AND(E49=1,E48=1,E47=1),2,AND(E49=2,E48=2,E47=2),3,AND(E49=3,E48=3,E47=3),4,AND(E49=5,C49&gt;=20),0,AND(OR(E49=4,E49=5),OR(E48=4,E48=5),OR(E47=4,E47=5)), 5, TRUE,E49)</f>
        <v>0</v>
      </c>
    </row>
    <row r="51" spans="1:5" x14ac:dyDescent="0.25">
      <c r="A51">
        <v>50</v>
      </c>
      <c r="B51">
        <v>13.6</v>
      </c>
      <c r="C51">
        <v>2</v>
      </c>
      <c r="E51" cm="1">
        <f t="array" ref="E51">_xlfn.IFS(E50=0,1,AND(E50=1,E49=1,E48=1),2,AND(E50=2,E49=2,E48=2),3,AND(E50=3,E49=3,E48=3),4,AND(E50=5,C50&gt;=20),0,AND(OR(E50=4,E50=5),OR(E49=4,E49=5),OR(E48=4,E48=5)), 5, TRUE,E50)</f>
        <v>1</v>
      </c>
    </row>
    <row r="52" spans="1:5" x14ac:dyDescent="0.25">
      <c r="A52">
        <v>51</v>
      </c>
      <c r="B52">
        <v>12.5</v>
      </c>
      <c r="C52">
        <v>3</v>
      </c>
      <c r="E52" cm="1">
        <f t="array" ref="E52">_xlfn.IFS(E51=0,1,AND(E51=1,E50=1,E49=1),2,AND(E51=2,E50=2,E49=2),3,AND(E51=3,E50=3,E49=3),4,AND(E51=5,C51&gt;=20),0,AND(OR(E51=4,E51=5),OR(E50=4,E50=5),OR(E49=4,E49=5)), 5, TRUE,E51)</f>
        <v>1</v>
      </c>
    </row>
    <row r="53" spans="1:5" x14ac:dyDescent="0.25">
      <c r="A53">
        <v>52</v>
      </c>
      <c r="B53">
        <v>12.5</v>
      </c>
      <c r="C53">
        <v>2</v>
      </c>
      <c r="E53" cm="1">
        <f t="array" ref="E53">_xlfn.IFS(E52=0,1,AND(E52=1,E51=1,E50=1),2,AND(E52=2,E51=2,E50=2),3,AND(E52=3,E51=3,E50=3),4,AND(E52=5,C52&gt;=20),0,AND(OR(E52=4,E52=5),OR(E51=4,E51=5),OR(E50=4,E50=5)), 5, TRUE,E52)</f>
        <v>1</v>
      </c>
    </row>
    <row r="54" spans="1:5" x14ac:dyDescent="0.25">
      <c r="A54">
        <v>53</v>
      </c>
      <c r="B54">
        <v>14.1</v>
      </c>
      <c r="C54">
        <v>4</v>
      </c>
      <c r="E54" cm="1">
        <f t="array" ref="E54">_xlfn.IFS(E53=0,1,AND(E53=1,E52=1,E51=1),2,AND(E53=2,E52=2,E51=2),3,AND(E53=3,E52=3,E51=3),4,AND(E53=5,C53&gt;=20),0,AND(OR(E53=4,E53=5),OR(E52=4,E52=5),OR(E51=4,E51=5)), 5, TRUE,E53)</f>
        <v>2</v>
      </c>
    </row>
    <row r="55" spans="1:5" x14ac:dyDescent="0.25">
      <c r="A55">
        <v>54</v>
      </c>
      <c r="B55">
        <v>17.100000000000001</v>
      </c>
      <c r="C55">
        <v>5</v>
      </c>
      <c r="E55" cm="1">
        <f t="array" ref="E55">_xlfn.IFS(E54=0,1,AND(E54=1,E53=1,E52=1),2,AND(E54=2,E53=2,E52=2),3,AND(E54=3,E53=3,E52=3),4,AND(E54=5,C54&gt;=20),0,AND(OR(E54=4,E54=5),OR(E53=4,E53=5),OR(E52=4,E52=5)), 5, TRUE,E54)</f>
        <v>2</v>
      </c>
    </row>
    <row r="56" spans="1:5" x14ac:dyDescent="0.25">
      <c r="A56">
        <v>55</v>
      </c>
      <c r="B56">
        <v>20.9</v>
      </c>
      <c r="C56">
        <v>9</v>
      </c>
      <c r="E56" cm="1">
        <f t="array" ref="E56">_xlfn.IFS(E55=0,1,AND(E55=1,E54=1,E53=1),2,AND(E55=2,E54=2,E53=2),3,AND(E55=3,E54=3,E53=3),4,AND(E55=5,C55&gt;=20),0,AND(OR(E55=4,E55=5),OR(E54=4,E54=5),OR(E53=4,E53=5)), 5, TRUE,E55)</f>
        <v>2</v>
      </c>
    </row>
    <row r="57" spans="1:5" x14ac:dyDescent="0.25">
      <c r="A57">
        <v>56</v>
      </c>
      <c r="B57">
        <v>24.5</v>
      </c>
      <c r="C57">
        <v>2</v>
      </c>
      <c r="E57" cm="1">
        <f t="array" ref="E57">_xlfn.IFS(E56=0,1,AND(E56=1,E55=1,E54=1),2,AND(E56=2,E55=2,E54=2),3,AND(E56=3,E55=3,E54=3),4,AND(E56=5,C56&gt;=20),0,AND(OR(E56=4,E56=5),OR(E55=4,E55=5),OR(E54=4,E54=5)), 5, TRUE,E56)</f>
        <v>3</v>
      </c>
    </row>
    <row r="58" spans="1:5" x14ac:dyDescent="0.25">
      <c r="A58">
        <v>57</v>
      </c>
      <c r="B58">
        <v>27.3</v>
      </c>
      <c r="C58">
        <v>16</v>
      </c>
      <c r="E58" cm="1">
        <f t="array" ref="E58">_xlfn.IFS(E57=0,1,AND(E57=1,E56=1,E55=1),2,AND(E57=2,E56=2,E55=2),3,AND(E57=3,E56=3,E55=3),4,AND(E57=5,C57&gt;=20),0,AND(OR(E57=4,E57=5),OR(E56=4,E56=5),OR(E55=4,E55=5)), 5, TRUE,E57)</f>
        <v>3</v>
      </c>
    </row>
    <row r="59" spans="1:5" x14ac:dyDescent="0.25">
      <c r="A59">
        <v>58</v>
      </c>
      <c r="B59">
        <v>28.4</v>
      </c>
      <c r="C59">
        <v>14</v>
      </c>
      <c r="E59" cm="1">
        <f t="array" ref="E59">_xlfn.IFS(E58=0,1,AND(E58=1,E57=1,E56=1),2,AND(E58=2,E57=2,E56=2),3,AND(E58=3,E57=3,E56=3),4,AND(E58=5,C58&gt;=20),0,AND(OR(E58=4,E58=5),OR(E57=4,E57=5),OR(E56=4,E56=5)), 5, TRUE,E58)</f>
        <v>3</v>
      </c>
    </row>
    <row r="60" spans="1:5" x14ac:dyDescent="0.25">
      <c r="A60">
        <v>59</v>
      </c>
      <c r="B60">
        <v>27.8</v>
      </c>
      <c r="C60">
        <v>14</v>
      </c>
      <c r="E60" cm="1">
        <f t="array" ref="E60">_xlfn.IFS(E59=0,1,AND(E59=1,E58=1,E57=1),2,AND(E59=2,E58=2,E57=2),3,AND(E59=3,E58=3,E57=3),4,AND(E59=5,C59&gt;=20),0,AND(OR(E59=4,E59=5),OR(E58=4,E58=5),OR(E57=4,E57=5)), 5, TRUE,E59)</f>
        <v>4</v>
      </c>
    </row>
    <row r="61" spans="1:5" x14ac:dyDescent="0.25">
      <c r="A61">
        <v>60</v>
      </c>
      <c r="B61">
        <v>25.9</v>
      </c>
      <c r="C61">
        <v>6</v>
      </c>
      <c r="E61" cm="1">
        <f t="array" ref="E61">_xlfn.IFS(E60=0,1,AND(E60=1,E59=1,E58=1),2,AND(E60=2,E59=2,E58=2),3,AND(E60=3,E59=3,E58=3),4,AND(E60=5,C60&gt;=20),0,AND(OR(E60=4,E60=5),OR(E59=4,E59=5),OR(E58=4,E58=5)), 5, TRUE,E60)</f>
        <v>4</v>
      </c>
    </row>
    <row r="62" spans="1:5" x14ac:dyDescent="0.25">
      <c r="A62">
        <v>61</v>
      </c>
      <c r="B62">
        <v>23.4</v>
      </c>
      <c r="C62">
        <v>21</v>
      </c>
      <c r="E62" cm="1">
        <f t="array" ref="E62">_xlfn.IFS(E61=0,1,AND(E61=1,E60=1,E59=1),2,AND(E61=2,E60=2,E59=2),3,AND(E61=3,E60=3,E59=3),4,AND(E61=5,C61&gt;=20),0,AND(OR(E61=4,E61=5),OR(E60=4,E60=5),OR(E59=4,E59=5)), 5, TRUE,E61)</f>
        <v>4</v>
      </c>
    </row>
    <row r="63" spans="1:5" x14ac:dyDescent="0.25">
      <c r="A63">
        <v>62</v>
      </c>
      <c r="B63">
        <v>21.2</v>
      </c>
      <c r="C63">
        <v>21</v>
      </c>
      <c r="E63" cm="1">
        <f t="array" ref="E63">_xlfn.IFS(E62=0,1,AND(E62=1,E61=1,E60=1),2,AND(E62=2,E61=2,E60=2),3,AND(E62=3,E61=3,E60=3),4,AND(E62=5,C62&gt;=20),0,AND(OR(E62=4,E62=5),OR(E61=4,E61=5),OR(E60=4,E60=5)), 5, TRUE,E62)</f>
        <v>5</v>
      </c>
    </row>
    <row r="64" spans="1:5" x14ac:dyDescent="0.25">
      <c r="A64">
        <v>63</v>
      </c>
      <c r="B64">
        <v>20</v>
      </c>
      <c r="C64">
        <v>0</v>
      </c>
      <c r="E64" cm="1">
        <f t="array" ref="E64">_xlfn.IFS(E63=0,1,AND(E63=1,E62=1,E61=1),2,AND(E63=2,E62=2,E61=2),3,AND(E63=3,E62=3,E61=3),4,AND(E63=5,C63&gt;=20),0,AND(OR(E63=4,E63=5),OR(E62=4,E62=5),OR(E61=4,E61=5)), 5, TRUE,E63)</f>
        <v>0</v>
      </c>
    </row>
    <row r="65" spans="1:5" x14ac:dyDescent="0.25">
      <c r="A65">
        <v>64</v>
      </c>
      <c r="B65">
        <v>20.3</v>
      </c>
      <c r="C65">
        <v>4</v>
      </c>
      <c r="E65" cm="1">
        <f t="array" ref="E65">_xlfn.IFS(E64=0,1,AND(E64=1,E63=1,E62=1),2,AND(E64=2,E63=2,E62=2),3,AND(E64=3,E63=3,E62=3),4,AND(E64=5,C64&gt;=20),0,AND(OR(E64=4,E64=5),OR(E63=4,E63=5),OR(E62=4,E62=5)), 5, TRUE,E64)</f>
        <v>1</v>
      </c>
    </row>
    <row r="66" spans="1:5" x14ac:dyDescent="0.25">
      <c r="A66">
        <v>65</v>
      </c>
      <c r="B66">
        <v>21.8</v>
      </c>
      <c r="C66">
        <v>6</v>
      </c>
      <c r="E66" cm="1">
        <f t="array" ref="E66">_xlfn.IFS(E65=0,1,AND(E65=1,E64=1,E63=1),2,AND(E65=2,E64=2,E63=2),3,AND(E65=3,E64=3,E63=3),4,AND(E65=5,C65&gt;=20),0,AND(OR(E65=4,E65=5),OR(E64=4,E64=5),OR(E63=4,E63=5)), 5, TRUE,E65)</f>
        <v>1</v>
      </c>
    </row>
    <row r="67" spans="1:5" x14ac:dyDescent="0.25">
      <c r="A67">
        <v>66</v>
      </c>
      <c r="B67">
        <v>24</v>
      </c>
      <c r="C67">
        <v>3</v>
      </c>
      <c r="E67" cm="1">
        <f t="array" ref="E67">_xlfn.IFS(E66=0,1,AND(E66=1,E65=1,E64=1),2,AND(E66=2,E65=2,E64=2),3,AND(E66=3,E65=3,E64=3),4,AND(E66=5,C66&gt;=20),0,AND(OR(E66=4,E66=5),OR(E65=4,E65=5),OR(E64=4,E64=5)), 5, TRUE,E66)</f>
        <v>1</v>
      </c>
    </row>
    <row r="68" spans="1:5" x14ac:dyDescent="0.25">
      <c r="A68">
        <v>67</v>
      </c>
      <c r="B68">
        <v>26.1</v>
      </c>
      <c r="C68">
        <v>7</v>
      </c>
      <c r="E68" cm="1">
        <f t="array" ref="E68">_xlfn.IFS(E67=0,1,AND(E67=1,E66=1,E65=1),2,AND(E67=2,E66=2,E65=2),3,AND(E67=3,E66=3,E65=3),4,AND(E67=5,C67&gt;=20),0,AND(OR(E67=4,E67=5),OR(E66=4,E66=5),OR(E65=4,E65=5)), 5, TRUE,E67)</f>
        <v>2</v>
      </c>
    </row>
    <row r="69" spans="1:5" x14ac:dyDescent="0.25">
      <c r="A69">
        <v>68</v>
      </c>
      <c r="B69">
        <v>27.3</v>
      </c>
      <c r="C69">
        <v>6</v>
      </c>
      <c r="E69" cm="1">
        <f t="array" ref="E69">_xlfn.IFS(E68=0,1,AND(E68=1,E67=1,E66=1),2,AND(E68=2,E67=2,E66=2),3,AND(E68=3,E67=3,E66=3),4,AND(E68=5,C68&gt;=20),0,AND(OR(E68=4,E68=5),OR(E67=4,E67=5),OR(E66=4,E66=5)), 5, TRUE,E68)</f>
        <v>2</v>
      </c>
    </row>
    <row r="70" spans="1:5" x14ac:dyDescent="0.25">
      <c r="A70">
        <v>69</v>
      </c>
      <c r="B70">
        <v>26.8</v>
      </c>
      <c r="C70">
        <v>8</v>
      </c>
      <c r="E70" cm="1">
        <f t="array" ref="E70">_xlfn.IFS(E69=0,1,AND(E69=1,E68=1,E67=1),2,AND(E69=2,E68=2,E67=2),3,AND(E69=3,E68=3,E67=3),4,AND(E69=5,C69&gt;=20),0,AND(OR(E69=4,E69=5),OR(E68=4,E68=5),OR(E67=4,E67=5)), 5, TRUE,E69)</f>
        <v>2</v>
      </c>
    </row>
    <row r="71" spans="1:5" x14ac:dyDescent="0.25">
      <c r="A71">
        <v>70</v>
      </c>
      <c r="B71">
        <v>24.7</v>
      </c>
      <c r="C71">
        <v>3</v>
      </c>
      <c r="E71" cm="1">
        <f t="array" ref="E71">_xlfn.IFS(E70=0,1,AND(E70=1,E69=1,E68=1),2,AND(E70=2,E69=2,E68=2),3,AND(E70=3,E69=3,E68=3),4,AND(E70=5,C70&gt;=20),0,AND(OR(E70=4,E70=5),OR(E69=4,E69=5),OR(E68=4,E68=5)), 5, TRUE,E70)</f>
        <v>3</v>
      </c>
    </row>
    <row r="72" spans="1:5" x14ac:dyDescent="0.25">
      <c r="A72">
        <v>71</v>
      </c>
      <c r="B72">
        <v>21.2</v>
      </c>
      <c r="C72">
        <v>16</v>
      </c>
      <c r="E72" cm="1">
        <f t="array" ref="E72">_xlfn.IFS(E71=0,1,AND(E71=1,E70=1,E69=1),2,AND(E71=2,E70=2,E69=2),3,AND(E71=3,E70=3,E69=3),4,AND(E71=5,C71&gt;=20),0,AND(OR(E71=4,E71=5),OR(E70=4,E70=5),OR(E69=4,E69=5)), 5, TRUE,E71)</f>
        <v>3</v>
      </c>
    </row>
    <row r="73" spans="1:5" x14ac:dyDescent="0.25">
      <c r="A73">
        <v>72</v>
      </c>
      <c r="B73">
        <v>17.3</v>
      </c>
      <c r="C73">
        <v>8</v>
      </c>
      <c r="E73" cm="1">
        <f t="array" ref="E73">_xlfn.IFS(E72=0,1,AND(E72=1,E71=1,E70=1),2,AND(E72=2,E71=2,E70=2),3,AND(E72=3,E71=3,E70=3),4,AND(E72=5,C72&gt;=20),0,AND(OR(E72=4,E72=5),OR(E71=4,E71=5),OR(E70=4,E70=5)), 5, TRUE,E72)</f>
        <v>3</v>
      </c>
    </row>
    <row r="74" spans="1:5" x14ac:dyDescent="0.25">
      <c r="A74">
        <v>73</v>
      </c>
      <c r="B74">
        <v>13.7</v>
      </c>
      <c r="C74">
        <v>19</v>
      </c>
      <c r="E74" cm="1">
        <f t="array" ref="E74">_xlfn.IFS(E73=0,1,AND(E73=1,E72=1,E71=1),2,AND(E73=2,E72=2,E71=2),3,AND(E73=3,E72=3,E71=3),4,AND(E73=5,C73&gt;=20),0,AND(OR(E73=4,E73=5),OR(E72=4,E72=5),OR(E71=4,E71=5)), 5, TRUE,E73)</f>
        <v>4</v>
      </c>
    </row>
    <row r="75" spans="1:5" x14ac:dyDescent="0.25">
      <c r="A75">
        <v>74</v>
      </c>
      <c r="B75">
        <v>11.3</v>
      </c>
      <c r="C75">
        <v>5</v>
      </c>
      <c r="E75" cm="1">
        <f t="array" ref="E75">_xlfn.IFS(E74=0,1,AND(E74=1,E73=1,E72=1),2,AND(E74=2,E73=2,E72=2),3,AND(E74=3,E73=3,E72=3),4,AND(E74=5,C74&gt;=20),0,AND(OR(E74=4,E74=5),OR(E73=4,E73=5),OR(E72=4,E72=5)), 5, TRUE,E74)</f>
        <v>4</v>
      </c>
    </row>
    <row r="76" spans="1:5" x14ac:dyDescent="0.25">
      <c r="A76">
        <v>75</v>
      </c>
      <c r="B76">
        <v>10.5</v>
      </c>
      <c r="C76">
        <v>2</v>
      </c>
      <c r="E76" cm="1">
        <f t="array" ref="E76">_xlfn.IFS(E75=0,1,AND(E75=1,E74=1,E73=1),2,AND(E75=2,E74=2,E73=2),3,AND(E75=3,E74=3,E73=3),4,AND(E75=5,C75&gt;=20),0,AND(OR(E75=4,E75=5),OR(E74=4,E74=5),OR(E73=4,E73=5)), 5, TRUE,E75)</f>
        <v>4</v>
      </c>
    </row>
    <row r="77" spans="1:5" x14ac:dyDescent="0.25">
      <c r="A77">
        <v>76</v>
      </c>
      <c r="B77">
        <v>11</v>
      </c>
      <c r="C77">
        <v>22</v>
      </c>
      <c r="E77" cm="1">
        <f t="array" ref="E77">_xlfn.IFS(E76=0,1,AND(E76=1,E75=1,E74=1),2,AND(E76=2,E75=2,E74=2),3,AND(E76=3,E75=3,E74=3),4,AND(E76=5,C76&gt;=20),0,AND(OR(E76=4,E76=5),OR(E75=4,E75=5),OR(E74=4,E74=5)), 5, TRUE,E76)</f>
        <v>5</v>
      </c>
    </row>
    <row r="78" spans="1:5" x14ac:dyDescent="0.25">
      <c r="A78">
        <v>77</v>
      </c>
      <c r="B78">
        <v>12.5</v>
      </c>
      <c r="C78">
        <v>0</v>
      </c>
      <c r="E78" cm="1">
        <f t="array" ref="E78">_xlfn.IFS(E77=0,1,AND(E77=1,E76=1,E75=1),2,AND(E77=2,E76=2,E75=2),3,AND(E77=3,E76=3,E75=3),4,AND(E77=5,C77&gt;=20),0,AND(OR(E77=4,E77=5),OR(E76=4,E76=5),OR(E75=4,E75=5)), 5, TRUE,E77)</f>
        <v>0</v>
      </c>
    </row>
    <row r="79" spans="1:5" x14ac:dyDescent="0.25">
      <c r="A79">
        <v>78</v>
      </c>
      <c r="B79">
        <v>14</v>
      </c>
      <c r="C79">
        <v>2</v>
      </c>
      <c r="E79" cm="1">
        <f t="array" ref="E79">_xlfn.IFS(E78=0,1,AND(E78=1,E77=1,E76=1),2,AND(E78=2,E77=2,E76=2),3,AND(E78=3,E77=3,E76=3),4,AND(E78=5,C78&gt;=20),0,AND(OR(E78=4,E78=5),OR(E77=4,E77=5),OR(E76=4,E76=5)), 5, TRUE,E78)</f>
        <v>1</v>
      </c>
    </row>
    <row r="80" spans="1:5" x14ac:dyDescent="0.25">
      <c r="A80">
        <v>79</v>
      </c>
      <c r="B80">
        <v>14.7</v>
      </c>
      <c r="C80">
        <v>4</v>
      </c>
      <c r="E80" cm="1">
        <f t="array" ref="E80">_xlfn.IFS(E79=0,1,AND(E79=1,E78=1,E77=1),2,AND(E79=2,E78=2,E77=2),3,AND(E79=3,E78=3,E77=3),4,AND(E79=5,C79&gt;=20),0,AND(OR(E79=4,E79=5),OR(E78=4,E78=5),OR(E77=4,E77=5)), 5, TRUE,E79)</f>
        <v>1</v>
      </c>
    </row>
    <row r="81" spans="1:5" x14ac:dyDescent="0.25">
      <c r="A81">
        <v>80</v>
      </c>
      <c r="B81">
        <v>14.1</v>
      </c>
      <c r="C81">
        <v>5</v>
      </c>
      <c r="E81" cm="1">
        <f t="array" ref="E81">_xlfn.IFS(E80=0,1,AND(E80=1,E79=1,E78=1),2,AND(E80=2,E79=2,E78=2),3,AND(E80=3,E79=3,E78=3),4,AND(E80=5,C80&gt;=20),0,AND(OR(E80=4,E80=5),OR(E79=4,E79=5),OR(E78=4,E78=5)), 5, TRUE,E80)</f>
        <v>1</v>
      </c>
    </row>
    <row r="82" spans="1:5" x14ac:dyDescent="0.25">
      <c r="A82">
        <v>81</v>
      </c>
      <c r="B82">
        <v>11.9</v>
      </c>
      <c r="C82">
        <v>8</v>
      </c>
      <c r="E82" cm="1">
        <f t="array" ref="E82">_xlfn.IFS(E81=0,1,AND(E81=1,E80=1,E79=1),2,AND(E81=2,E80=2,E79=2),3,AND(E81=3,E80=3,E79=3),4,AND(E81=5,C81&gt;=20),0,AND(OR(E81=4,E81=5),OR(E80=4,E80=5),OR(E79=4,E79=5)), 5, TRUE,E81)</f>
        <v>2</v>
      </c>
    </row>
    <row r="83" spans="1:5" x14ac:dyDescent="0.25">
      <c r="A83">
        <v>82</v>
      </c>
      <c r="B83">
        <v>8.6999999999999993</v>
      </c>
      <c r="C83">
        <v>6</v>
      </c>
      <c r="E83" cm="1">
        <f t="array" ref="E83">_xlfn.IFS(E82=0,1,AND(E82=1,E81=1,E80=1),2,AND(E82=2,E81=2,E80=2),3,AND(E82=3,E81=3,E80=3),4,AND(E82=5,C82&gt;=20),0,AND(OR(E82=4,E82=5),OR(E81=4,E81=5),OR(E80=4,E80=5)), 5, TRUE,E82)</f>
        <v>2</v>
      </c>
    </row>
    <row r="84" spans="1:5" x14ac:dyDescent="0.25">
      <c r="A84">
        <v>83</v>
      </c>
      <c r="B84">
        <v>5.0999999999999996</v>
      </c>
      <c r="C84">
        <v>3</v>
      </c>
      <c r="E84" cm="1">
        <f t="array" ref="E84">_xlfn.IFS(E83=0,1,AND(E83=1,E82=1,E81=1),2,AND(E83=2,E82=2,E81=2),3,AND(E83=3,E82=3,E81=3),4,AND(E83=5,C83&gt;=20),0,AND(OR(E83=4,E83=5),OR(E82=4,E82=5),OR(E81=4,E81=5)), 5, TRUE,E83)</f>
        <v>2</v>
      </c>
    </row>
    <row r="85" spans="1:5" x14ac:dyDescent="0.25">
      <c r="A85">
        <v>84</v>
      </c>
      <c r="B85">
        <v>2.2000000000000002</v>
      </c>
      <c r="C85">
        <v>1</v>
      </c>
      <c r="E85" cm="1">
        <f t="array" ref="E85">_xlfn.IFS(E84=0,1,AND(E84=1,E83=1,E82=1),2,AND(E84=2,E83=2,E82=2),3,AND(E84=3,E83=3,E82=3),4,AND(E84=5,C84&gt;=20),0,AND(OR(E84=4,E84=5),OR(E83=4,E83=5),OR(E82=4,E82=5)), 5, TRUE,E84)</f>
        <v>3</v>
      </c>
    </row>
    <row r="86" spans="1:5" x14ac:dyDescent="0.25">
      <c r="A86">
        <v>85</v>
      </c>
      <c r="B86">
        <v>0.5</v>
      </c>
      <c r="C86">
        <v>5</v>
      </c>
      <c r="E86" cm="1">
        <f t="array" ref="E86">_xlfn.IFS(E85=0,1,AND(E85=1,E84=1,E83=1),2,AND(E85=2,E84=2,E83=2),3,AND(E85=3,E84=3,E83=3),4,AND(E85=5,C85&gt;=20),0,AND(OR(E85=4,E85=5),OR(E84=4,E84=5),OR(E83=4,E83=5)), 5, TRUE,E85)</f>
        <v>3</v>
      </c>
    </row>
    <row r="87" spans="1:5" x14ac:dyDescent="0.25">
      <c r="A87">
        <v>86</v>
      </c>
      <c r="B87">
        <v>0.6</v>
      </c>
      <c r="C87">
        <v>13</v>
      </c>
      <c r="E87" cm="1">
        <f t="array" ref="E87">_xlfn.IFS(E86=0,1,AND(E86=1,E85=1,E84=1),2,AND(E86=2,E85=2,E84=2),3,AND(E86=3,E85=3,E84=3),4,AND(E86=5,C86&gt;=20),0,AND(OR(E86=4,E86=5),OR(E85=4,E85=5),OR(E84=4,E84=5)), 5, TRUE,E86)</f>
        <v>3</v>
      </c>
    </row>
    <row r="88" spans="1:5" x14ac:dyDescent="0.25">
      <c r="A88">
        <v>87</v>
      </c>
      <c r="B88">
        <v>2.2999999999999998</v>
      </c>
      <c r="C88">
        <v>4</v>
      </c>
      <c r="E88" cm="1">
        <f t="array" ref="E88">_xlfn.IFS(E87=0,1,AND(E87=1,E86=1,E85=1),2,AND(E87=2,E86=2,E85=2),3,AND(E87=3,E86=3,E85=3),4,AND(E87=5,C87&gt;=20),0,AND(OR(E87=4,E87=5),OR(E86=4,E86=5),OR(E85=4,E85=5)), 5, TRUE,E87)</f>
        <v>4</v>
      </c>
    </row>
    <row r="89" spans="1:5" x14ac:dyDescent="0.25">
      <c r="A89">
        <v>88</v>
      </c>
      <c r="B89">
        <v>5</v>
      </c>
      <c r="C89">
        <v>9</v>
      </c>
      <c r="E89" cm="1">
        <f t="array" ref="E89">_xlfn.IFS(E88=0,1,AND(E88=1,E87=1,E86=1),2,AND(E88=2,E87=2,E86=2),3,AND(E88=3,E87=3,E86=3),4,AND(E88=5,C88&gt;=20),0,AND(OR(E88=4,E88=5),OR(E87=4,E87=5),OR(E86=4,E86=5)), 5, TRUE,E88)</f>
        <v>4</v>
      </c>
    </row>
    <row r="90" spans="1:5" x14ac:dyDescent="0.25">
      <c r="A90">
        <v>89</v>
      </c>
      <c r="B90">
        <v>7.9</v>
      </c>
      <c r="C90">
        <v>24</v>
      </c>
      <c r="E90" cm="1">
        <f t="array" ref="E90">_xlfn.IFS(E89=0,1,AND(E89=1,E88=1,E87=1),2,AND(E89=2,E88=2,E87=2),3,AND(E89=3,E88=3,E87=3),4,AND(E89=5,C89&gt;=20),0,AND(OR(E89=4,E89=5),OR(E88=4,E88=5),OR(E87=4,E87=5)), 5, TRUE,E89)</f>
        <v>4</v>
      </c>
    </row>
    <row r="91" spans="1:5" x14ac:dyDescent="0.25">
      <c r="A91">
        <v>90</v>
      </c>
      <c r="B91">
        <v>10</v>
      </c>
      <c r="C91">
        <v>15</v>
      </c>
      <c r="E91" cm="1">
        <f t="array" ref="E91">_xlfn.IFS(E90=0,1,AND(E90=1,E89=1,E88=1),2,AND(E90=2,E89=2,E88=2),3,AND(E90=3,E89=3,E88=3),4,AND(E90=5,C90&gt;=20),0,AND(OR(E90=4,E90=5),OR(E89=4,E89=5),OR(E88=4,E88=5)), 5, TRUE,E90)</f>
        <v>5</v>
      </c>
    </row>
    <row r="92" spans="1:5" x14ac:dyDescent="0.25">
      <c r="A92">
        <v>91</v>
      </c>
      <c r="B92">
        <v>10.9</v>
      </c>
      <c r="C92">
        <v>29</v>
      </c>
      <c r="E92" cm="1">
        <f t="array" ref="E92">_xlfn.IFS(E91=0,1,AND(E91=1,E90=1,E89=1),2,AND(E91=2,E90=2,E89=2),3,AND(E91=3,E90=3,E89=3),4,AND(E91=5,C91&gt;=20),0,AND(OR(E91=4,E91=5),OR(E90=4,E90=5),OR(E89=4,E89=5)), 5, TRUE,E91)</f>
        <v>5</v>
      </c>
    </row>
    <row r="93" spans="1:5" x14ac:dyDescent="0.25">
      <c r="A93">
        <v>92</v>
      </c>
      <c r="B93">
        <v>10.3</v>
      </c>
      <c r="C93">
        <v>0</v>
      </c>
      <c r="E93" cm="1">
        <f t="array" ref="E93">_xlfn.IFS(E92=0,1,AND(E92=1,E91=1,E90=1),2,AND(E92=2,E91=2,E90=2),3,AND(E92=3,E91=3,E90=3),4,AND(E92=5,C92&gt;=20),0,AND(OR(E92=4,E92=5),OR(E91=4,E91=5),OR(E90=4,E90=5)), 5, TRUE,E92)</f>
        <v>0</v>
      </c>
    </row>
    <row r="94" spans="1:5" x14ac:dyDescent="0.25">
      <c r="A94">
        <v>93</v>
      </c>
      <c r="B94">
        <v>8.6999999999999993</v>
      </c>
      <c r="C94">
        <v>1</v>
      </c>
      <c r="E94" cm="1">
        <f t="array" ref="E94">_xlfn.IFS(E93=0,1,AND(E93=1,E92=1,E91=1),2,AND(E93=2,E92=2,E91=2),3,AND(E93=3,E92=3,E91=3),4,AND(E93=5,C93&gt;=20),0,AND(OR(E93=4,E93=5),OR(E92=4,E92=5),OR(E91=4,E91=5)), 5, TRUE,E93)</f>
        <v>1</v>
      </c>
    </row>
    <row r="95" spans="1:5" x14ac:dyDescent="0.25">
      <c r="A95">
        <v>94</v>
      </c>
      <c r="B95">
        <v>6.7</v>
      </c>
      <c r="C95">
        <v>3</v>
      </c>
      <c r="E95" cm="1">
        <f t="array" ref="E95">_xlfn.IFS(E94=0,1,AND(E94=1,E93=1,E92=1),2,AND(E94=2,E93=2,E92=2),3,AND(E94=3,E93=3,E92=3),4,AND(E94=5,C94&gt;=20),0,AND(OR(E94=4,E94=5),OR(E93=4,E93=5),OR(E92=4,E92=5)), 5, TRUE,E94)</f>
        <v>1</v>
      </c>
    </row>
    <row r="96" spans="1:5" x14ac:dyDescent="0.25">
      <c r="A96">
        <v>95</v>
      </c>
      <c r="B96">
        <v>5.3</v>
      </c>
      <c r="C96">
        <v>6</v>
      </c>
      <c r="E96" cm="1">
        <f t="array" ref="E96">_xlfn.IFS(E95=0,1,AND(E95=1,E94=1,E93=1),2,AND(E95=2,E94=2,E93=2),3,AND(E95=3,E94=3,E93=3),4,AND(E95=5,C95&gt;=20),0,AND(OR(E95=4,E95=5),OR(E94=4,E94=5),OR(E93=4,E93=5)), 5, TRUE,E95)</f>
        <v>1</v>
      </c>
    </row>
    <row r="97" spans="1:5" x14ac:dyDescent="0.25">
      <c r="A97">
        <v>96</v>
      </c>
      <c r="B97">
        <v>5.2</v>
      </c>
      <c r="C97">
        <v>3</v>
      </c>
      <c r="E97" cm="1">
        <f t="array" ref="E97">_xlfn.IFS(E96=0,1,AND(E96=1,E95=1,E94=1),2,AND(E96=2,E95=2,E94=2),3,AND(E96=3,E95=3,E94=3),4,AND(E96=5,C96&gt;=20),0,AND(OR(E96=4,E96=5),OR(E95=4,E95=5),OR(E94=4,E94=5)), 5, TRUE,E96)</f>
        <v>2</v>
      </c>
    </row>
    <row r="98" spans="1:5" x14ac:dyDescent="0.25">
      <c r="A98">
        <v>97</v>
      </c>
      <c r="B98">
        <v>6.8</v>
      </c>
      <c r="C98">
        <v>2</v>
      </c>
      <c r="E98" cm="1">
        <f t="array" ref="E98">_xlfn.IFS(E97=0,1,AND(E97=1,E96=1,E95=1),2,AND(E97=2,E96=2,E95=2),3,AND(E97=3,E96=3,E95=3),4,AND(E97=5,C97&gt;=20),0,AND(OR(E97=4,E97=5),OR(E96=4,E96=5),OR(E95=4,E95=5)), 5, TRUE,E97)</f>
        <v>2</v>
      </c>
    </row>
    <row r="99" spans="1:5" x14ac:dyDescent="0.25">
      <c r="A99">
        <v>98</v>
      </c>
      <c r="B99">
        <v>9.8000000000000007</v>
      </c>
      <c r="C99">
        <v>11</v>
      </c>
      <c r="E99" cm="1">
        <f t="array" ref="E99">_xlfn.IFS(E98=0,1,AND(E98=1,E97=1,E96=1),2,AND(E98=2,E97=2,E96=2),3,AND(E98=3,E97=3,E96=3),4,AND(E98=5,C98&gt;=20),0,AND(OR(E98=4,E98=5),OR(E97=4,E97=5),OR(E96=4,E96=5)), 5, TRUE,E98)</f>
        <v>2</v>
      </c>
    </row>
    <row r="100" spans="1:5" x14ac:dyDescent="0.25">
      <c r="A100">
        <v>99</v>
      </c>
      <c r="B100">
        <v>13.7</v>
      </c>
      <c r="C100">
        <v>8</v>
      </c>
      <c r="E100" cm="1">
        <f t="array" ref="E100">_xlfn.IFS(E99=0,1,AND(E99=1,E98=1,E97=1),2,AND(E99=2,E98=2,E97=2),3,AND(E99=3,E98=3,E97=3),4,AND(E99=5,C99&gt;=20),0,AND(OR(E99=4,E99=5),OR(E98=4,E98=5),OR(E97=4,E97=5)), 5, TRUE,E99)</f>
        <v>3</v>
      </c>
    </row>
    <row r="101" spans="1:5" x14ac:dyDescent="0.25">
      <c r="A101">
        <v>100</v>
      </c>
      <c r="B101">
        <v>17.7</v>
      </c>
      <c r="C101">
        <v>6</v>
      </c>
      <c r="E101" cm="1">
        <f t="array" ref="E101">_xlfn.IFS(E100=0,1,AND(E100=1,E99=1,E98=1),2,AND(E100=2,E99=2,E98=2),3,AND(E100=3,E99=3,E98=3),4,AND(E100=5,C100&gt;=20),0,AND(OR(E100=4,E100=5),OR(E99=4,E99=5),OR(E98=4,E98=5)), 5, TRUE,E100)</f>
        <v>3</v>
      </c>
    </row>
    <row r="102" spans="1:5" x14ac:dyDescent="0.25">
      <c r="A102">
        <v>101</v>
      </c>
      <c r="B102">
        <v>20.8</v>
      </c>
      <c r="C102">
        <v>5</v>
      </c>
      <c r="E102" cm="1">
        <f t="array" ref="E102">_xlfn.IFS(E101=0,1,AND(E101=1,E100=1,E99=1),2,AND(E101=2,E100=2,E99=2),3,AND(E101=3,E100=3,E99=3),4,AND(E101=5,C101&gt;=20),0,AND(OR(E101=4,E101=5),OR(E100=4,E100=5),OR(E99=4,E99=5)), 5, TRUE,E101)</f>
        <v>3</v>
      </c>
    </row>
    <row r="103" spans="1:5" x14ac:dyDescent="0.25">
      <c r="A103">
        <v>102</v>
      </c>
      <c r="B103">
        <v>22.4</v>
      </c>
      <c r="C103">
        <v>20</v>
      </c>
      <c r="E103" cm="1">
        <f t="array" ref="E103">_xlfn.IFS(E102=0,1,AND(E102=1,E101=1,E100=1),2,AND(E102=2,E101=2,E100=2),3,AND(E102=3,E101=3,E100=3),4,AND(E102=5,C102&gt;=20),0,AND(OR(E102=4,E102=5),OR(E101=4,E101=5),OR(E100=4,E100=5)), 5, TRUE,E102)</f>
        <v>4</v>
      </c>
    </row>
    <row r="104" spans="1:5" x14ac:dyDescent="0.25">
      <c r="A104">
        <v>103</v>
      </c>
      <c r="B104">
        <v>22.5</v>
      </c>
      <c r="C104">
        <v>17</v>
      </c>
      <c r="E104" cm="1">
        <f t="array" ref="E104">_xlfn.IFS(E103=0,1,AND(E103=1,E102=1,E101=1),2,AND(E103=2,E102=2,E101=2),3,AND(E103=3,E102=3,E101=3),4,AND(E103=5,C103&gt;=20),0,AND(OR(E103=4,E103=5),OR(E102=4,E102=5),OR(E101=4,E101=5)), 5, TRUE,E103)</f>
        <v>4</v>
      </c>
    </row>
    <row r="105" spans="1:5" x14ac:dyDescent="0.25">
      <c r="A105">
        <v>104</v>
      </c>
      <c r="B105">
        <v>21.2</v>
      </c>
      <c r="C105">
        <v>11</v>
      </c>
      <c r="E105" cm="1">
        <f t="array" ref="E105">_xlfn.IFS(E104=0,1,AND(E104=1,E103=1,E102=1),2,AND(E104=2,E103=2,E102=2),3,AND(E104=3,E103=3,E102=3),4,AND(E104=5,C104&gt;=20),0,AND(OR(E104=4,E104=5),OR(E103=4,E103=5),OR(E102=4,E102=5)), 5, TRUE,E104)</f>
        <v>4</v>
      </c>
    </row>
    <row r="106" spans="1:5" x14ac:dyDescent="0.25">
      <c r="A106">
        <v>105</v>
      </c>
      <c r="B106">
        <v>19.5</v>
      </c>
      <c r="C106">
        <v>27</v>
      </c>
      <c r="E106" cm="1">
        <f t="array" ref="E106">_xlfn.IFS(E105=0,1,AND(E105=1,E104=1,E103=1),2,AND(E105=2,E104=2,E103=2),3,AND(E105=3,E104=3,E103=3),4,AND(E105=5,C105&gt;=20),0,AND(OR(E105=4,E105=5),OR(E104=4,E104=5),OR(E103=4,E103=5)), 5, TRUE,E105)</f>
        <v>5</v>
      </c>
    </row>
    <row r="107" spans="1:5" x14ac:dyDescent="0.25">
      <c r="A107">
        <v>106</v>
      </c>
      <c r="B107">
        <v>18.100000000000001</v>
      </c>
      <c r="C107">
        <v>0</v>
      </c>
      <c r="E107" cm="1">
        <f t="array" ref="E107">_xlfn.IFS(E106=0,1,AND(E106=1,E105=1,E104=1),2,AND(E106=2,E105=2,E104=2),3,AND(E106=3,E105=3,E104=3),4,AND(E106=5,C106&gt;=20),0,AND(OR(E106=4,E106=5),OR(E105=4,E105=5),OR(E104=4,E104=5)), 5, TRUE,E106)</f>
        <v>0</v>
      </c>
    </row>
    <row r="108" spans="1:5" x14ac:dyDescent="0.25">
      <c r="A108">
        <v>107</v>
      </c>
      <c r="B108">
        <v>17.8</v>
      </c>
      <c r="C108">
        <v>5</v>
      </c>
      <c r="E108" cm="1">
        <f t="array" ref="E108">_xlfn.IFS(E107=0,1,AND(E107=1,E106=1,E105=1),2,AND(E107=2,E106=2,E105=2),3,AND(E107=3,E106=3,E105=3),4,AND(E107=5,C107&gt;=20),0,AND(OR(E107=4,E107=5),OR(E106=4,E106=5),OR(E105=4,E105=5)), 5, TRUE,E107)</f>
        <v>1</v>
      </c>
    </row>
    <row r="109" spans="1:5" x14ac:dyDescent="0.25">
      <c r="A109">
        <v>108</v>
      </c>
      <c r="B109">
        <v>18.899999999999999</v>
      </c>
      <c r="C109">
        <v>3</v>
      </c>
      <c r="E109" cm="1">
        <f t="array" ref="E109">_xlfn.IFS(E108=0,1,AND(E108=1,E107=1,E106=1),2,AND(E108=2,E107=2,E106=2),3,AND(E108=3,E107=3,E106=3),4,AND(E108=5,C108&gt;=20),0,AND(OR(E108=4,E108=5),OR(E107=4,E107=5),OR(E106=4,E106=5)), 5, TRUE,E108)</f>
        <v>1</v>
      </c>
    </row>
    <row r="110" spans="1:5" x14ac:dyDescent="0.25">
      <c r="A110">
        <v>109</v>
      </c>
      <c r="B110">
        <v>21.3</v>
      </c>
      <c r="C110">
        <v>1</v>
      </c>
      <c r="E110" cm="1">
        <f t="array" ref="E110">_xlfn.IFS(E109=0,1,AND(E109=1,E108=1,E107=1),2,AND(E109=2,E108=2,E107=2),3,AND(E109=3,E108=3,E107=3),4,AND(E109=5,C109&gt;=20),0,AND(OR(E109=4,E109=5),OR(E108=4,E108=5),OR(E107=4,E107=5)), 5, TRUE,E109)</f>
        <v>1</v>
      </c>
    </row>
    <row r="111" spans="1:5" x14ac:dyDescent="0.25">
      <c r="A111">
        <v>110</v>
      </c>
      <c r="B111">
        <v>24.5</v>
      </c>
      <c r="C111">
        <v>7</v>
      </c>
      <c r="E111" cm="1">
        <f t="array" ref="E111">_xlfn.IFS(E110=0,1,AND(E110=1,E109=1,E108=1),2,AND(E110=2,E109=2,E108=2),3,AND(E110=3,E109=3,E108=3),4,AND(E110=5,C110&gt;=20),0,AND(OR(E110=4,E110=5),OR(E109=4,E109=5),OR(E108=4,E108=5)), 5, TRUE,E110)</f>
        <v>2</v>
      </c>
    </row>
    <row r="112" spans="1:5" x14ac:dyDescent="0.25">
      <c r="A112">
        <v>111</v>
      </c>
      <c r="B112">
        <v>27.5</v>
      </c>
      <c r="C112">
        <v>12</v>
      </c>
      <c r="E112" cm="1">
        <f t="array" ref="E112">_xlfn.IFS(E111=0,1,AND(E111=1,E110=1,E109=1),2,AND(E111=2,E110=2,E109=2),3,AND(E111=3,E110=3,E109=3),4,AND(E111=5,C111&gt;=20),0,AND(OR(E111=4,E111=5),OR(E110=4,E110=5),OR(E109=4,E109=5)), 5, TRUE,E111)</f>
        <v>2</v>
      </c>
    </row>
    <row r="113" spans="1:5" x14ac:dyDescent="0.25">
      <c r="A113">
        <v>112</v>
      </c>
      <c r="B113">
        <v>29.5</v>
      </c>
      <c r="C113">
        <v>6</v>
      </c>
      <c r="E113" cm="1">
        <f t="array" ref="E113">_xlfn.IFS(E112=0,1,AND(E112=1,E111=1,E110=1),2,AND(E112=2,E111=2,E110=2),3,AND(E112=3,E111=3,E110=3),4,AND(E112=5,C112&gt;=20),0,AND(OR(E112=4,E112=5),OR(E111=4,E111=5),OR(E110=4,E110=5)), 5, TRUE,E112)</f>
        <v>2</v>
      </c>
    </row>
    <row r="114" spans="1:5" x14ac:dyDescent="0.25">
      <c r="A114">
        <v>113</v>
      </c>
      <c r="B114">
        <v>29.9</v>
      </c>
      <c r="C114">
        <v>5</v>
      </c>
      <c r="E114" cm="1">
        <f t="array" ref="E114">_xlfn.IFS(E113=0,1,AND(E113=1,E112=1,E111=1),2,AND(E113=2,E112=2,E111=2),3,AND(E113=3,E112=3,E111=3),4,AND(E113=5,C113&gt;=20),0,AND(OR(E113=4,E113=5),OR(E112=4,E112=5),OR(E111=4,E111=5)), 5, TRUE,E113)</f>
        <v>3</v>
      </c>
    </row>
    <row r="115" spans="1:5" x14ac:dyDescent="0.25">
      <c r="A115">
        <v>114</v>
      </c>
      <c r="B115">
        <v>28.6</v>
      </c>
      <c r="C115">
        <v>6</v>
      </c>
      <c r="E115" cm="1">
        <f t="array" ref="E115">_xlfn.IFS(E114=0,1,AND(E114=1,E113=1,E112=1),2,AND(E114=2,E113=2,E112=2),3,AND(E114=3,E113=3,E112=3),4,AND(E114=5,C114&gt;=20),0,AND(OR(E114=4,E114=5),OR(E113=4,E113=5),OR(E112=4,E112=5)), 5, TRUE,E114)</f>
        <v>3</v>
      </c>
    </row>
    <row r="116" spans="1:5" x14ac:dyDescent="0.25">
      <c r="A116">
        <v>115</v>
      </c>
      <c r="B116">
        <v>25.9</v>
      </c>
      <c r="C116">
        <v>6</v>
      </c>
      <c r="E116" cm="1">
        <f t="array" ref="E116">_xlfn.IFS(E115=0,1,AND(E115=1,E114=1,E113=1),2,AND(E115=2,E114=2,E113=2),3,AND(E115=3,E114=3,E113=3),4,AND(E115=5,C115&gt;=20),0,AND(OR(E115=4,E115=5),OR(E114=4,E114=5),OR(E113=4,E113=5)), 5, TRUE,E115)</f>
        <v>3</v>
      </c>
    </row>
    <row r="117" spans="1:5" x14ac:dyDescent="0.25">
      <c r="A117">
        <v>116</v>
      </c>
      <c r="B117">
        <v>22.6</v>
      </c>
      <c r="C117">
        <v>23</v>
      </c>
      <c r="E117" cm="1">
        <f t="array" ref="E117">_xlfn.IFS(E116=0,1,AND(E116=1,E115=1,E114=1),2,AND(E116=2,E115=2,E114=2),3,AND(E116=3,E115=3,E114=3),4,AND(E116=5,C116&gt;=20),0,AND(OR(E116=4,E116=5),OR(E115=4,E115=5),OR(E114=4,E114=5)), 5, TRUE,E116)</f>
        <v>4</v>
      </c>
    </row>
    <row r="118" spans="1:5" x14ac:dyDescent="0.25">
      <c r="A118">
        <v>117</v>
      </c>
      <c r="B118">
        <v>19.7</v>
      </c>
      <c r="C118">
        <v>16</v>
      </c>
      <c r="E118" cm="1">
        <f t="array" ref="E118">_xlfn.IFS(E117=0,1,AND(E117=1,E116=1,E115=1),2,AND(E117=2,E116=2,E115=2),3,AND(E117=3,E116=3,E115=3),4,AND(E117=5,C117&gt;=20),0,AND(OR(E117=4,E117=5),OR(E116=4,E116=5),OR(E115=4,E115=5)), 5, TRUE,E117)</f>
        <v>4</v>
      </c>
    </row>
    <row r="119" spans="1:5" x14ac:dyDescent="0.25">
      <c r="A119">
        <v>118</v>
      </c>
      <c r="B119">
        <v>17.8</v>
      </c>
      <c r="C119">
        <v>1</v>
      </c>
      <c r="E119" cm="1">
        <f t="array" ref="E119">_xlfn.IFS(E118=0,1,AND(E118=1,E117=1,E116=1),2,AND(E118=2,E117=2,E116=2),3,AND(E118=3,E117=3,E116=3),4,AND(E118=5,C118&gt;=20),0,AND(OR(E118=4,E118=5),OR(E117=4,E117=5),OR(E116=4,E116=5)), 5, TRUE,E118)</f>
        <v>4</v>
      </c>
    </row>
    <row r="120" spans="1:5" x14ac:dyDescent="0.25">
      <c r="A120">
        <v>119</v>
      </c>
      <c r="B120">
        <v>17.3</v>
      </c>
      <c r="C120">
        <v>27</v>
      </c>
      <c r="E120" cm="1">
        <f t="array" ref="E120">_xlfn.IFS(E119=0,1,AND(E119=1,E118=1,E117=1),2,AND(E119=2,E118=2,E117=2),3,AND(E119=3,E118=3,E117=3),4,AND(E119=5,C119&gt;=20),0,AND(OR(E119=4,E119=5),OR(E118=4,E118=5),OR(E117=4,E117=5)), 5, TRUE,E119)</f>
        <v>5</v>
      </c>
    </row>
    <row r="121" spans="1:5" x14ac:dyDescent="0.25">
      <c r="A121">
        <v>120</v>
      </c>
      <c r="B121">
        <v>18.2</v>
      </c>
      <c r="C121">
        <v>0</v>
      </c>
      <c r="E121" cm="1">
        <f t="array" ref="E121">_xlfn.IFS(E120=0,1,AND(E120=1,E119=1,E118=1),2,AND(E120=2,E119=2,E118=2),3,AND(E120=3,E119=3,E118=3),4,AND(E120=5,C120&gt;=20),0,AND(OR(E120=4,E120=5),OR(E119=4,E119=5),OR(E118=4,E118=5)), 5, TRUE,E120)</f>
        <v>0</v>
      </c>
    </row>
    <row r="122" spans="1:5" x14ac:dyDescent="0.25">
      <c r="A122">
        <v>121</v>
      </c>
      <c r="B122">
        <v>19.8</v>
      </c>
      <c r="C122">
        <v>1</v>
      </c>
      <c r="E122" cm="1">
        <f t="array" ref="E122">_xlfn.IFS(E121=0,1,AND(E121=1,E120=1,E119=1),2,AND(E121=2,E120=2,E119=2),3,AND(E121=3,E120=3,E119=3),4,AND(E121=5,C121&gt;=20),0,AND(OR(E121=4,E121=5),OR(E120=4,E120=5),OR(E119=4,E119=5)), 5, TRUE,E121)</f>
        <v>1</v>
      </c>
    </row>
    <row r="123" spans="1:5" x14ac:dyDescent="0.25">
      <c r="A123">
        <v>122</v>
      </c>
      <c r="B123">
        <v>21.4</v>
      </c>
      <c r="C123">
        <v>1</v>
      </c>
      <c r="E123" cm="1">
        <f t="array" ref="E123">_xlfn.IFS(E122=0,1,AND(E122=1,E121=1,E120=1),2,AND(E122=2,E121=2,E120=2),3,AND(E122=3,E121=3,E120=3),4,AND(E122=5,C122&gt;=20),0,AND(OR(E122=4,E122=5),OR(E121=4,E121=5),OR(E120=4,E120=5)), 5, TRUE,E122)</f>
        <v>1</v>
      </c>
    </row>
    <row r="124" spans="1:5" x14ac:dyDescent="0.25">
      <c r="A124">
        <v>123</v>
      </c>
      <c r="B124">
        <v>22</v>
      </c>
      <c r="C124">
        <v>6</v>
      </c>
      <c r="E124" cm="1">
        <f t="array" ref="E124">_xlfn.IFS(E123=0,1,AND(E123=1,E122=1,E121=1),2,AND(E123=2,E122=2,E121=2),3,AND(E123=3,E122=3,E121=3),4,AND(E123=5,C123&gt;=20),0,AND(OR(E123=4,E123=5),OR(E122=4,E122=5),OR(E121=4,E121=5)), 5, TRUE,E123)</f>
        <v>1</v>
      </c>
    </row>
    <row r="125" spans="1:5" x14ac:dyDescent="0.25">
      <c r="A125">
        <v>124</v>
      </c>
      <c r="B125">
        <v>21.2</v>
      </c>
      <c r="C125">
        <v>9</v>
      </c>
      <c r="E125" cm="1">
        <f t="array" ref="E125">_xlfn.IFS(E124=0,1,AND(E124=1,E123=1,E122=1),2,AND(E124=2,E123=2,E122=2),3,AND(E124=3,E123=3,E122=3),4,AND(E124=5,C124&gt;=20),0,AND(OR(E124=4,E124=5),OR(E123=4,E123=5),OR(E122=4,E122=5)), 5, TRUE,E124)</f>
        <v>2</v>
      </c>
    </row>
    <row r="126" spans="1:5" x14ac:dyDescent="0.25">
      <c r="A126">
        <v>125</v>
      </c>
      <c r="B126">
        <v>18.8</v>
      </c>
      <c r="C126">
        <v>7</v>
      </c>
      <c r="E126" cm="1">
        <f t="array" ref="E126">_xlfn.IFS(E125=0,1,AND(E125=1,E124=1,E123=1),2,AND(E125=2,E124=2,E123=2),3,AND(E125=3,E124=3,E123=3),4,AND(E125=5,C125&gt;=20),0,AND(OR(E125=4,E125=5),OR(E124=4,E124=5),OR(E123=4,E123=5)), 5, TRUE,E125)</f>
        <v>2</v>
      </c>
    </row>
    <row r="127" spans="1:5" x14ac:dyDescent="0.25">
      <c r="A127">
        <v>126</v>
      </c>
      <c r="B127">
        <v>15.2</v>
      </c>
      <c r="C127">
        <v>12</v>
      </c>
      <c r="E127" cm="1">
        <f t="array" ref="E127">_xlfn.IFS(E126=0,1,AND(E126=1,E125=1,E124=1),2,AND(E126=2,E125=2,E124=2),3,AND(E126=3,E125=3,E124=3),4,AND(E126=5,C126&gt;=20),0,AND(OR(E126=4,E126=5),OR(E125=4,E125=5),OR(E124=4,E124=5)), 5, TRUE,E126)</f>
        <v>2</v>
      </c>
    </row>
    <row r="128" spans="1:5" x14ac:dyDescent="0.25">
      <c r="A128">
        <v>127</v>
      </c>
      <c r="B128">
        <v>11.1</v>
      </c>
      <c r="C128">
        <v>15</v>
      </c>
      <c r="E128" cm="1">
        <f t="array" ref="E128">_xlfn.IFS(E127=0,1,AND(E127=1,E126=1,E125=1),2,AND(E127=2,E126=2,E125=2),3,AND(E127=3,E126=3,E125=3),4,AND(E127=5,C127&gt;=20),0,AND(OR(E127=4,E127=5),OR(E126=4,E126=5),OR(E125=4,E125=5)), 5, TRUE,E127)</f>
        <v>3</v>
      </c>
    </row>
    <row r="129" spans="1:5" x14ac:dyDescent="0.25">
      <c r="A129">
        <v>128</v>
      </c>
      <c r="B129">
        <v>7.5</v>
      </c>
      <c r="C129">
        <v>10</v>
      </c>
      <c r="E129" cm="1">
        <f t="array" ref="E129">_xlfn.IFS(E128=0,1,AND(E128=1,E127=1,E126=1),2,AND(E128=2,E127=2,E126=2),3,AND(E128=3,E127=3,E126=3),4,AND(E128=5,C128&gt;=20),0,AND(OR(E128=4,E128=5),OR(E127=4,E127=5),OR(E126=4,E126=5)), 5, TRUE,E128)</f>
        <v>3</v>
      </c>
    </row>
    <row r="130" spans="1:5" x14ac:dyDescent="0.25">
      <c r="A130">
        <v>129</v>
      </c>
      <c r="B130">
        <v>5.2</v>
      </c>
      <c r="C130">
        <v>5</v>
      </c>
      <c r="E130" cm="1">
        <f t="array" ref="E130">_xlfn.IFS(E129=0,1,AND(E129=1,E128=1,E127=1),2,AND(E129=2,E128=2,E127=2),3,AND(E129=3,E128=3,E127=3),4,AND(E129=5,C129&gt;=20),0,AND(OR(E129=4,E129=5),OR(E128=4,E128=5),OR(E127=4,E127=5)), 5, TRUE,E129)</f>
        <v>3</v>
      </c>
    </row>
    <row r="131" spans="1:5" x14ac:dyDescent="0.25">
      <c r="A131">
        <v>130</v>
      </c>
      <c r="B131">
        <v>4.5999999999999996</v>
      </c>
      <c r="C131">
        <v>23</v>
      </c>
      <c r="E131" cm="1">
        <f t="array" ref="E131">_xlfn.IFS(E130=0,1,AND(E130=1,E129=1,E128=1),2,AND(E130=2,E129=2,E128=2),3,AND(E130=3,E129=3,E128=3),4,AND(E130=5,C130&gt;=20),0,AND(OR(E130=4,E130=5),OR(E129=4,E129=5),OR(E128=4,E128=5)), 5, TRUE,E130)</f>
        <v>4</v>
      </c>
    </row>
    <row r="132" spans="1:5" x14ac:dyDescent="0.25">
      <c r="A132">
        <v>131</v>
      </c>
      <c r="B132">
        <v>5.5</v>
      </c>
      <c r="C132">
        <v>11</v>
      </c>
      <c r="E132" cm="1">
        <f t="array" ref="E132">_xlfn.IFS(E131=0,1,AND(E131=1,E130=1,E129=1),2,AND(E131=2,E130=2,E129=2),3,AND(E131=3,E130=3,E129=3),4,AND(E131=5,C131&gt;=20),0,AND(OR(E131=4,E131=5),OR(E130=4,E130=5),OR(E129=4,E129=5)), 5, TRUE,E131)</f>
        <v>4</v>
      </c>
    </row>
    <row r="133" spans="1:5" x14ac:dyDescent="0.25">
      <c r="A133">
        <v>132</v>
      </c>
      <c r="B133">
        <v>7.3</v>
      </c>
      <c r="C133">
        <v>23</v>
      </c>
      <c r="E133" cm="1">
        <f t="array" ref="E133">_xlfn.IFS(E132=0,1,AND(E132=1,E131=1,E130=1),2,AND(E132=2,E131=2,E130=2),3,AND(E132=3,E131=3,E130=3),4,AND(E132=5,C132&gt;=20),0,AND(OR(E132=4,E132=5),OR(E131=4,E131=5),OR(E130=4,E130=5)), 5, TRUE,E132)</f>
        <v>4</v>
      </c>
    </row>
    <row r="134" spans="1:5" x14ac:dyDescent="0.25">
      <c r="A134">
        <v>133</v>
      </c>
      <c r="B134">
        <v>9.3000000000000007</v>
      </c>
      <c r="C134">
        <v>16</v>
      </c>
      <c r="E134" cm="1">
        <f t="array" ref="E134">_xlfn.IFS(E133=0,1,AND(E133=1,E132=1,E131=1),2,AND(E133=2,E132=2,E131=2),3,AND(E133=3,E132=3,E131=3),4,AND(E133=5,C133&gt;=20),0,AND(OR(E133=4,E133=5),OR(E132=4,E132=5),OR(E131=4,E131=5)), 5, TRUE,E133)</f>
        <v>5</v>
      </c>
    </row>
    <row r="135" spans="1:5" x14ac:dyDescent="0.25">
      <c r="A135">
        <v>134</v>
      </c>
      <c r="B135">
        <v>10.5</v>
      </c>
      <c r="C135">
        <v>21</v>
      </c>
      <c r="E135" cm="1">
        <f t="array" ref="E135">_xlfn.IFS(E134=0,1,AND(E134=1,E133=1,E132=1),2,AND(E134=2,E133=2,E132=2),3,AND(E134=3,E133=3,E132=3),4,AND(E134=5,C134&gt;=20),0,AND(OR(E134=4,E134=5),OR(E133=4,E133=5),OR(E132=4,E132=5)), 5, TRUE,E134)</f>
        <v>5</v>
      </c>
    </row>
    <row r="136" spans="1:5" x14ac:dyDescent="0.25">
      <c r="A136">
        <v>135</v>
      </c>
      <c r="B136">
        <v>10.4</v>
      </c>
      <c r="C136">
        <v>0</v>
      </c>
      <c r="E136" cm="1">
        <f t="array" ref="E136">_xlfn.IFS(E135=0,1,AND(E135=1,E134=1,E133=1),2,AND(E135=2,E134=2,E133=2),3,AND(E135=3,E134=3,E133=3),4,AND(E135=5,C135&gt;=20),0,AND(OR(E135=4,E135=5),OR(E134=4,E134=5),OR(E133=4,E133=5)), 5, TRUE,E135)</f>
        <v>0</v>
      </c>
    </row>
    <row r="137" spans="1:5" x14ac:dyDescent="0.25">
      <c r="A137">
        <v>136</v>
      </c>
      <c r="B137">
        <v>9</v>
      </c>
      <c r="C137">
        <v>4</v>
      </c>
      <c r="E137" cm="1">
        <f t="array" ref="E137">_xlfn.IFS(E136=0,1,AND(E136=1,E135=1,E134=1),2,AND(E136=2,E135=2,E134=2),3,AND(E136=3,E135=3,E134=3),4,AND(E136=5,C136&gt;=20),0,AND(OR(E136=4,E136=5),OR(E135=4,E135=5),OR(E134=4,E134=5)), 5, TRUE,E136)</f>
        <v>1</v>
      </c>
    </row>
    <row r="138" spans="1:5" x14ac:dyDescent="0.25">
      <c r="A138">
        <v>137</v>
      </c>
      <c r="B138">
        <v>6.4</v>
      </c>
      <c r="C138">
        <v>3</v>
      </c>
      <c r="E138" cm="1">
        <f t="array" ref="E138">_xlfn.IFS(E137=0,1,AND(E137=1,E136=1,E135=1),2,AND(E137=2,E136=2,E135=2),3,AND(E137=3,E136=3,E135=3),4,AND(E137=5,C137&gt;=20),0,AND(OR(E137=4,E137=5),OR(E136=4,E136=5),OR(E135=4,E135=5)), 5, TRUE,E137)</f>
        <v>1</v>
      </c>
    </row>
    <row r="139" spans="1:5" x14ac:dyDescent="0.25">
      <c r="A139">
        <v>138</v>
      </c>
      <c r="B139">
        <v>3.6</v>
      </c>
      <c r="C139">
        <v>3</v>
      </c>
      <c r="E139" cm="1">
        <f t="array" ref="E139">_xlfn.IFS(E138=0,1,AND(E138=1,E137=1,E136=1),2,AND(E138=2,E137=2,E136=2),3,AND(E138=3,E137=3,E136=3),4,AND(E138=5,C138&gt;=20),0,AND(OR(E138=4,E138=5),OR(E137=4,E137=5),OR(E136=4,E136=5)), 5, TRUE,E138)</f>
        <v>1</v>
      </c>
    </row>
    <row r="140" spans="1:5" x14ac:dyDescent="0.25">
      <c r="A140">
        <v>139</v>
      </c>
      <c r="B140">
        <v>1.4</v>
      </c>
      <c r="C140">
        <v>4</v>
      </c>
      <c r="E140" cm="1">
        <f t="array" ref="E140">_xlfn.IFS(E139=0,1,AND(E139=1,E138=1,E137=1),2,AND(E139=2,E138=2,E137=2),3,AND(E139=3,E138=3,E137=3),4,AND(E139=5,C139&gt;=20),0,AND(OR(E139=4,E139=5),OR(E138=4,E138=5),OR(E137=4,E137=5)), 5, TRUE,E139)</f>
        <v>2</v>
      </c>
    </row>
    <row r="141" spans="1:5" x14ac:dyDescent="0.25">
      <c r="A141">
        <v>140</v>
      </c>
      <c r="B141">
        <v>0.5</v>
      </c>
      <c r="C141">
        <v>5</v>
      </c>
      <c r="E141" cm="1">
        <f t="array" ref="E141">_xlfn.IFS(E140=0,1,AND(E140=1,E139=1,E138=1),2,AND(E140=2,E139=2,E138=2),3,AND(E140=3,E139=3,E138=3),4,AND(E140=5,C140&gt;=20),0,AND(OR(E140=4,E140=5),OR(E139=4,E139=5),OR(E138=4,E138=5)), 5, TRUE,E140)</f>
        <v>2</v>
      </c>
    </row>
    <row r="142" spans="1:5" x14ac:dyDescent="0.25">
      <c r="A142">
        <v>141</v>
      </c>
      <c r="B142">
        <v>1.4</v>
      </c>
      <c r="C142">
        <v>1</v>
      </c>
      <c r="E142" cm="1">
        <f t="array" ref="E142">_xlfn.IFS(E141=0,1,AND(E141=1,E140=1,E139=1),2,AND(E141=2,E140=2,E139=2),3,AND(E141=3,E140=3,E139=3),4,AND(E141=5,C141&gt;=20),0,AND(OR(E141=4,E141=5),OR(E140=4,E140=5),OR(E139=4,E139=5)), 5, TRUE,E141)</f>
        <v>2</v>
      </c>
    </row>
    <row r="143" spans="1:5" x14ac:dyDescent="0.25">
      <c r="A143">
        <v>142</v>
      </c>
      <c r="B143">
        <v>3.9</v>
      </c>
      <c r="C143">
        <v>3</v>
      </c>
      <c r="E143" cm="1">
        <f t="array" ref="E143">_xlfn.IFS(E142=0,1,AND(E142=1,E141=1,E140=1),2,AND(E142=2,E141=2,E140=2),3,AND(E142=3,E141=3,E140=3),4,AND(E142=5,C142&gt;=20),0,AND(OR(E142=4,E142=5),OR(E141=4,E141=5),OR(E140=4,E140=5)), 5, TRUE,E142)</f>
        <v>3</v>
      </c>
    </row>
    <row r="144" spans="1:5" x14ac:dyDescent="0.25">
      <c r="A144">
        <v>143</v>
      </c>
      <c r="B144">
        <v>7.3</v>
      </c>
      <c r="C144">
        <v>13</v>
      </c>
      <c r="E144" cm="1">
        <f t="array" ref="E144">_xlfn.IFS(E143=0,1,AND(E143=1,E142=1,E141=1),2,AND(E143=2,E142=2,E141=2),3,AND(E143=3,E142=3,E141=3),4,AND(E143=5,C143&gt;=20),0,AND(OR(E143=4,E143=5),OR(E142=4,E142=5),OR(E141=4,E141=5)), 5, TRUE,E143)</f>
        <v>3</v>
      </c>
    </row>
    <row r="145" spans="1:5" x14ac:dyDescent="0.25">
      <c r="A145">
        <v>144</v>
      </c>
      <c r="B145">
        <v>10.9</v>
      </c>
      <c r="C145">
        <v>12</v>
      </c>
      <c r="E145" cm="1">
        <f t="array" ref="E145">_xlfn.IFS(E144=0,1,AND(E144=1,E143=1,E142=1),2,AND(E144=2,E143=2,E142=2),3,AND(E144=3,E143=3,E142=3),4,AND(E144=5,C144&gt;=20),0,AND(OR(E144=4,E144=5),OR(E143=4,E143=5),OR(E142=4,E142=5)), 5, TRUE,E144)</f>
        <v>3</v>
      </c>
    </row>
    <row r="146" spans="1:5" x14ac:dyDescent="0.25">
      <c r="A146">
        <v>145</v>
      </c>
      <c r="B146">
        <v>13.7</v>
      </c>
      <c r="C146">
        <v>9</v>
      </c>
      <c r="E146" cm="1">
        <f t="array" ref="E146">_xlfn.IFS(E145=0,1,AND(E145=1,E144=1,E143=1),2,AND(E145=2,E144=2,E143=2),3,AND(E145=3,E144=3,E143=3),4,AND(E145=5,C145&gt;=20),0,AND(OR(E145=4,E145=5),OR(E144=4,E144=5),OR(E143=4,E143=5)), 5, TRUE,E145)</f>
        <v>4</v>
      </c>
    </row>
    <row r="147" spans="1:5" x14ac:dyDescent="0.25">
      <c r="A147">
        <v>146</v>
      </c>
      <c r="B147">
        <v>15.1</v>
      </c>
      <c r="C147">
        <v>21</v>
      </c>
      <c r="E147" cm="1">
        <f t="array" ref="E147">_xlfn.IFS(E146=0,1,AND(E146=1,E145=1,E144=1),2,AND(E146=2,E145=2,E144=2),3,AND(E146=3,E145=3,E144=3),4,AND(E146=5,C146&gt;=20),0,AND(OR(E146=4,E146=5),OR(E145=4,E145=5),OR(E144=4,E144=5)), 5, TRUE,E146)</f>
        <v>4</v>
      </c>
    </row>
    <row r="148" spans="1:5" x14ac:dyDescent="0.25">
      <c r="A148">
        <v>147</v>
      </c>
      <c r="B148">
        <v>15.1</v>
      </c>
      <c r="C148">
        <v>14</v>
      </c>
      <c r="E148" cm="1">
        <f t="array" ref="E148">_xlfn.IFS(E147=0,1,AND(E147=1,E146=1,E145=1),2,AND(E147=2,E146=2,E145=2),3,AND(E147=3,E146=3,E145=3),4,AND(E147=5,C147&gt;=20),0,AND(OR(E147=4,E147=5),OR(E146=4,E146=5),OR(E145=4,E145=5)), 5, TRUE,E147)</f>
        <v>4</v>
      </c>
    </row>
    <row r="149" spans="1:5" x14ac:dyDescent="0.25">
      <c r="A149">
        <v>148</v>
      </c>
      <c r="B149">
        <v>13.9</v>
      </c>
      <c r="C149">
        <v>11</v>
      </c>
      <c r="E149" cm="1">
        <f t="array" ref="E149">_xlfn.IFS(E148=0,1,AND(E148=1,E147=1,E146=1),2,AND(E148=2,E147=2,E146=2),3,AND(E148=3,E147=3,E146=3),4,AND(E148=5,C148&gt;=20),0,AND(OR(E148=4,E148=5),OR(E147=4,E147=5),OR(E146=4,E146=5)), 5, TRUE,E148)</f>
        <v>5</v>
      </c>
    </row>
    <row r="150" spans="1:5" x14ac:dyDescent="0.25">
      <c r="A150">
        <v>149</v>
      </c>
      <c r="B150">
        <v>12.3</v>
      </c>
      <c r="C150">
        <v>20</v>
      </c>
      <c r="E150" cm="1">
        <f t="array" ref="E150">_xlfn.IFS(E149=0,1,AND(E149=1,E148=1,E147=1),2,AND(E149=2,E148=2,E147=2),3,AND(E149=3,E148=3,E147=3),4,AND(E149=5,C149&gt;=20),0,AND(OR(E149=4,E149=5),OR(E148=4,E148=5),OR(E147=4,E147=5)), 5, TRUE,E149)</f>
        <v>5</v>
      </c>
    </row>
    <row r="151" spans="1:5" x14ac:dyDescent="0.25">
      <c r="A151">
        <v>150</v>
      </c>
      <c r="B151">
        <v>11.2</v>
      </c>
      <c r="C151">
        <v>0</v>
      </c>
      <c r="E151" cm="1">
        <f t="array" ref="E151">_xlfn.IFS(E150=0,1,AND(E150=1,E149=1,E148=1),2,AND(E150=2,E149=2,E148=2),3,AND(E150=3,E149=3,E148=3),4,AND(E150=5,C150&gt;=20),0,AND(OR(E150=4,E150=5),OR(E149=4,E149=5),OR(E148=4,E148=5)), 5, TRUE,E150)</f>
        <v>0</v>
      </c>
    </row>
    <row r="152" spans="1:5" x14ac:dyDescent="0.25">
      <c r="A152">
        <v>151</v>
      </c>
      <c r="B152">
        <v>11.3</v>
      </c>
      <c r="C152">
        <v>6</v>
      </c>
      <c r="E152" cm="1">
        <f t="array" ref="E152">_xlfn.IFS(E151=0,1,AND(E151=1,E150=1,E149=1),2,AND(E151=2,E150=2,E149=2),3,AND(E151=3,E150=3,E149=3),4,AND(E151=5,C151&gt;=20),0,AND(OR(E151=4,E151=5),OR(E150=4,E150=5),OR(E149=4,E149=5)), 5, TRUE,E151)</f>
        <v>1</v>
      </c>
    </row>
    <row r="153" spans="1:5" x14ac:dyDescent="0.25">
      <c r="A153">
        <v>152</v>
      </c>
      <c r="B153">
        <v>12.9</v>
      </c>
      <c r="C153">
        <v>3</v>
      </c>
      <c r="E153" cm="1">
        <f t="array" ref="E153">_xlfn.IFS(E152=0,1,AND(E152=1,E151=1,E150=1),2,AND(E152=2,E151=2,E150=2),3,AND(E152=3,E151=3,E150=3),4,AND(E152=5,C152&gt;=20),0,AND(OR(E152=4,E152=5),OR(E151=4,E151=5),OR(E150=4,E150=5)), 5, TRUE,E152)</f>
        <v>1</v>
      </c>
    </row>
    <row r="154" spans="1:5" x14ac:dyDescent="0.25">
      <c r="A154">
        <v>153</v>
      </c>
      <c r="B154">
        <v>16</v>
      </c>
      <c r="C154">
        <v>6</v>
      </c>
      <c r="E154" cm="1">
        <f t="array" ref="E154">_xlfn.IFS(E153=0,1,AND(E153=1,E152=1,E151=1),2,AND(E153=2,E152=2,E151=2),3,AND(E153=3,E152=3,E151=3),4,AND(E153=5,C153&gt;=20),0,AND(OR(E153=4,E153=5),OR(E152=4,E152=5),OR(E151=4,E151=5)), 5, TRUE,E153)</f>
        <v>1</v>
      </c>
    </row>
    <row r="155" spans="1:5" x14ac:dyDescent="0.25">
      <c r="A155">
        <v>154</v>
      </c>
      <c r="B155">
        <v>19.8</v>
      </c>
      <c r="C155">
        <v>2</v>
      </c>
      <c r="E155" cm="1">
        <f t="array" ref="E155">_xlfn.IFS(E154=0,1,AND(E154=1,E153=1,E152=1),2,AND(E154=2,E153=2,E152=2),3,AND(E154=3,E153=3,E152=3),4,AND(E154=5,C154&gt;=20),0,AND(OR(E154=4,E154=5),OR(E153=4,E153=5),OR(E152=4,E152=5)), 5, TRUE,E154)</f>
        <v>2</v>
      </c>
    </row>
    <row r="156" spans="1:5" x14ac:dyDescent="0.25">
      <c r="A156">
        <v>155</v>
      </c>
      <c r="B156">
        <v>23.6</v>
      </c>
      <c r="C156">
        <v>11</v>
      </c>
      <c r="E156" cm="1">
        <f t="array" ref="E156">_xlfn.IFS(E155=0,1,AND(E155=1,E154=1,E153=1),2,AND(E155=2,E154=2,E153=2),3,AND(E155=3,E154=3,E153=3),4,AND(E155=5,C155&gt;=20),0,AND(OR(E155=4,E155=5),OR(E154=4,E154=5),OR(E153=4,E153=5)), 5, TRUE,E155)</f>
        <v>2</v>
      </c>
    </row>
    <row r="157" spans="1:5" x14ac:dyDescent="0.25">
      <c r="A157">
        <v>156</v>
      </c>
      <c r="B157">
        <v>26.4</v>
      </c>
      <c r="C157">
        <v>11</v>
      </c>
      <c r="E157" cm="1">
        <f t="array" ref="E157">_xlfn.IFS(E156=0,1,AND(E156=1,E155=1,E154=1),2,AND(E156=2,E155=2,E154=2),3,AND(E156=3,E155=3,E154=3),4,AND(E156=5,C156&gt;=20),0,AND(OR(E156=4,E156=5),OR(E155=4,E155=5),OR(E154=4,E154=5)), 5, TRUE,E156)</f>
        <v>2</v>
      </c>
    </row>
    <row r="158" spans="1:5" x14ac:dyDescent="0.25">
      <c r="A158">
        <v>157</v>
      </c>
      <c r="B158">
        <v>27.7</v>
      </c>
      <c r="C158">
        <v>5</v>
      </c>
      <c r="E158" cm="1">
        <f t="array" ref="E158">_xlfn.IFS(E157=0,1,AND(E157=1,E156=1,E155=1),2,AND(E157=2,E156=2,E155=2),3,AND(E157=3,E156=3,E155=3),4,AND(E157=5,C157&gt;=20),0,AND(OR(E157=4,E157=5),OR(E156=4,E156=5),OR(E155=4,E155=5)), 5, TRUE,E157)</f>
        <v>3</v>
      </c>
    </row>
    <row r="159" spans="1:5" x14ac:dyDescent="0.25">
      <c r="A159">
        <v>158</v>
      </c>
      <c r="B159">
        <v>27.2</v>
      </c>
      <c r="C159">
        <v>18</v>
      </c>
      <c r="E159" cm="1">
        <f t="array" ref="E159">_xlfn.IFS(E158=0,1,AND(E158=1,E157=1,E156=1),2,AND(E158=2,E157=2,E156=2),3,AND(E158=3,E157=3,E156=3),4,AND(E158=5,C158&gt;=20),0,AND(OR(E158=4,E158=5),OR(E157=4,E157=5),OR(E156=4,E156=5)), 5, TRUE,E158)</f>
        <v>3</v>
      </c>
    </row>
    <row r="160" spans="1:5" x14ac:dyDescent="0.25">
      <c r="A160">
        <v>159</v>
      </c>
      <c r="B160">
        <v>25.5</v>
      </c>
      <c r="C160">
        <v>5</v>
      </c>
      <c r="E160" cm="1">
        <f t="array" ref="E160">_xlfn.IFS(E159=0,1,AND(E159=1,E158=1,E157=1),2,AND(E159=2,E158=2,E157=2),3,AND(E159=3,E158=3,E157=3),4,AND(E159=5,C159&gt;=20),0,AND(OR(E159=4,E159=5),OR(E158=4,E158=5),OR(E157=4,E157=5)), 5, TRUE,E159)</f>
        <v>3</v>
      </c>
    </row>
    <row r="161" spans="1:5" x14ac:dyDescent="0.25">
      <c r="A161">
        <v>160</v>
      </c>
      <c r="B161">
        <v>23.1</v>
      </c>
      <c r="C161">
        <v>8</v>
      </c>
      <c r="E161" cm="1">
        <f t="array" ref="E161">_xlfn.IFS(E160=0,1,AND(E160=1,E159=1,E158=1),2,AND(E160=2,E159=2,E158=2),3,AND(E160=3,E159=3,E158=3),4,AND(E160=5,C160&gt;=20),0,AND(OR(E160=4,E160=5),OR(E159=4,E159=5),OR(E158=4,E158=5)), 5, TRUE,E160)</f>
        <v>4</v>
      </c>
    </row>
    <row r="162" spans="1:5" x14ac:dyDescent="0.25">
      <c r="A162">
        <v>161</v>
      </c>
      <c r="B162">
        <v>21</v>
      </c>
      <c r="C162">
        <v>22</v>
      </c>
      <c r="E162" cm="1">
        <f t="array" ref="E162">_xlfn.IFS(E161=0,1,AND(E161=1,E160=1,E159=1),2,AND(E161=2,E160=2,E159=2),3,AND(E161=3,E160=3,E159=3),4,AND(E161=5,C161&gt;=20),0,AND(OR(E161=4,E161=5),OR(E160=4,E160=5),OR(E159=4,E159=5)), 5, TRUE,E161)</f>
        <v>4</v>
      </c>
    </row>
    <row r="163" spans="1:5" x14ac:dyDescent="0.25">
      <c r="A163">
        <v>162</v>
      </c>
      <c r="B163">
        <v>20</v>
      </c>
      <c r="C163">
        <v>19</v>
      </c>
      <c r="E163" cm="1">
        <f t="array" ref="E163">_xlfn.IFS(E162=0,1,AND(E162=1,E161=1,E160=1),2,AND(E162=2,E161=2,E160=2),3,AND(E162=3,E161=3,E160=3),4,AND(E162=5,C162&gt;=20),0,AND(OR(E162=4,E162=5),OR(E161=4,E161=5),OR(E160=4,E160=5)), 5, TRUE,E162)</f>
        <v>4</v>
      </c>
    </row>
    <row r="164" spans="1:5" x14ac:dyDescent="0.25">
      <c r="A164">
        <v>163</v>
      </c>
      <c r="B164">
        <v>20.399999999999999</v>
      </c>
      <c r="C164">
        <v>23</v>
      </c>
      <c r="E164" cm="1">
        <f t="array" ref="E164">_xlfn.IFS(E163=0,1,AND(E163=1,E162=1,E161=1),2,AND(E163=2,E162=2,E161=2),3,AND(E163=3,E162=3,E161=3),4,AND(E163=5,C163&gt;=20),0,AND(OR(E163=4,E163=5),OR(E162=4,E162=5),OR(E161=4,E161=5)), 5, TRUE,E163)</f>
        <v>5</v>
      </c>
    </row>
    <row r="165" spans="1:5" x14ac:dyDescent="0.25">
      <c r="A165">
        <v>164</v>
      </c>
      <c r="B165">
        <v>22.1</v>
      </c>
      <c r="C165">
        <v>0</v>
      </c>
      <c r="E165" cm="1">
        <f t="array" ref="E165">_xlfn.IFS(E164=0,1,AND(E164=1,E163=1,E162=1),2,AND(E164=2,E163=2,E162=2),3,AND(E164=3,E163=3,E162=3),4,AND(E164=5,C164&gt;=20),0,AND(OR(E164=4,E164=5),OR(E163=4,E163=5),OR(E162=4,E162=5)), 5, TRUE,E164)</f>
        <v>0</v>
      </c>
    </row>
    <row r="166" spans="1:5" x14ac:dyDescent="0.25">
      <c r="A166">
        <v>165</v>
      </c>
      <c r="B166">
        <v>24.5</v>
      </c>
      <c r="C166">
        <v>1</v>
      </c>
      <c r="E166" cm="1">
        <f t="array" ref="E166">_xlfn.IFS(E165=0,1,AND(E165=1,E164=1,E163=1),2,AND(E165=2,E164=2,E163=2),3,AND(E165=3,E164=3,E163=3),4,AND(E165=5,C165&gt;=20),0,AND(OR(E165=4,E165=5),OR(E164=4,E164=5),OR(E163=4,E163=5)), 5, TRUE,E165)</f>
        <v>1</v>
      </c>
    </row>
    <row r="167" spans="1:5" x14ac:dyDescent="0.25">
      <c r="A167">
        <v>166</v>
      </c>
      <c r="B167">
        <v>26.8</v>
      </c>
      <c r="C167">
        <v>2</v>
      </c>
      <c r="E167" cm="1">
        <f t="array" ref="E167">_xlfn.IFS(E166=0,1,AND(E166=1,E165=1,E164=1),2,AND(E166=2,E165=2,E164=2),3,AND(E166=3,E165=3,E164=3),4,AND(E166=5,C166&gt;=20),0,AND(OR(E166=4,E166=5),OR(E165=4,E165=5),OR(E164=4,E164=5)), 5, TRUE,E166)</f>
        <v>1</v>
      </c>
    </row>
    <row r="168" spans="1:5" x14ac:dyDescent="0.25">
      <c r="A168">
        <v>167</v>
      </c>
      <c r="B168">
        <v>28</v>
      </c>
      <c r="C168">
        <v>4</v>
      </c>
      <c r="E168" cm="1">
        <f t="array" ref="E168">_xlfn.IFS(E167=0,1,AND(E167=1,E166=1,E165=1),2,AND(E167=2,E166=2,E165=2),3,AND(E167=3,E166=3,E165=3),4,AND(E167=5,C167&gt;=20),0,AND(OR(E167=4,E167=5),OR(E166=4,E166=5),OR(E165=4,E165=5)), 5, TRUE,E167)</f>
        <v>1</v>
      </c>
    </row>
    <row r="169" spans="1:5" x14ac:dyDescent="0.25">
      <c r="A169">
        <v>168</v>
      </c>
      <c r="B169">
        <v>27.7</v>
      </c>
      <c r="C169">
        <v>8</v>
      </c>
      <c r="E169" cm="1">
        <f t="array" ref="E169">_xlfn.IFS(E168=0,1,AND(E168=1,E167=1,E166=1),2,AND(E168=2,E167=2,E166=2),3,AND(E168=3,E167=3,E166=3),4,AND(E168=5,C168&gt;=20),0,AND(OR(E168=4,E168=5),OR(E167=4,E167=5),OR(E166=4,E166=5)), 5, TRUE,E168)</f>
        <v>2</v>
      </c>
    </row>
    <row r="170" spans="1:5" x14ac:dyDescent="0.25">
      <c r="A170">
        <v>169</v>
      </c>
      <c r="B170">
        <v>25.6</v>
      </c>
      <c r="C170">
        <v>4</v>
      </c>
      <c r="E170" cm="1">
        <f t="array" ref="E170">_xlfn.IFS(E169=0,1,AND(E169=1,E168=1,E167=1),2,AND(E169=2,E168=2,E167=2),3,AND(E169=3,E168=3,E167=3),4,AND(E169=5,C169&gt;=20),0,AND(OR(E169=4,E169=5),OR(E168=4,E168=5),OR(E167=4,E167=5)), 5, TRUE,E169)</f>
        <v>2</v>
      </c>
    </row>
    <row r="171" spans="1:5" x14ac:dyDescent="0.25">
      <c r="A171">
        <v>170</v>
      </c>
      <c r="B171">
        <v>22.3</v>
      </c>
      <c r="C171">
        <v>7</v>
      </c>
      <c r="E171" cm="1">
        <f t="array" ref="E171">_xlfn.IFS(E170=0,1,AND(E170=1,E169=1,E168=1),2,AND(E170=2,E169=2,E168=2),3,AND(E170=3,E169=3,E168=3),4,AND(E170=5,C170&gt;=20),0,AND(OR(E170=4,E170=5),OR(E169=4,E169=5),OR(E168=4,E168=5)), 5, TRUE,E170)</f>
        <v>2</v>
      </c>
    </row>
    <row r="172" spans="1:5" x14ac:dyDescent="0.25">
      <c r="A172">
        <v>171</v>
      </c>
      <c r="B172">
        <v>18.399999999999999</v>
      </c>
      <c r="C172">
        <v>6</v>
      </c>
      <c r="E172" cm="1">
        <f t="array" ref="E172">_xlfn.IFS(E171=0,1,AND(E171=1,E170=1,E169=1),2,AND(E171=2,E170=2,E169=2),3,AND(E171=3,E170=3,E169=3),4,AND(E171=5,C171&gt;=20),0,AND(OR(E171=4,E171=5),OR(E170=4,E170=5),OR(E169=4,E169=5)), 5, TRUE,E171)</f>
        <v>3</v>
      </c>
    </row>
    <row r="173" spans="1:5" x14ac:dyDescent="0.25">
      <c r="A173">
        <v>172</v>
      </c>
      <c r="B173">
        <v>14.9</v>
      </c>
      <c r="C173">
        <v>18</v>
      </c>
      <c r="E173" cm="1">
        <f t="array" ref="E173">_xlfn.IFS(E172=0,1,AND(E172=1,E171=1,E170=1),2,AND(E172=2,E171=2,E170=2),3,AND(E172=3,E171=3,E170=3),4,AND(E172=5,C172&gt;=20),0,AND(OR(E172=4,E172=5),OR(E171=4,E171=5),OR(E170=4,E170=5)), 5, TRUE,E172)</f>
        <v>3</v>
      </c>
    </row>
    <row r="174" spans="1:5" x14ac:dyDescent="0.25">
      <c r="A174">
        <v>173</v>
      </c>
      <c r="B174">
        <v>12.5</v>
      </c>
      <c r="C174">
        <v>6</v>
      </c>
      <c r="E174" cm="1">
        <f t="array" ref="E174">_xlfn.IFS(E173=0,1,AND(E173=1,E172=1,E171=1),2,AND(E173=2,E172=2,E171=2),3,AND(E173=3,E172=3,E171=3),4,AND(E173=5,C173&gt;=20),0,AND(OR(E173=4,E173=5),OR(E172=4,E172=5),OR(E171=4,E171=5)), 5, TRUE,E173)</f>
        <v>3</v>
      </c>
    </row>
    <row r="175" spans="1:5" x14ac:dyDescent="0.25">
      <c r="A175">
        <v>174</v>
      </c>
      <c r="B175">
        <v>11.7</v>
      </c>
      <c r="C175">
        <v>20</v>
      </c>
      <c r="E175" cm="1">
        <f t="array" ref="E175">_xlfn.IFS(E174=0,1,AND(E174=1,E173=1,E172=1),2,AND(E174=2,E173=2,E172=2),3,AND(E174=3,E173=3,E172=3),4,AND(E174=5,C174&gt;=20),0,AND(OR(E174=4,E174=5),OR(E173=4,E173=5),OR(E172=4,E172=5)), 5, TRUE,E174)</f>
        <v>4</v>
      </c>
    </row>
    <row r="176" spans="1:5" x14ac:dyDescent="0.25">
      <c r="A176">
        <v>175</v>
      </c>
      <c r="B176">
        <v>12.3</v>
      </c>
      <c r="C176">
        <v>14</v>
      </c>
      <c r="E176" cm="1">
        <f t="array" ref="E176">_xlfn.IFS(E175=0,1,AND(E175=1,E174=1,E173=1),2,AND(E175=2,E174=2,E173=2),3,AND(E175=3,E174=3,E173=3),4,AND(E175=5,C175&gt;=20),0,AND(OR(E175=4,E175=5),OR(E174=4,E174=5),OR(E173=4,E173=5)), 5, TRUE,E175)</f>
        <v>4</v>
      </c>
    </row>
    <row r="177" spans="1:5" x14ac:dyDescent="0.25">
      <c r="A177">
        <v>176</v>
      </c>
      <c r="B177">
        <v>13.7</v>
      </c>
      <c r="C177">
        <v>22</v>
      </c>
      <c r="E177" cm="1">
        <f t="array" ref="E177">_xlfn.IFS(E176=0,1,AND(E176=1,E175=1,E174=1),2,AND(E176=2,E175=2,E174=2),3,AND(E176=3,E175=3,E174=3),4,AND(E176=5,C176&gt;=20),0,AND(OR(E176=4,E176=5),OR(E175=4,E175=5),OR(E174=4,E174=5)), 5, TRUE,E176)</f>
        <v>4</v>
      </c>
    </row>
    <row r="178" spans="1:5" x14ac:dyDescent="0.25">
      <c r="A178">
        <v>177</v>
      </c>
      <c r="B178">
        <v>15.2</v>
      </c>
      <c r="C178">
        <v>23</v>
      </c>
      <c r="E178" cm="1">
        <f t="array" ref="E178">_xlfn.IFS(E177=0,1,AND(E177=1,E176=1,E175=1),2,AND(E177=2,E176=2,E175=2),3,AND(E177=3,E176=3,E175=3),4,AND(E177=5,C177&gt;=20),0,AND(OR(E177=4,E177=5),OR(E176=4,E176=5),OR(E175=4,E175=5)), 5, TRUE,E177)</f>
        <v>5</v>
      </c>
    </row>
    <row r="179" spans="1:5" x14ac:dyDescent="0.25">
      <c r="A179">
        <v>178</v>
      </c>
      <c r="B179">
        <v>15.9</v>
      </c>
      <c r="C179">
        <v>0</v>
      </c>
      <c r="E179" cm="1">
        <f t="array" ref="E179">_xlfn.IFS(E178=0,1,AND(E178=1,E177=1,E176=1),2,AND(E178=2,E177=2,E176=2),3,AND(E178=3,E177=3,E176=3),4,AND(E178=5,C178&gt;=20),0,AND(OR(E178=4,E178=5),OR(E177=4,E177=5),OR(E176=4,E176=5)), 5, TRUE,E178)</f>
        <v>0</v>
      </c>
    </row>
    <row r="180" spans="1:5" x14ac:dyDescent="0.25">
      <c r="A180">
        <v>179</v>
      </c>
      <c r="B180">
        <v>15.1</v>
      </c>
      <c r="C180">
        <v>1</v>
      </c>
      <c r="E180" cm="1">
        <f t="array" ref="E180">_xlfn.IFS(E179=0,1,AND(E179=1,E178=1,E177=1),2,AND(E179=2,E178=2,E177=2),3,AND(E179=3,E178=3,E177=3),4,AND(E179=5,C179&gt;=20),0,AND(OR(E179=4,E179=5),OR(E178=4,E178=5),OR(E177=4,E177=5)), 5, TRUE,E179)</f>
        <v>1</v>
      </c>
    </row>
    <row r="181" spans="1:5" x14ac:dyDescent="0.25">
      <c r="A181">
        <v>180</v>
      </c>
      <c r="B181">
        <v>12.9</v>
      </c>
      <c r="C181">
        <v>1</v>
      </c>
      <c r="E181" cm="1">
        <f t="array" ref="E181">_xlfn.IFS(E180=0,1,AND(E180=1,E179=1,E178=1),2,AND(E180=2,E179=2,E178=2),3,AND(E180=3,E179=3,E178=3),4,AND(E180=5,C180&gt;=20),0,AND(OR(E180=4,E180=5),OR(E179=4,E179=5),OR(E178=4,E178=5)), 5, TRUE,E180)</f>
        <v>1</v>
      </c>
    </row>
    <row r="182" spans="1:5" x14ac:dyDescent="0.25">
      <c r="A182">
        <v>181</v>
      </c>
      <c r="B182">
        <v>9.6</v>
      </c>
      <c r="C182">
        <v>1</v>
      </c>
      <c r="E182" cm="1">
        <f t="array" ref="E182">_xlfn.IFS(E181=0,1,AND(E181=1,E180=1,E179=1),2,AND(E181=2,E180=2,E179=2),3,AND(E181=3,E180=3,E179=3),4,AND(E181=5,C181&gt;=20),0,AND(OR(E181=4,E181=5),OR(E180=4,E180=5),OR(E179=4,E179=5)), 5, TRUE,E181)</f>
        <v>1</v>
      </c>
    </row>
    <row r="183" spans="1:5" x14ac:dyDescent="0.25">
      <c r="A183">
        <v>182</v>
      </c>
      <c r="B183">
        <v>5.9</v>
      </c>
      <c r="C183">
        <v>2</v>
      </c>
      <c r="E183" cm="1">
        <f t="array" ref="E183">_xlfn.IFS(E182=0,1,AND(E182=1,E181=1,E180=1),2,AND(E182=2,E181=2,E180=2),3,AND(E182=3,E181=3,E180=3),4,AND(E182=5,C182&gt;=20),0,AND(OR(E182=4,E182=5),OR(E181=4,E181=5),OR(E180=4,E180=5)), 5, TRUE,E182)</f>
        <v>2</v>
      </c>
    </row>
    <row r="184" spans="1:5" x14ac:dyDescent="0.25">
      <c r="A184">
        <v>183</v>
      </c>
      <c r="B184">
        <v>2.8</v>
      </c>
      <c r="C184">
        <v>6</v>
      </c>
      <c r="E184" cm="1">
        <f t="array" ref="E184">_xlfn.IFS(E183=0,1,AND(E183=1,E182=1,E181=1),2,AND(E183=2,E182=2,E181=2),3,AND(E183=3,E182=3,E181=3),4,AND(E183=5,C183&gt;=20),0,AND(OR(E183=4,E183=5),OR(E182=4,E182=5),OR(E181=4,E181=5)), 5, TRUE,E183)</f>
        <v>2</v>
      </c>
    </row>
    <row r="185" spans="1:5" x14ac:dyDescent="0.25">
      <c r="A185">
        <v>184</v>
      </c>
      <c r="B185">
        <v>1</v>
      </c>
      <c r="C185">
        <v>9</v>
      </c>
      <c r="E185" cm="1">
        <f t="array" ref="E185">_xlfn.IFS(E184=0,1,AND(E184=1,E183=1,E182=1),2,AND(E184=2,E183=2,E182=2),3,AND(E184=3,E183=3,E182=3),4,AND(E184=5,C184&gt;=20),0,AND(OR(E184=4,E184=5),OR(E183=4,E183=5),OR(E182=4,E182=5)), 5, TRUE,E184)</f>
        <v>2</v>
      </c>
    </row>
    <row r="186" spans="1:5" x14ac:dyDescent="0.25">
      <c r="A186">
        <v>185</v>
      </c>
      <c r="B186">
        <v>0.9</v>
      </c>
      <c r="C186">
        <v>6</v>
      </c>
      <c r="E186" cm="1">
        <f t="array" ref="E186">_xlfn.IFS(E185=0,1,AND(E185=1,E184=1,E183=1),2,AND(E185=2,E184=2,E183=2),3,AND(E185=3,E184=3,E183=3),4,AND(E185=5,C185&gt;=20),0,AND(OR(E185=4,E185=5),OR(E184=4,E184=5),OR(E183=4,E183=5)), 5, TRUE,E185)</f>
        <v>3</v>
      </c>
    </row>
    <row r="187" spans="1:5" x14ac:dyDescent="0.25">
      <c r="A187">
        <v>186</v>
      </c>
      <c r="B187">
        <v>2.5</v>
      </c>
      <c r="C187">
        <v>1</v>
      </c>
      <c r="E187" cm="1">
        <f t="array" ref="E187">_xlfn.IFS(E186=0,1,AND(E186=1,E185=1,E184=1),2,AND(E186=2,E185=2,E184=2),3,AND(E186=3,E185=3,E184=3),4,AND(E186=5,C186&gt;=20),0,AND(OR(E186=4,E186=5),OR(E185=4,E185=5),OR(E184=4,E184=5)), 5, TRUE,E186)</f>
        <v>3</v>
      </c>
    </row>
    <row r="188" spans="1:5" x14ac:dyDescent="0.25">
      <c r="A188">
        <v>187</v>
      </c>
      <c r="B188">
        <v>5</v>
      </c>
      <c r="C188">
        <v>3</v>
      </c>
      <c r="E188" cm="1">
        <f t="array" ref="E188">_xlfn.IFS(E187=0,1,AND(E187=1,E186=1,E185=1),2,AND(E187=2,E186=2,E185=2),3,AND(E187=3,E186=3,E185=3),4,AND(E187=5,C187&gt;=20),0,AND(OR(E187=4,E187=5),OR(E186=4,E186=5),OR(E185=4,E185=5)), 5, TRUE,E187)</f>
        <v>3</v>
      </c>
    </row>
    <row r="189" spans="1:5" x14ac:dyDescent="0.25">
      <c r="A189">
        <v>188</v>
      </c>
      <c r="B189">
        <v>7.7</v>
      </c>
      <c r="C189">
        <v>7</v>
      </c>
      <c r="E189" cm="1">
        <f t="array" ref="E189">_xlfn.IFS(E188=0,1,AND(E188=1,E187=1,E186=1),2,AND(E188=2,E187=2,E186=2),3,AND(E188=3,E187=3,E186=3),4,AND(E188=5,C188&gt;=20),0,AND(OR(E188=4,E188=5),OR(E187=4,E187=5),OR(E186=4,E186=5)), 5, TRUE,E188)</f>
        <v>4</v>
      </c>
    </row>
    <row r="190" spans="1:5" x14ac:dyDescent="0.25">
      <c r="A190">
        <v>189</v>
      </c>
      <c r="B190">
        <v>9.6999999999999993</v>
      </c>
      <c r="C190">
        <v>6</v>
      </c>
      <c r="E190" cm="1">
        <f t="array" ref="E190">_xlfn.IFS(E189=0,1,AND(E189=1,E188=1,E187=1),2,AND(E189=2,E188=2,E187=2),3,AND(E189=3,E188=3,E187=3),4,AND(E189=5,C189&gt;=20),0,AND(OR(E189=4,E189=5),OR(E188=4,E188=5),OR(E187=4,E187=5)), 5, TRUE,E189)</f>
        <v>4</v>
      </c>
    </row>
    <row r="191" spans="1:5" x14ac:dyDescent="0.25">
      <c r="A191">
        <v>190</v>
      </c>
      <c r="B191">
        <v>10.4</v>
      </c>
      <c r="C191">
        <v>3</v>
      </c>
      <c r="E191" cm="1">
        <f t="array" ref="E191">_xlfn.IFS(E190=0,1,AND(E190=1,E189=1,E188=1),2,AND(E190=2,E189=2,E188=2),3,AND(E190=3,E189=3,E188=3),4,AND(E190=5,C190&gt;=20),0,AND(OR(E190=4,E190=5),OR(E189=4,E189=5),OR(E188=4,E188=5)), 5, TRUE,E190)</f>
        <v>4</v>
      </c>
    </row>
    <row r="192" spans="1:5" x14ac:dyDescent="0.25">
      <c r="A192">
        <v>191</v>
      </c>
      <c r="B192">
        <v>9.6999999999999993</v>
      </c>
      <c r="C192">
        <v>22</v>
      </c>
      <c r="E192" cm="1">
        <f t="array" ref="E192">_xlfn.IFS(E191=0,1,AND(E191=1,E190=1,E189=1),2,AND(E191=2,E190=2,E189=2),3,AND(E191=3,E190=3,E189=3),4,AND(E191=5,C191&gt;=20),0,AND(OR(E191=4,E191=5),OR(E190=4,E190=5),OR(E189=4,E189=5)), 5, TRUE,E191)</f>
        <v>5</v>
      </c>
    </row>
    <row r="193" spans="1:5" x14ac:dyDescent="0.25">
      <c r="A193">
        <v>192</v>
      </c>
      <c r="B193">
        <v>8</v>
      </c>
      <c r="C193">
        <v>0</v>
      </c>
      <c r="E193" cm="1">
        <f t="array" ref="E193">_xlfn.IFS(E192=0,1,AND(E192=1,E191=1,E190=1),2,AND(E192=2,E191=2,E190=2),3,AND(E192=3,E191=3,E190=3),4,AND(E192=5,C192&gt;=20),0,AND(OR(E192=4,E192=5),OR(E191=4,E191=5),OR(E190=4,E190=5)), 5, TRUE,E192)</f>
        <v>0</v>
      </c>
    </row>
    <row r="194" spans="1:5" x14ac:dyDescent="0.25">
      <c r="A194">
        <v>193</v>
      </c>
      <c r="B194">
        <v>5.9</v>
      </c>
      <c r="C194">
        <v>3</v>
      </c>
      <c r="E194" cm="1">
        <f t="array" ref="E194">_xlfn.IFS(E193=0,1,AND(E193=1,E192=1,E191=1),2,AND(E193=2,E192=2,E191=2),3,AND(E193=3,E192=3,E191=3),4,AND(E193=5,C193&gt;=20),0,AND(OR(E193=4,E193=5),OR(E192=4,E192=5),OR(E191=4,E191=5)), 5, TRUE,E193)</f>
        <v>1</v>
      </c>
    </row>
    <row r="195" spans="1:5" x14ac:dyDescent="0.25">
      <c r="A195">
        <v>194</v>
      </c>
      <c r="B195">
        <v>4.4000000000000004</v>
      </c>
      <c r="C195">
        <v>4</v>
      </c>
      <c r="E195" cm="1">
        <f t="array" ref="E195">_xlfn.IFS(E194=0,1,AND(E194=1,E193=1,E192=1),2,AND(E194=2,E193=2,E192=2),3,AND(E194=3,E193=3,E192=3),4,AND(E194=5,C194&gt;=20),0,AND(OR(E194=4,E194=5),OR(E193=4,E193=5),OR(E192=4,E192=5)), 5, TRUE,E194)</f>
        <v>1</v>
      </c>
    </row>
    <row r="196" spans="1:5" x14ac:dyDescent="0.25">
      <c r="A196">
        <v>195</v>
      </c>
      <c r="B196">
        <v>4.2</v>
      </c>
      <c r="C196">
        <v>6</v>
      </c>
      <c r="E196" cm="1">
        <f t="array" ref="E196">_xlfn.IFS(E195=0,1,AND(E195=1,E194=1,E193=1),2,AND(E195=2,E194=2,E193=2),3,AND(E195=3,E194=3,E193=3),4,AND(E195=5,C195&gt;=20),0,AND(OR(E195=4,E195=5),OR(E194=4,E194=5),OR(E193=4,E193=5)), 5, TRUE,E195)</f>
        <v>1</v>
      </c>
    </row>
    <row r="197" spans="1:5" x14ac:dyDescent="0.25">
      <c r="A197">
        <v>196</v>
      </c>
      <c r="B197">
        <v>5.6</v>
      </c>
      <c r="C197">
        <v>8</v>
      </c>
      <c r="E197" cm="1">
        <f t="array" ref="E197">_xlfn.IFS(E196=0,1,AND(E196=1,E195=1,E194=1),2,AND(E196=2,E195=2,E194=2),3,AND(E196=3,E195=3,E194=3),4,AND(E196=5,C196&gt;=20),0,AND(OR(E196=4,E196=5),OR(E195=4,E195=5),OR(E194=4,E194=5)), 5, TRUE,E196)</f>
        <v>2</v>
      </c>
    </row>
    <row r="198" spans="1:5" x14ac:dyDescent="0.25">
      <c r="A198">
        <v>197</v>
      </c>
      <c r="B198">
        <v>8.6</v>
      </c>
      <c r="C198">
        <v>12</v>
      </c>
      <c r="E198" cm="1">
        <f t="array" ref="E198">_xlfn.IFS(E197=0,1,AND(E197=1,E196=1,E195=1),2,AND(E197=2,E196=2,E195=2),3,AND(E197=3,E196=3,E195=3),4,AND(E197=5,C197&gt;=20),0,AND(OR(E197=4,E197=5),OR(E196=4,E196=5),OR(E195=4,E195=5)), 5, TRUE,E197)</f>
        <v>2</v>
      </c>
    </row>
    <row r="199" spans="1:5" x14ac:dyDescent="0.25">
      <c r="A199">
        <v>198</v>
      </c>
      <c r="B199">
        <v>12.5</v>
      </c>
      <c r="C199">
        <v>9</v>
      </c>
      <c r="E199" cm="1">
        <f t="array" ref="E199">_xlfn.IFS(E198=0,1,AND(E198=1,E197=1,E196=1),2,AND(E198=2,E197=2,E196=2),3,AND(E198=3,E197=3,E196=3),4,AND(E198=5,C198&gt;=20),0,AND(OR(E198=4,E198=5),OR(E197=4,E197=5),OR(E196=4,E196=5)), 5, TRUE,E198)</f>
        <v>2</v>
      </c>
    </row>
    <row r="200" spans="1:5" x14ac:dyDescent="0.25">
      <c r="A200">
        <v>199</v>
      </c>
      <c r="B200">
        <v>16.399999999999999</v>
      </c>
      <c r="C200">
        <v>14</v>
      </c>
      <c r="E200" cm="1">
        <f t="array" ref="E200">_xlfn.IFS(E199=0,1,AND(E199=1,E198=1,E197=1),2,AND(E199=2,E198=2,E197=2),3,AND(E199=3,E198=3,E197=3),4,AND(E199=5,C199&gt;=20),0,AND(OR(E199=4,E199=5),OR(E198=4,E198=5),OR(E197=4,E197=5)), 5, TRUE,E199)</f>
        <v>3</v>
      </c>
    </row>
    <row r="201" spans="1:5" x14ac:dyDescent="0.25">
      <c r="A201">
        <v>200</v>
      </c>
      <c r="B201">
        <v>19.5</v>
      </c>
      <c r="C201">
        <v>12</v>
      </c>
      <c r="E201" cm="1">
        <f t="array" ref="E201">_xlfn.IFS(E200=0,1,AND(E200=1,E199=1,E198=1),2,AND(E200=2,E199=2,E198=2),3,AND(E200=3,E199=3,E198=3),4,AND(E200=5,C200&gt;=20),0,AND(OR(E200=4,E200=5),OR(E199=4,E199=5),OR(E198=4,E198=5)), 5, TRUE,E200)</f>
        <v>3</v>
      </c>
    </row>
    <row r="202" spans="1:5" x14ac:dyDescent="0.25">
      <c r="A202">
        <v>201</v>
      </c>
      <c r="B202">
        <v>21.2</v>
      </c>
      <c r="C202">
        <v>1</v>
      </c>
      <c r="E202" cm="1">
        <f t="array" ref="E202">_xlfn.IFS(E201=0,1,AND(E201=1,E200=1,E199=1),2,AND(E201=2,E200=2,E199=2),3,AND(E201=3,E200=3,E199=3),4,AND(E201=5,C201&gt;=20),0,AND(OR(E201=4,E201=5),OR(E200=4,E200=5),OR(E199=4,E199=5)), 5, TRUE,E201)</f>
        <v>3</v>
      </c>
    </row>
    <row r="203" spans="1:5" x14ac:dyDescent="0.25">
      <c r="A203">
        <v>202</v>
      </c>
      <c r="B203">
        <v>21.3</v>
      </c>
      <c r="C203">
        <v>11</v>
      </c>
      <c r="E203" cm="1">
        <f t="array" ref="E203">_xlfn.IFS(E202=0,1,AND(E202=1,E201=1,E200=1),2,AND(E202=2,E201=2,E200=2),3,AND(E202=3,E201=3,E200=3),4,AND(E202=5,C202&gt;=20),0,AND(OR(E202=4,E202=5),OR(E201=4,E201=5),OR(E200=4,E200=5)), 5, TRUE,E202)</f>
        <v>4</v>
      </c>
    </row>
    <row r="204" spans="1:5" x14ac:dyDescent="0.25">
      <c r="A204">
        <v>203</v>
      </c>
      <c r="B204">
        <v>20.100000000000001</v>
      </c>
      <c r="C204">
        <v>6</v>
      </c>
      <c r="E204" cm="1">
        <f t="array" ref="E204">_xlfn.IFS(E203=0,1,AND(E203=1,E202=1,E201=1),2,AND(E203=2,E202=2,E201=2),3,AND(E203=3,E202=3,E201=3),4,AND(E203=5,C203&gt;=20),0,AND(OR(E203=4,E203=5),OR(E202=4,E202=5),OR(E201=4,E201=5)), 5, TRUE,E203)</f>
        <v>4</v>
      </c>
    </row>
    <row r="205" spans="1:5" x14ac:dyDescent="0.25">
      <c r="A205">
        <v>204</v>
      </c>
      <c r="B205">
        <v>18.399999999999999</v>
      </c>
      <c r="C205">
        <v>3</v>
      </c>
      <c r="E205" cm="1">
        <f t="array" ref="E205">_xlfn.IFS(E204=0,1,AND(E204=1,E203=1,E202=1),2,AND(E204=2,E203=2,E202=2),3,AND(E204=3,E203=3,E202=3),4,AND(E204=5,C204&gt;=20),0,AND(OR(E204=4,E204=5),OR(E203=4,E203=5),OR(E202=4,E202=5)), 5, TRUE,E204)</f>
        <v>4</v>
      </c>
    </row>
    <row r="206" spans="1:5" x14ac:dyDescent="0.25">
      <c r="A206">
        <v>205</v>
      </c>
      <c r="B206">
        <v>17.100000000000001</v>
      </c>
      <c r="C206">
        <v>15</v>
      </c>
      <c r="E206" cm="1">
        <f t="array" ref="E206">_xlfn.IFS(E205=0,1,AND(E205=1,E204=1,E203=1),2,AND(E205=2,E204=2,E203=2),3,AND(E205=3,E204=3,E203=3),4,AND(E205=5,C205&gt;=20),0,AND(OR(E205=4,E205=5),OR(E204=4,E204=5),OR(E203=4,E203=5)), 5, TRUE,E205)</f>
        <v>5</v>
      </c>
    </row>
    <row r="207" spans="1:5" x14ac:dyDescent="0.25">
      <c r="A207">
        <v>206</v>
      </c>
      <c r="B207">
        <v>16.899999999999999</v>
      </c>
      <c r="C207">
        <v>16</v>
      </c>
      <c r="E207" cm="1">
        <f t="array" ref="E207">_xlfn.IFS(E206=0,1,AND(E206=1,E205=1,E204=1),2,AND(E206=2,E205=2,E204=2),3,AND(E206=3,E205=3,E204=3),4,AND(E206=5,C206&gt;=20),0,AND(OR(E206=4,E206=5),OR(E205=4,E205=5),OR(E204=4,E204=5)), 5, TRUE,E206)</f>
        <v>5</v>
      </c>
    </row>
    <row r="208" spans="1:5" x14ac:dyDescent="0.25">
      <c r="A208">
        <v>207</v>
      </c>
      <c r="B208">
        <v>18.2</v>
      </c>
      <c r="C208">
        <v>17</v>
      </c>
      <c r="E208" cm="1">
        <f t="array" ref="E208">_xlfn.IFS(E207=0,1,AND(E207=1,E206=1,E205=1),2,AND(E207=2,E206=2,E205=2),3,AND(E207=3,E206=3,E205=3),4,AND(E207=5,C207&gt;=20),0,AND(OR(E207=4,E207=5),OR(E206=4,E206=5),OR(E205=4,E205=5)), 5, TRUE,E207)</f>
        <v>5</v>
      </c>
    </row>
    <row r="209" spans="1:5" x14ac:dyDescent="0.25">
      <c r="A209">
        <v>208</v>
      </c>
      <c r="B209">
        <v>20.7</v>
      </c>
      <c r="C209">
        <v>18</v>
      </c>
      <c r="E209" cm="1">
        <f t="array" ref="E209">_xlfn.IFS(E208=0,1,AND(E208=1,E207=1,E206=1),2,AND(E208=2,E207=2,E206=2),3,AND(E208=3,E207=3,E206=3),4,AND(E208=5,C208&gt;=20),0,AND(OR(E208=4,E208=5),OR(E207=4,E207=5),OR(E206=4,E206=5)), 5, TRUE,E208)</f>
        <v>5</v>
      </c>
    </row>
    <row r="210" spans="1:5" x14ac:dyDescent="0.25">
      <c r="A210">
        <v>209</v>
      </c>
      <c r="B210">
        <v>24</v>
      </c>
      <c r="C210">
        <v>13</v>
      </c>
      <c r="E210" cm="1">
        <f t="array" ref="E210">_xlfn.IFS(E209=0,1,AND(E209=1,E208=1,E207=1),2,AND(E209=2,E208=2,E207=2),3,AND(E209=3,E208=3,E207=3),4,AND(E209=5,C209&gt;=20),0,AND(OR(E209=4,E209=5),OR(E208=4,E208=5),OR(E207=4,E207=5)), 5, TRUE,E209)</f>
        <v>5</v>
      </c>
    </row>
    <row r="211" spans="1:5" x14ac:dyDescent="0.25">
      <c r="A211">
        <v>210</v>
      </c>
      <c r="B211">
        <v>27.2</v>
      </c>
      <c r="C211">
        <v>27</v>
      </c>
      <c r="E211" cm="1">
        <f t="array" ref="E211">_xlfn.IFS(E210=0,1,AND(E210=1,E209=1,E208=1),2,AND(E210=2,E209=2,E208=2),3,AND(E210=3,E209=3,E208=3),4,AND(E210=5,C210&gt;=20),0,AND(OR(E210=4,E210=5),OR(E209=4,E209=5),OR(E208=4,E208=5)), 5, TRUE,E210)</f>
        <v>5</v>
      </c>
    </row>
    <row r="212" spans="1:5" x14ac:dyDescent="0.25">
      <c r="A212">
        <v>211</v>
      </c>
      <c r="B212">
        <v>29.4</v>
      </c>
      <c r="C212">
        <v>0</v>
      </c>
      <c r="E212" cm="1">
        <f t="array" ref="E212">_xlfn.IFS(E211=0,1,AND(E211=1,E210=1,E209=1),2,AND(E211=2,E210=2,E209=2),3,AND(E211=3,E210=3,E209=3),4,AND(E211=5,C211&gt;=20),0,AND(OR(E211=4,E211=5),OR(E210=4,E210=5),OR(E209=4,E209=5)), 5, TRUE,E211)</f>
        <v>0</v>
      </c>
    </row>
    <row r="213" spans="1:5" x14ac:dyDescent="0.25">
      <c r="A213">
        <v>212</v>
      </c>
      <c r="B213">
        <v>29.9</v>
      </c>
      <c r="C213">
        <v>2</v>
      </c>
      <c r="E213" cm="1">
        <f t="array" ref="E213">_xlfn.IFS(E212=0,1,AND(E212=1,E211=1,E210=1),2,AND(E212=2,E211=2,E210=2),3,AND(E212=3,E211=3,E210=3),4,AND(E212=5,C212&gt;=20),0,AND(OR(E212=4,E212=5),OR(E211=4,E211=5),OR(E210=4,E210=5)), 5, TRUE,E212)</f>
        <v>1</v>
      </c>
    </row>
    <row r="214" spans="1:5" x14ac:dyDescent="0.25">
      <c r="A214">
        <v>213</v>
      </c>
      <c r="B214">
        <v>28.8</v>
      </c>
      <c r="C214">
        <v>4</v>
      </c>
      <c r="E214" cm="1">
        <f t="array" ref="E214">_xlfn.IFS(E213=0,1,AND(E213=1,E212=1,E211=1),2,AND(E213=2,E212=2,E211=2),3,AND(E213=3,E212=3,E211=3),4,AND(E213=5,C213&gt;=20),0,AND(OR(E213=4,E213=5),OR(E212=4,E212=5),OR(E211=4,E211=5)), 5, TRUE,E213)</f>
        <v>1</v>
      </c>
    </row>
    <row r="215" spans="1:5" x14ac:dyDescent="0.25">
      <c r="A215">
        <v>214</v>
      </c>
      <c r="B215">
        <v>26.2</v>
      </c>
      <c r="C215">
        <v>2</v>
      </c>
      <c r="E215" cm="1">
        <f t="array" ref="E215">_xlfn.IFS(E214=0,1,AND(E214=1,E213=1,E212=1),2,AND(E214=2,E213=2,E212=2),3,AND(E214=3,E213=3,E212=3),4,AND(E214=5,C214&gt;=20),0,AND(OR(E214=4,E214=5),OR(E213=4,E213=5),OR(E212=4,E212=5)), 5, TRUE,E214)</f>
        <v>1</v>
      </c>
    </row>
    <row r="216" spans="1:5" x14ac:dyDescent="0.25">
      <c r="A216">
        <v>215</v>
      </c>
      <c r="B216">
        <v>23.1</v>
      </c>
      <c r="C216">
        <v>11</v>
      </c>
      <c r="E216" cm="1">
        <f t="array" ref="E216">_xlfn.IFS(E215=0,1,AND(E215=1,E214=1,E213=1),2,AND(E215=2,E214=2,E213=2),3,AND(E215=3,E214=3,E213=3),4,AND(E215=5,C215&gt;=20),0,AND(OR(E215=4,E215=5),OR(E214=4,E214=5),OR(E213=4,E213=5)), 5, TRUE,E215)</f>
        <v>2</v>
      </c>
    </row>
    <row r="217" spans="1:5" x14ac:dyDescent="0.25">
      <c r="A217">
        <v>216</v>
      </c>
      <c r="B217">
        <v>20.3</v>
      </c>
      <c r="C217">
        <v>1</v>
      </c>
      <c r="E217" cm="1">
        <f t="array" ref="E217">_xlfn.IFS(E216=0,1,AND(E216=1,E215=1,E214=1),2,AND(E216=2,E215=2,E214=2),3,AND(E216=3,E215=3,E214=3),4,AND(E216=5,C216&gt;=20),0,AND(OR(E216=4,E216=5),OR(E215=4,E215=5),OR(E214=4,E214=5)), 5, TRUE,E216)</f>
        <v>2</v>
      </c>
    </row>
    <row r="218" spans="1:5" x14ac:dyDescent="0.25">
      <c r="A218">
        <v>217</v>
      </c>
      <c r="B218">
        <v>18.5</v>
      </c>
      <c r="C218">
        <v>7</v>
      </c>
      <c r="E218" cm="1">
        <f t="array" ref="E218">_xlfn.IFS(E217=0,1,AND(E217=1,E216=1,E215=1),2,AND(E217=2,E216=2,E215=2),3,AND(E217=3,E216=3,E215=3),4,AND(E217=5,C217&gt;=20),0,AND(OR(E217=4,E217=5),OR(E216=4,E216=5),OR(E215=4,E215=5)), 5, TRUE,E217)</f>
        <v>2</v>
      </c>
    </row>
    <row r="219" spans="1:5" x14ac:dyDescent="0.25">
      <c r="A219">
        <v>218</v>
      </c>
      <c r="B219">
        <v>18.2</v>
      </c>
      <c r="C219">
        <v>10</v>
      </c>
      <c r="E219" cm="1">
        <f t="array" ref="E219">_xlfn.IFS(E218=0,1,AND(E218=1,E217=1,E216=1),2,AND(E218=2,E217=2,E216=2),3,AND(E218=3,E217=3,E216=3),4,AND(E218=5,C218&gt;=20),0,AND(OR(E218=4,E218=5),OR(E217=4,E217=5),OR(E216=4,E216=5)), 5, TRUE,E218)</f>
        <v>3</v>
      </c>
    </row>
    <row r="220" spans="1:5" x14ac:dyDescent="0.25">
      <c r="A220">
        <v>219</v>
      </c>
      <c r="B220">
        <v>19.100000000000001</v>
      </c>
      <c r="C220">
        <v>10</v>
      </c>
      <c r="E220" cm="1">
        <f t="array" ref="E220">_xlfn.IFS(E219=0,1,AND(E219=1,E218=1,E217=1),2,AND(E219=2,E218=2,E217=2),3,AND(E219=3,E218=3,E217=3),4,AND(E219=5,C219&gt;=20),0,AND(OR(E219=4,E219=5),OR(E218=4,E218=5),OR(E217=4,E217=5)), 5, TRUE,E219)</f>
        <v>3</v>
      </c>
    </row>
    <row r="221" spans="1:5" x14ac:dyDescent="0.25">
      <c r="A221">
        <v>220</v>
      </c>
      <c r="B221">
        <v>20.9</v>
      </c>
      <c r="C221">
        <v>1</v>
      </c>
      <c r="E221" cm="1">
        <f t="array" ref="E221">_xlfn.IFS(E220=0,1,AND(E220=1,E219=1,E218=1),2,AND(E220=2,E219=2,E218=2),3,AND(E220=3,E219=3,E218=3),4,AND(E220=5,C220&gt;=20),0,AND(OR(E220=4,E220=5),OR(E219=4,E219=5),OR(E218=4,E218=5)), 5, TRUE,E220)</f>
        <v>3</v>
      </c>
    </row>
    <row r="222" spans="1:5" x14ac:dyDescent="0.25">
      <c r="A222">
        <v>221</v>
      </c>
      <c r="B222">
        <v>22.5</v>
      </c>
      <c r="C222">
        <v>4</v>
      </c>
      <c r="E222" cm="1">
        <f t="array" ref="E222">_xlfn.IFS(E221=0,1,AND(E221=1,E220=1,E219=1),2,AND(E221=2,E220=2,E219=2),3,AND(E221=3,E220=3,E219=3),4,AND(E221=5,C221&gt;=20),0,AND(OR(E221=4,E221=5),OR(E220=4,E220=5),OR(E219=4,E219=5)), 5, TRUE,E221)</f>
        <v>4</v>
      </c>
    </row>
    <row r="223" spans="1:5" x14ac:dyDescent="0.25">
      <c r="A223">
        <v>222</v>
      </c>
      <c r="B223">
        <v>23.2</v>
      </c>
      <c r="C223">
        <v>12</v>
      </c>
      <c r="E223" cm="1">
        <f t="array" ref="E223">_xlfn.IFS(E222=0,1,AND(E222=1,E221=1,E220=1),2,AND(E222=2,E221=2,E220=2),3,AND(E222=3,E221=3,E220=3),4,AND(E222=5,C222&gt;=20),0,AND(OR(E222=4,E222=5),OR(E221=4,E221=5),OR(E220=4,E220=5)), 5, TRUE,E222)</f>
        <v>4</v>
      </c>
    </row>
    <row r="224" spans="1:5" x14ac:dyDescent="0.25">
      <c r="A224">
        <v>223</v>
      </c>
      <c r="B224">
        <v>22.4</v>
      </c>
      <c r="C224">
        <v>7</v>
      </c>
      <c r="E224" cm="1">
        <f t="array" ref="E224">_xlfn.IFS(E223=0,1,AND(E223=1,E222=1,E221=1),2,AND(E223=2,E222=2,E221=2),3,AND(E223=3,E222=3,E221=3),4,AND(E223=5,C223&gt;=20),0,AND(OR(E223=4,E223=5),OR(E222=4,E222=5),OR(E221=4,E221=5)), 5, TRUE,E223)</f>
        <v>4</v>
      </c>
    </row>
    <row r="225" spans="1:5" x14ac:dyDescent="0.25">
      <c r="A225">
        <v>224</v>
      </c>
      <c r="B225">
        <v>20</v>
      </c>
      <c r="C225">
        <v>16</v>
      </c>
      <c r="E225" cm="1">
        <f t="array" ref="E225">_xlfn.IFS(E224=0,1,AND(E224=1,E223=1,E222=1),2,AND(E224=2,E223=2,E222=2),3,AND(E224=3,E223=3,E222=3),4,AND(E224=5,C224&gt;=20),0,AND(OR(E224=4,E224=5),OR(E223=4,E223=5),OR(E222=4,E222=5)), 5, TRUE,E224)</f>
        <v>5</v>
      </c>
    </row>
    <row r="226" spans="1:5" x14ac:dyDescent="0.25">
      <c r="A226">
        <v>225</v>
      </c>
      <c r="B226">
        <v>16.399999999999999</v>
      </c>
      <c r="C226">
        <v>24</v>
      </c>
      <c r="E226" cm="1">
        <f t="array" ref="E226">_xlfn.IFS(E225=0,1,AND(E225=1,E224=1,E223=1),2,AND(E225=2,E224=2,E223=2),3,AND(E225=3,E224=3,E223=3),4,AND(E225=5,C225&gt;=20),0,AND(OR(E225=4,E225=5),OR(E224=4,E224=5),OR(E223=4,E223=5)), 5, TRUE,E225)</f>
        <v>5</v>
      </c>
    </row>
    <row r="227" spans="1:5" x14ac:dyDescent="0.25">
      <c r="A227">
        <v>226</v>
      </c>
      <c r="B227">
        <v>12.3</v>
      </c>
      <c r="C227">
        <v>0</v>
      </c>
      <c r="E227" cm="1">
        <f t="array" ref="E227">_xlfn.IFS(E226=0,1,AND(E226=1,E225=1,E224=1),2,AND(E226=2,E225=2,E224=2),3,AND(E226=3,E225=3,E224=3),4,AND(E226=5,C226&gt;=20),0,AND(OR(E226=4,E226=5),OR(E225=4,E225=5),OR(E224=4,E224=5)), 5, TRUE,E226)</f>
        <v>0</v>
      </c>
    </row>
    <row r="228" spans="1:5" x14ac:dyDescent="0.25">
      <c r="A228">
        <v>227</v>
      </c>
      <c r="B228">
        <v>8.6999999999999993</v>
      </c>
      <c r="C228">
        <v>5</v>
      </c>
      <c r="E228" cm="1">
        <f t="array" ref="E228">_xlfn.IFS(E227=0,1,AND(E227=1,E226=1,E225=1),2,AND(E227=2,E226=2,E225=2),3,AND(E227=3,E226=3,E225=3),4,AND(E227=5,C227&gt;=20),0,AND(OR(E227=4,E227=5),OR(E226=4,E226=5),OR(E225=4,E225=5)), 5, TRUE,E227)</f>
        <v>1</v>
      </c>
    </row>
    <row r="229" spans="1:5" x14ac:dyDescent="0.25">
      <c r="A229">
        <v>228</v>
      </c>
      <c r="B229">
        <v>6.4</v>
      </c>
      <c r="C229">
        <v>1</v>
      </c>
      <c r="E229" cm="1">
        <f t="array" ref="E229">_xlfn.IFS(E228=0,1,AND(E228=1,E227=1,E226=1),2,AND(E228=2,E227=2,E226=2),3,AND(E228=3,E227=3,E226=3),4,AND(E228=5,C228&gt;=20),0,AND(OR(E228=4,E228=5),OR(E227=4,E227=5),OR(E226=4,E226=5)), 5, TRUE,E228)</f>
        <v>1</v>
      </c>
    </row>
    <row r="230" spans="1:5" x14ac:dyDescent="0.25">
      <c r="A230">
        <v>229</v>
      </c>
      <c r="B230">
        <v>5.6</v>
      </c>
      <c r="C230">
        <v>6</v>
      </c>
      <c r="E230" cm="1">
        <f t="array" ref="E230">_xlfn.IFS(E229=0,1,AND(E229=1,E228=1,E227=1),2,AND(E229=2,E228=2,E227=2),3,AND(E229=3,E228=3,E227=3),4,AND(E229=5,C229&gt;=20),0,AND(OR(E229=4,E229=5),OR(E228=4,E228=5),OR(E227=4,E227=5)), 5, TRUE,E229)</f>
        <v>1</v>
      </c>
    </row>
    <row r="231" spans="1:5" x14ac:dyDescent="0.25">
      <c r="A231">
        <v>230</v>
      </c>
      <c r="B231">
        <v>6.4</v>
      </c>
      <c r="C231">
        <v>12</v>
      </c>
      <c r="E231" cm="1">
        <f t="array" ref="E231">_xlfn.IFS(E230=0,1,AND(E230=1,E229=1,E228=1),2,AND(E230=2,E229=2,E228=2),3,AND(E230=3,E229=3,E228=3),4,AND(E230=5,C230&gt;=20),0,AND(OR(E230=4,E230=5),OR(E229=4,E229=5),OR(E228=4,E228=5)), 5, TRUE,E230)</f>
        <v>2</v>
      </c>
    </row>
    <row r="232" spans="1:5" x14ac:dyDescent="0.25">
      <c r="A232">
        <v>231</v>
      </c>
      <c r="B232">
        <v>8.1999999999999993</v>
      </c>
      <c r="C232">
        <v>3</v>
      </c>
      <c r="E232" cm="1">
        <f t="array" ref="E232">_xlfn.IFS(E231=0,1,AND(E231=1,E230=1,E229=1),2,AND(E231=2,E230=2,E229=2),3,AND(E231=3,E230=3,E229=3),4,AND(E231=5,C231&gt;=20),0,AND(OR(E231=4,E231=5),OR(E230=4,E230=5),OR(E229=4,E229=5)), 5, TRUE,E231)</f>
        <v>2</v>
      </c>
    </row>
    <row r="233" spans="1:5" x14ac:dyDescent="0.25">
      <c r="A233">
        <v>232</v>
      </c>
      <c r="B233">
        <v>10</v>
      </c>
      <c r="C233">
        <v>12</v>
      </c>
      <c r="E233" cm="1">
        <f t="array" ref="E233">_xlfn.IFS(E232=0,1,AND(E232=1,E231=1,E230=1),2,AND(E232=2,E231=2,E230=2),3,AND(E232=3,E231=3,E230=3),4,AND(E232=5,C232&gt;=20),0,AND(OR(E232=4,E232=5),OR(E231=4,E231=5),OR(E230=4,E230=5)), 5, TRUE,E232)</f>
        <v>2</v>
      </c>
    </row>
    <row r="234" spans="1:5" x14ac:dyDescent="0.25">
      <c r="A234">
        <v>233</v>
      </c>
      <c r="B234">
        <v>11.1</v>
      </c>
      <c r="C234">
        <v>17</v>
      </c>
      <c r="E234" cm="1">
        <f t="array" ref="E234">_xlfn.IFS(E233=0,1,AND(E233=1,E232=1,E231=1),2,AND(E233=2,E232=2,E231=2),3,AND(E233=3,E232=3,E231=3),4,AND(E233=5,C233&gt;=20),0,AND(OR(E233=4,E233=5),OR(E232=4,E232=5),OR(E231=4,E231=5)), 5, TRUE,E233)</f>
        <v>3</v>
      </c>
    </row>
    <row r="235" spans="1:5" x14ac:dyDescent="0.25">
      <c r="A235">
        <v>234</v>
      </c>
      <c r="B235">
        <v>10.9</v>
      </c>
      <c r="C235">
        <v>16</v>
      </c>
      <c r="E235" cm="1">
        <f t="array" ref="E235">_xlfn.IFS(E234=0,1,AND(E234=1,E233=1,E232=1),2,AND(E234=2,E233=2,E232=2),3,AND(E234=3,E233=3,E232=3),4,AND(E234=5,C234&gt;=20),0,AND(OR(E234=4,E234=5),OR(E233=4,E233=5),OR(E232=4,E232=5)), 5, TRUE,E234)</f>
        <v>3</v>
      </c>
    </row>
    <row r="236" spans="1:5" x14ac:dyDescent="0.25">
      <c r="A236">
        <v>235</v>
      </c>
      <c r="B236">
        <v>9.3000000000000007</v>
      </c>
      <c r="C236">
        <v>3</v>
      </c>
      <c r="E236" cm="1">
        <f t="array" ref="E236">_xlfn.IFS(E235=0,1,AND(E235=1,E234=1,E233=1),2,AND(E235=2,E234=2,E233=2),3,AND(E235=3,E234=3,E233=3),4,AND(E235=5,C235&gt;=20),0,AND(OR(E235=4,E235=5),OR(E234=4,E234=5),OR(E233=4,E233=5)), 5, TRUE,E235)</f>
        <v>3</v>
      </c>
    </row>
    <row r="237" spans="1:5" x14ac:dyDescent="0.25">
      <c r="A237">
        <v>236</v>
      </c>
      <c r="B237">
        <v>6.6</v>
      </c>
      <c r="C237">
        <v>21</v>
      </c>
      <c r="E237" cm="1">
        <f t="array" ref="E237">_xlfn.IFS(E236=0,1,AND(E236=1,E235=1,E234=1),2,AND(E236=2,E235=2,E234=2),3,AND(E236=3,E235=3,E234=3),4,AND(E236=5,C236&gt;=20),0,AND(OR(E236=4,E236=5),OR(E235=4,E235=5),OR(E234=4,E234=5)), 5, TRUE,E236)</f>
        <v>4</v>
      </c>
    </row>
    <row r="238" spans="1:5" x14ac:dyDescent="0.25">
      <c r="A238">
        <v>237</v>
      </c>
      <c r="B238">
        <v>3.6</v>
      </c>
      <c r="C238">
        <v>18</v>
      </c>
      <c r="E238" cm="1">
        <f t="array" ref="E238">_xlfn.IFS(E237=0,1,AND(E237=1,E236=1,E235=1),2,AND(E237=2,E236=2,E235=2),3,AND(E237=3,E236=3,E235=3),4,AND(E237=5,C237&gt;=20),0,AND(OR(E237=4,E237=5),OR(E236=4,E236=5),OR(E235=4,E235=5)), 5, TRUE,E237)</f>
        <v>4</v>
      </c>
    </row>
    <row r="239" spans="1:5" x14ac:dyDescent="0.25">
      <c r="A239">
        <v>238</v>
      </c>
      <c r="B239">
        <v>1.2</v>
      </c>
      <c r="C239">
        <v>13</v>
      </c>
      <c r="E239" cm="1">
        <f t="array" ref="E239">_xlfn.IFS(E238=0,1,AND(E238=1,E237=1,E236=1),2,AND(E238=2,E237=2,E236=2),3,AND(E238=3,E237=3,E236=3),4,AND(E238=5,C238&gt;=20),0,AND(OR(E238=4,E238=5),OR(E237=4,E237=5),OR(E236=4,E236=5)), 5, TRUE,E238)</f>
        <v>4</v>
      </c>
    </row>
    <row r="240" spans="1:5" x14ac:dyDescent="0.25">
      <c r="A240">
        <v>239</v>
      </c>
      <c r="B240">
        <v>0.2</v>
      </c>
      <c r="C240">
        <v>29</v>
      </c>
      <c r="E240" cm="1">
        <f t="array" ref="E240">_xlfn.IFS(E239=0,1,AND(E239=1,E238=1,E237=1),2,AND(E239=2,E238=2,E237=2),3,AND(E239=3,E238=3,E237=3),4,AND(E239=5,C239&gt;=20),0,AND(OR(E239=4,E239=5),OR(E238=4,E238=5),OR(E237=4,E237=5)), 5, TRUE,E239)</f>
        <v>5</v>
      </c>
    </row>
    <row r="241" spans="1:5" x14ac:dyDescent="0.25">
      <c r="A241">
        <v>240</v>
      </c>
      <c r="B241">
        <v>0.9</v>
      </c>
      <c r="C241">
        <v>0</v>
      </c>
      <c r="E241" cm="1">
        <f t="array" ref="E241">_xlfn.IFS(E240=0,1,AND(E240=1,E239=1,E238=1),2,AND(E240=2,E239=2,E238=2),3,AND(E240=3,E239=3,E238=3),4,AND(E240=5,C240&gt;=20),0,AND(OR(E240=4,E240=5),OR(E239=4,E239=5),OR(E238=4,E238=5)), 5, TRUE,E240)</f>
        <v>0</v>
      </c>
    </row>
    <row r="242" spans="1:5" x14ac:dyDescent="0.25">
      <c r="A242">
        <v>241</v>
      </c>
      <c r="B242">
        <v>3.2</v>
      </c>
      <c r="C242">
        <v>6</v>
      </c>
      <c r="E242" cm="1">
        <f t="array" ref="E242">_xlfn.IFS(E241=0,1,AND(E241=1,E240=1,E239=1),2,AND(E241=2,E240=2,E239=2),3,AND(E241=3,E240=3,E239=3),4,AND(E241=5,C241&gt;=20),0,AND(OR(E241=4,E241=5),OR(E240=4,E240=5),OR(E239=4,E239=5)), 5, TRUE,E241)</f>
        <v>1</v>
      </c>
    </row>
    <row r="243" spans="1:5" x14ac:dyDescent="0.25">
      <c r="A243">
        <v>242</v>
      </c>
      <c r="B243">
        <v>6.6</v>
      </c>
      <c r="C243">
        <v>5</v>
      </c>
      <c r="E243" cm="1">
        <f t="array" ref="E243">_xlfn.IFS(E242=0,1,AND(E242=1,E241=1,E240=1),2,AND(E242=2,E241=2,E240=2),3,AND(E242=3,E241=3,E240=3),4,AND(E242=5,C242&gt;=20),0,AND(OR(E242=4,E242=5),OR(E241=4,E241=5),OR(E240=4,E240=5)), 5, TRUE,E242)</f>
        <v>1</v>
      </c>
    </row>
    <row r="244" spans="1:5" x14ac:dyDescent="0.25">
      <c r="A244">
        <v>243</v>
      </c>
      <c r="B244">
        <v>10</v>
      </c>
      <c r="C244">
        <v>2</v>
      </c>
      <c r="E244" cm="1">
        <f t="array" ref="E244">_xlfn.IFS(E243=0,1,AND(E243=1,E242=1,E241=1),2,AND(E243=2,E242=2,E241=2),3,AND(E243=3,E242=3,E241=3),4,AND(E243=5,C243&gt;=20),0,AND(OR(E243=4,E243=5),OR(E242=4,E242=5),OR(E241=4,E241=5)), 5, TRUE,E243)</f>
        <v>1</v>
      </c>
    </row>
    <row r="245" spans="1:5" x14ac:dyDescent="0.25">
      <c r="A245">
        <v>244</v>
      </c>
      <c r="B245">
        <v>12.7</v>
      </c>
      <c r="C245">
        <v>8</v>
      </c>
      <c r="E245" cm="1">
        <f t="array" ref="E245">_xlfn.IFS(E244=0,1,AND(E244=1,E243=1,E242=1),2,AND(E244=2,E243=2,E242=2),3,AND(E244=3,E243=3,E242=3),4,AND(E244=5,C244&gt;=20),0,AND(OR(E244=4,E244=5),OR(E243=4,E243=5),OR(E242=4,E242=5)), 5, TRUE,E244)</f>
        <v>2</v>
      </c>
    </row>
    <row r="246" spans="1:5" x14ac:dyDescent="0.25">
      <c r="A246">
        <v>245</v>
      </c>
      <c r="B246">
        <v>14.1</v>
      </c>
      <c r="C246">
        <v>1</v>
      </c>
      <c r="E246" cm="1">
        <f t="array" ref="E246">_xlfn.IFS(E245=0,1,AND(E245=1,E244=1,E243=1),2,AND(E245=2,E244=2,E243=2),3,AND(E245=3,E244=3,E243=3),4,AND(E245=5,C245&gt;=20),0,AND(OR(E245=4,E245=5),OR(E244=4,E244=5),OR(E243=4,E243=5)), 5, TRUE,E245)</f>
        <v>2</v>
      </c>
    </row>
    <row r="247" spans="1:5" x14ac:dyDescent="0.25">
      <c r="A247">
        <v>246</v>
      </c>
      <c r="B247">
        <v>14</v>
      </c>
      <c r="C247">
        <v>11</v>
      </c>
      <c r="E247" cm="1">
        <f t="array" ref="E247">_xlfn.IFS(E246=0,1,AND(E246=1,E245=1,E244=1),2,AND(E246=2,E245=2,E244=2),3,AND(E246=3,E245=3,E244=3),4,AND(E246=5,C246&gt;=20),0,AND(OR(E246=4,E246=5),OR(E245=4,E245=5),OR(E244=4,E244=5)), 5, TRUE,E246)</f>
        <v>2</v>
      </c>
    </row>
    <row r="248" spans="1:5" x14ac:dyDescent="0.25">
      <c r="A248">
        <v>247</v>
      </c>
      <c r="B248">
        <v>12.7</v>
      </c>
      <c r="C248">
        <v>13</v>
      </c>
      <c r="E248" cm="1">
        <f t="array" ref="E248">_xlfn.IFS(E247=0,1,AND(E247=1,E246=1,E245=1),2,AND(E247=2,E246=2,E245=2),3,AND(E247=3,E246=3,E245=3),4,AND(E247=5,C247&gt;=20),0,AND(OR(E247=4,E247=5),OR(E246=4,E246=5),OR(E245=4,E245=5)), 5, TRUE,E247)</f>
        <v>3</v>
      </c>
    </row>
    <row r="249" spans="1:5" x14ac:dyDescent="0.25">
      <c r="A249">
        <v>248</v>
      </c>
      <c r="B249">
        <v>11.1</v>
      </c>
      <c r="C249">
        <v>18</v>
      </c>
      <c r="E249" cm="1">
        <f t="array" ref="E249">_xlfn.IFS(E248=0,1,AND(E248=1,E247=1,E246=1),2,AND(E248=2,E247=2,E246=2),3,AND(E248=3,E247=3,E246=3),4,AND(E248=5,C248&gt;=20),0,AND(OR(E248=4,E248=5),OR(E247=4,E247=5),OR(E246=4,E246=5)), 5, TRUE,E248)</f>
        <v>3</v>
      </c>
    </row>
    <row r="250" spans="1:5" x14ac:dyDescent="0.25">
      <c r="A250">
        <v>249</v>
      </c>
      <c r="B250">
        <v>10</v>
      </c>
      <c r="C250">
        <v>15</v>
      </c>
      <c r="E250" cm="1">
        <f t="array" ref="E250">_xlfn.IFS(E249=0,1,AND(E249=1,E248=1,E247=1),2,AND(E249=2,E248=2,E247=2),3,AND(E249=3,E248=3,E247=3),4,AND(E249=5,C249&gt;=20),0,AND(OR(E249=4,E249=5),OR(E248=4,E248=5),OR(E247=4,E247=5)), 5, TRUE,E249)</f>
        <v>3</v>
      </c>
    </row>
    <row r="251" spans="1:5" x14ac:dyDescent="0.25">
      <c r="A251">
        <v>250</v>
      </c>
      <c r="B251">
        <v>10.1</v>
      </c>
      <c r="C251">
        <v>12</v>
      </c>
      <c r="E251" cm="1">
        <f t="array" ref="E251">_xlfn.IFS(E250=0,1,AND(E250=1,E249=1,E248=1),2,AND(E250=2,E249=2,E248=2),3,AND(E250=3,E249=3,E248=3),4,AND(E250=5,C250&gt;=20),0,AND(OR(E250=4,E250=5),OR(E249=4,E249=5),OR(E248=4,E248=5)), 5, TRUE,E250)</f>
        <v>4</v>
      </c>
    </row>
    <row r="252" spans="1:5" x14ac:dyDescent="0.25">
      <c r="A252">
        <v>251</v>
      </c>
      <c r="B252">
        <v>11.7</v>
      </c>
      <c r="C252">
        <v>2</v>
      </c>
      <c r="E252" cm="1">
        <f t="array" ref="E252">_xlfn.IFS(E251=0,1,AND(E251=1,E250=1,E249=1),2,AND(E251=2,E250=2,E249=2),3,AND(E251=3,E250=3,E249=3),4,AND(E251=5,C251&gt;=20),0,AND(OR(E251=4,E251=5),OR(E250=4,E250=5),OR(E249=4,E249=5)), 5, TRUE,E251)</f>
        <v>4</v>
      </c>
    </row>
    <row r="253" spans="1:5" x14ac:dyDescent="0.25">
      <c r="A253">
        <v>252</v>
      </c>
      <c r="B253">
        <v>14.8</v>
      </c>
      <c r="C253">
        <v>21</v>
      </c>
      <c r="E253" cm="1">
        <f t="array" ref="E253">_xlfn.IFS(E252=0,1,AND(E252=1,E251=1,E250=1),2,AND(E252=2,E251=2,E250=2),3,AND(E252=3,E251=3,E250=3),4,AND(E252=5,C252&gt;=20),0,AND(OR(E252=4,E252=5),OR(E251=4,E251=5),OR(E250=4,E250=5)), 5, TRUE,E252)</f>
        <v>4</v>
      </c>
    </row>
    <row r="254" spans="1:5" x14ac:dyDescent="0.25">
      <c r="A254">
        <v>253</v>
      </c>
      <c r="B254">
        <v>18.7</v>
      </c>
      <c r="C254">
        <v>28</v>
      </c>
      <c r="E254" cm="1">
        <f t="array" ref="E254">_xlfn.IFS(E253=0,1,AND(E253=1,E252=1,E251=1),2,AND(E253=2,E252=2,E251=2),3,AND(E253=3,E252=3,E251=3),4,AND(E253=5,C253&gt;=20),0,AND(OR(E253=4,E253=5),OR(E252=4,E252=5),OR(E251=4,E251=5)), 5, TRUE,E253)</f>
        <v>5</v>
      </c>
    </row>
    <row r="255" spans="1:5" x14ac:dyDescent="0.25">
      <c r="A255">
        <v>254</v>
      </c>
      <c r="B255">
        <v>22.5</v>
      </c>
      <c r="C255">
        <v>0</v>
      </c>
      <c r="E255" cm="1">
        <f t="array" ref="E255">_xlfn.IFS(E254=0,1,AND(E254=1,E253=1,E252=1),2,AND(E254=2,E253=2,E252=2),3,AND(E254=3,E253=3,E252=3),4,AND(E254=5,C254&gt;=20),0,AND(OR(E254=4,E254=5),OR(E253=4,E253=5),OR(E252=4,E252=5)), 5, TRUE,E254)</f>
        <v>0</v>
      </c>
    </row>
    <row r="256" spans="1:5" x14ac:dyDescent="0.25">
      <c r="A256">
        <v>255</v>
      </c>
      <c r="B256">
        <v>25.4</v>
      </c>
      <c r="C256">
        <v>3</v>
      </c>
      <c r="E256" cm="1">
        <f t="array" ref="E256">_xlfn.IFS(E255=0,1,AND(E255=1,E254=1,E253=1),2,AND(E255=2,E254=2,E253=2),3,AND(E255=3,E254=3,E253=3),4,AND(E255=5,C255&gt;=20),0,AND(OR(E255=4,E255=5),OR(E254=4,E254=5),OR(E253=4,E253=5)), 5, TRUE,E255)</f>
        <v>1</v>
      </c>
    </row>
    <row r="257" spans="1:5" x14ac:dyDescent="0.25">
      <c r="A257">
        <v>256</v>
      </c>
      <c r="B257">
        <v>26.8</v>
      </c>
      <c r="C257">
        <v>5</v>
      </c>
      <c r="E257" cm="1">
        <f t="array" ref="E257">_xlfn.IFS(E256=0,1,AND(E256=1,E255=1,E254=1),2,AND(E256=2,E255=2,E254=2),3,AND(E256=3,E255=3,E254=3),4,AND(E256=5,C256&gt;=20),0,AND(OR(E256=4,E256=5),OR(E255=4,E255=5),OR(E254=4,E254=5)), 5, TRUE,E256)</f>
        <v>1</v>
      </c>
    </row>
    <row r="258" spans="1:5" x14ac:dyDescent="0.25">
      <c r="A258">
        <v>257</v>
      </c>
      <c r="B258">
        <v>26.5</v>
      </c>
      <c r="C258">
        <v>5</v>
      </c>
      <c r="E258" cm="1">
        <f t="array" ref="E258">_xlfn.IFS(E257=0,1,AND(E257=1,E256=1,E255=1),2,AND(E257=2,E256=2,E255=2),3,AND(E257=3,E256=3,E255=3),4,AND(E257=5,C257&gt;=20),0,AND(OR(E257=4,E257=5),OR(E256=4,E256=5),OR(E255=4,E255=5)), 5, TRUE,E257)</f>
        <v>1</v>
      </c>
    </row>
    <row r="259" spans="1:5" x14ac:dyDescent="0.25">
      <c r="A259">
        <v>258</v>
      </c>
      <c r="B259">
        <v>24.9</v>
      </c>
      <c r="C259">
        <v>7</v>
      </c>
      <c r="E259" cm="1">
        <f t="array" ref="E259">_xlfn.IFS(E258=0,1,AND(E258=1,E257=1,E256=1),2,AND(E258=2,E257=2,E256=2),3,AND(E258=3,E257=3,E256=3),4,AND(E258=5,C258&gt;=20),0,AND(OR(E258=4,E258=5),OR(E257=4,E257=5),OR(E256=4,E256=5)), 5, TRUE,E258)</f>
        <v>2</v>
      </c>
    </row>
    <row r="260" spans="1:5" x14ac:dyDescent="0.25">
      <c r="A260">
        <v>259</v>
      </c>
      <c r="B260">
        <v>22.6</v>
      </c>
      <c r="C260">
        <v>1</v>
      </c>
      <c r="E260" cm="1">
        <f t="array" ref="E260">_xlfn.IFS(E259=0,1,AND(E259=1,E258=1,E257=1),2,AND(E259=2,E258=2,E257=2),3,AND(E259=3,E258=3,E257=3),4,AND(E259=5,C259&gt;=20),0,AND(OR(E259=4,E259=5),OR(E258=4,E258=5),OR(E257=4,E257=5)), 5, TRUE,E259)</f>
        <v>2</v>
      </c>
    </row>
    <row r="261" spans="1:5" x14ac:dyDescent="0.25">
      <c r="A261">
        <v>260</v>
      </c>
      <c r="B261">
        <v>20.7</v>
      </c>
      <c r="C261">
        <v>6</v>
      </c>
      <c r="E261" cm="1">
        <f t="array" ref="E261">_xlfn.IFS(E260=0,1,AND(E260=1,E259=1,E258=1),2,AND(E260=2,E259=2,E258=2),3,AND(E260=3,E259=3,E258=3),4,AND(E260=5,C260&gt;=20),0,AND(OR(E260=4,E260=5),OR(E259=4,E259=5),OR(E258=4,E258=5)), 5, TRUE,E260)</f>
        <v>2</v>
      </c>
    </row>
    <row r="262" spans="1:5" x14ac:dyDescent="0.25">
      <c r="A262">
        <v>261</v>
      </c>
      <c r="B262">
        <v>19.899999999999999</v>
      </c>
      <c r="C262">
        <v>6</v>
      </c>
      <c r="E262" cm="1">
        <f t="array" ref="E262">_xlfn.IFS(E261=0,1,AND(E261=1,E260=1,E259=1),2,AND(E261=2,E260=2,E259=2),3,AND(E261=3,E260=3,E259=3),4,AND(E261=5,C261&gt;=20),0,AND(OR(E261=4,E261=5),OR(E260=4,E260=5),OR(E259=4,E259=5)), 5, TRUE,E261)</f>
        <v>3</v>
      </c>
    </row>
    <row r="263" spans="1:5" x14ac:dyDescent="0.25">
      <c r="A263">
        <v>262</v>
      </c>
      <c r="B263">
        <v>20.399999999999999</v>
      </c>
      <c r="C263">
        <v>10</v>
      </c>
      <c r="E263" cm="1">
        <f t="array" ref="E263">_xlfn.IFS(E262=0,1,AND(E262=1,E261=1,E260=1),2,AND(E262=2,E261=2,E260=2),3,AND(E262=3,E261=3,E260=3),4,AND(E262=5,C262&gt;=20),0,AND(OR(E262=4,E262=5),OR(E261=4,E261=5),OR(E260=4,E260=5)), 5, TRUE,E262)</f>
        <v>3</v>
      </c>
    </row>
    <row r="264" spans="1:5" x14ac:dyDescent="0.25">
      <c r="A264">
        <v>263</v>
      </c>
      <c r="B264">
        <v>22.3</v>
      </c>
      <c r="C264">
        <v>16</v>
      </c>
      <c r="E264" cm="1">
        <f t="array" ref="E264">_xlfn.IFS(E263=0,1,AND(E263=1,E262=1,E261=1),2,AND(E263=2,E262=2,E261=2),3,AND(E263=3,E262=3,E261=3),4,AND(E263=5,C263&gt;=20),0,AND(OR(E263=4,E263=5),OR(E262=4,E262=5),OR(E261=4,E261=5)), 5, TRUE,E263)</f>
        <v>3</v>
      </c>
    </row>
    <row r="265" spans="1:5" x14ac:dyDescent="0.25">
      <c r="A265">
        <v>264</v>
      </c>
      <c r="B265">
        <v>24.8</v>
      </c>
      <c r="C265">
        <v>9</v>
      </c>
      <c r="E265" cm="1">
        <f t="array" ref="E265">_xlfn.IFS(E264=0,1,AND(E264=1,E263=1,E262=1),2,AND(E264=2,E263=2,E262=2),3,AND(E264=3,E263=3,E262=3),4,AND(E264=5,C264&gt;=20),0,AND(OR(E264=4,E264=5),OR(E263=4,E263=5),OR(E262=4,E262=5)), 5, TRUE,E264)</f>
        <v>4</v>
      </c>
    </row>
    <row r="266" spans="1:5" x14ac:dyDescent="0.25">
      <c r="A266">
        <v>265</v>
      </c>
      <c r="B266">
        <v>27.2</v>
      </c>
      <c r="C266">
        <v>18</v>
      </c>
      <c r="E266" cm="1">
        <f t="array" ref="E266">_xlfn.IFS(E265=0,1,AND(E265=1,E264=1,E263=1),2,AND(E265=2,E264=2,E263=2),3,AND(E265=3,E264=3,E263=3),4,AND(E265=5,C265&gt;=20),0,AND(OR(E265=4,E265=5),OR(E264=4,E264=5),OR(E263=4,E263=5)), 5, TRUE,E265)</f>
        <v>4</v>
      </c>
    </row>
    <row r="267" spans="1:5" x14ac:dyDescent="0.25">
      <c r="A267">
        <v>266</v>
      </c>
      <c r="B267">
        <v>28.6</v>
      </c>
      <c r="C267">
        <v>4</v>
      </c>
      <c r="E267" cm="1">
        <f t="array" ref="E267">_xlfn.IFS(E266=0,1,AND(E266=1,E265=1,E264=1),2,AND(E266=2,E265=2,E264=2),3,AND(E266=3,E265=3,E264=3),4,AND(E266=5,C266&gt;=20),0,AND(OR(E266=4,E266=5),OR(E265=4,E265=5),OR(E264=4,E264=5)), 5, TRUE,E266)</f>
        <v>4</v>
      </c>
    </row>
    <row r="268" spans="1:5" x14ac:dyDescent="0.25">
      <c r="A268">
        <v>267</v>
      </c>
      <c r="B268">
        <v>28.4</v>
      </c>
      <c r="C268">
        <v>22</v>
      </c>
      <c r="E268" cm="1">
        <f t="array" ref="E268">_xlfn.IFS(E267=0,1,AND(E267=1,E266=1,E265=1),2,AND(E267=2,E266=2,E265=2),3,AND(E267=3,E266=3,E265=3),4,AND(E267=5,C267&gt;=20),0,AND(OR(E267=4,E267=5),OR(E266=4,E266=5),OR(E265=4,E265=5)), 5, TRUE,E267)</f>
        <v>5</v>
      </c>
    </row>
    <row r="269" spans="1:5" x14ac:dyDescent="0.25">
      <c r="A269">
        <v>268</v>
      </c>
      <c r="B269">
        <v>26.5</v>
      </c>
      <c r="C269">
        <v>0</v>
      </c>
      <c r="E269" cm="1">
        <f t="array" ref="E269">_xlfn.IFS(E268=0,1,AND(E268=1,E267=1,E266=1),2,AND(E268=2,E267=2,E266=2),3,AND(E268=3,E267=3,E266=3),4,AND(E268=5,C268&gt;=20),0,AND(OR(E268=4,E268=5),OR(E267=4,E267=5),OR(E266=4,E266=5)), 5, TRUE,E268)</f>
        <v>0</v>
      </c>
    </row>
    <row r="270" spans="1:5" x14ac:dyDescent="0.25">
      <c r="A270">
        <v>269</v>
      </c>
      <c r="B270">
        <v>23.3</v>
      </c>
      <c r="C270">
        <v>4</v>
      </c>
      <c r="E270" cm="1">
        <f t="array" ref="E270">_xlfn.IFS(E269=0,1,AND(E269=1,E268=1,E267=1),2,AND(E269=2,E268=2,E267=2),3,AND(E269=3,E268=3,E267=3),4,AND(E269=5,C269&gt;=20),0,AND(OR(E269=4,E269=5),OR(E268=4,E268=5),OR(E267=4,E267=5)), 5, TRUE,E269)</f>
        <v>1</v>
      </c>
    </row>
    <row r="271" spans="1:5" x14ac:dyDescent="0.25">
      <c r="A271">
        <v>270</v>
      </c>
      <c r="B271">
        <v>19.5</v>
      </c>
      <c r="C271">
        <v>6</v>
      </c>
      <c r="E271" cm="1">
        <f t="array" ref="E271">_xlfn.IFS(E270=0,1,AND(E270=1,E269=1,E268=1),2,AND(E270=2,E269=2,E268=2),3,AND(E270=3,E269=3,E268=3),4,AND(E270=5,C270&gt;=20),0,AND(OR(E270=4,E270=5),OR(E269=4,E269=5),OR(E268=4,E268=5)), 5, TRUE,E270)</f>
        <v>1</v>
      </c>
    </row>
    <row r="272" spans="1:5" x14ac:dyDescent="0.25">
      <c r="A272">
        <v>271</v>
      </c>
      <c r="B272">
        <v>16</v>
      </c>
      <c r="C272">
        <v>6</v>
      </c>
      <c r="E272" cm="1">
        <f t="array" ref="E272">_xlfn.IFS(E271=0,1,AND(E271=1,E270=1,E269=1),2,AND(E271=2,E270=2,E269=2),3,AND(E271=3,E270=3,E269=3),4,AND(E271=5,C271&gt;=20),0,AND(OR(E271=4,E271=5),OR(E270=4,E270=5),OR(E269=4,E269=5)), 5, TRUE,E271)</f>
        <v>1</v>
      </c>
    </row>
    <row r="273" spans="1:5" x14ac:dyDescent="0.25">
      <c r="A273">
        <v>272</v>
      </c>
      <c r="B273">
        <v>13.7</v>
      </c>
      <c r="C273">
        <v>9</v>
      </c>
      <c r="E273" cm="1">
        <f t="array" ref="E273">_xlfn.IFS(E272=0,1,AND(E272=1,E271=1,E270=1),2,AND(E272=2,E271=2,E270=2),3,AND(E272=3,E271=3,E270=3),4,AND(E272=5,C272&gt;=20),0,AND(OR(E272=4,E272=5),OR(E271=4,E271=5),OR(E270=4,E270=5)), 5, TRUE,E272)</f>
        <v>2</v>
      </c>
    </row>
    <row r="274" spans="1:5" x14ac:dyDescent="0.25">
      <c r="A274">
        <v>273</v>
      </c>
      <c r="B274">
        <v>12.9</v>
      </c>
      <c r="C274">
        <v>7</v>
      </c>
      <c r="E274" cm="1">
        <f t="array" ref="E274">_xlfn.IFS(E273=0,1,AND(E273=1,E272=1,E271=1),2,AND(E273=2,E272=2,E271=2),3,AND(E273=3,E272=3,E271=3),4,AND(E273=5,C273&gt;=20),0,AND(OR(E273=4,E273=5),OR(E272=4,E272=5),OR(E271=4,E271=5)), 5, TRUE,E273)</f>
        <v>2</v>
      </c>
    </row>
    <row r="275" spans="1:5" x14ac:dyDescent="0.25">
      <c r="A275">
        <v>274</v>
      </c>
      <c r="B275">
        <v>13.5</v>
      </c>
      <c r="C275">
        <v>1</v>
      </c>
      <c r="E275" cm="1">
        <f t="array" ref="E275">_xlfn.IFS(E274=0,1,AND(E274=1,E273=1,E272=1),2,AND(E274=2,E273=2,E272=2),3,AND(E274=3,E273=3,E272=3),4,AND(E274=5,C274&gt;=20),0,AND(OR(E274=4,E274=5),OR(E273=4,E273=5),OR(E272=4,E272=5)), 5, TRUE,E274)</f>
        <v>2</v>
      </c>
    </row>
    <row r="276" spans="1:5" x14ac:dyDescent="0.25">
      <c r="A276">
        <v>275</v>
      </c>
      <c r="B276">
        <v>15</v>
      </c>
      <c r="C276">
        <v>18</v>
      </c>
      <c r="E276" cm="1">
        <f t="array" ref="E276">_xlfn.IFS(E275=0,1,AND(E275=1,E274=1,E273=1),2,AND(E275=2,E274=2,E273=2),3,AND(E275=3,E274=3,E273=3),4,AND(E275=5,C275&gt;=20),0,AND(OR(E275=4,E275=5),OR(E274=4,E274=5),OR(E273=4,E273=5)), 5, TRUE,E275)</f>
        <v>3</v>
      </c>
    </row>
    <row r="277" spans="1:5" x14ac:dyDescent="0.25">
      <c r="A277">
        <v>276</v>
      </c>
      <c r="B277">
        <v>16.399999999999999</v>
      </c>
      <c r="C277">
        <v>13</v>
      </c>
      <c r="E277" cm="1">
        <f t="array" ref="E277">_xlfn.IFS(E276=0,1,AND(E276=1,E275=1,E274=1),2,AND(E276=2,E275=2,E274=2),3,AND(E276=3,E275=3,E274=3),4,AND(E276=5,C276&gt;=20),0,AND(OR(E276=4,E276=5),OR(E275=4,E275=5),OR(E274=4,E274=5)), 5, TRUE,E276)</f>
        <v>3</v>
      </c>
    </row>
    <row r="278" spans="1:5" x14ac:dyDescent="0.25">
      <c r="A278">
        <v>277</v>
      </c>
      <c r="B278">
        <v>17.100000000000001</v>
      </c>
      <c r="C278">
        <v>2</v>
      </c>
      <c r="E278" cm="1">
        <f t="array" ref="E278">_xlfn.IFS(E277=0,1,AND(E277=1,E276=1,E275=1),2,AND(E277=2,E276=2,E275=2),3,AND(E277=3,E276=3,E275=3),4,AND(E277=5,C277&gt;=20),0,AND(OR(E277=4,E277=5),OR(E276=4,E276=5),OR(E275=4,E275=5)), 5, TRUE,E277)</f>
        <v>3</v>
      </c>
    </row>
    <row r="279" spans="1:5" x14ac:dyDescent="0.25">
      <c r="A279">
        <v>278</v>
      </c>
      <c r="B279">
        <v>16.3</v>
      </c>
      <c r="C279">
        <v>10</v>
      </c>
      <c r="E279" cm="1">
        <f t="array" ref="E279">_xlfn.IFS(E278=0,1,AND(E278=1,E277=1,E276=1),2,AND(E278=2,E277=2,E276=2),3,AND(E278=3,E277=3,E276=3),4,AND(E278=5,C278&gt;=20),0,AND(OR(E278=4,E278=5),OR(E277=4,E277=5),OR(E276=4,E276=5)), 5, TRUE,E278)</f>
        <v>4</v>
      </c>
    </row>
    <row r="280" spans="1:5" x14ac:dyDescent="0.25">
      <c r="A280">
        <v>279</v>
      </c>
      <c r="B280">
        <v>14</v>
      </c>
      <c r="C280">
        <v>6</v>
      </c>
      <c r="E280" cm="1">
        <f t="array" ref="E280">_xlfn.IFS(E279=0,1,AND(E279=1,E278=1,E277=1),2,AND(E279=2,E278=2,E277=2),3,AND(E279=3,E278=3,E277=3),4,AND(E279=5,C279&gt;=20),0,AND(OR(E279=4,E279=5),OR(E278=4,E278=5),OR(E277=4,E277=5)), 5, TRUE,E279)</f>
        <v>4</v>
      </c>
    </row>
    <row r="281" spans="1:5" x14ac:dyDescent="0.25">
      <c r="A281">
        <v>280</v>
      </c>
      <c r="B281">
        <v>10.5</v>
      </c>
      <c r="C281">
        <v>20</v>
      </c>
      <c r="E281" cm="1">
        <f t="array" ref="E281">_xlfn.IFS(E280=0,1,AND(E280=1,E279=1,E278=1),2,AND(E280=2,E279=2,E278=2),3,AND(E280=3,E279=3,E278=3),4,AND(E280=5,C280&gt;=20),0,AND(OR(E280=4,E280=5),OR(E279=4,E279=5),OR(E278=4,E278=5)), 5, TRUE,E280)</f>
        <v>4</v>
      </c>
    </row>
    <row r="282" spans="1:5" x14ac:dyDescent="0.25">
      <c r="A282">
        <v>281</v>
      </c>
      <c r="B282">
        <v>6.7</v>
      </c>
      <c r="C282">
        <v>17</v>
      </c>
      <c r="E282" cm="1">
        <f t="array" ref="E282">_xlfn.IFS(E281=0,1,AND(E281=1,E280=1,E279=1),2,AND(E281=2,E280=2,E279=2),3,AND(E281=3,E280=3,E279=3),4,AND(E281=5,C281&gt;=20),0,AND(OR(E281=4,E281=5),OR(E280=4,E280=5),OR(E279=4,E279=5)), 5, TRUE,E281)</f>
        <v>5</v>
      </c>
    </row>
    <row r="283" spans="1:5" x14ac:dyDescent="0.25">
      <c r="A283">
        <v>282</v>
      </c>
      <c r="B283">
        <v>3.5</v>
      </c>
      <c r="C283">
        <v>13</v>
      </c>
      <c r="E283" cm="1">
        <f t="array" ref="E283">_xlfn.IFS(E282=0,1,AND(E282=1,E281=1,E280=1),2,AND(E282=2,E281=2,E280=2),3,AND(E282=3,E281=3,E280=3),4,AND(E282=5,C282&gt;=20),0,AND(OR(E282=4,E282=5),OR(E281=4,E281=5),OR(E280=4,E280=5)), 5, TRUE,E282)</f>
        <v>5</v>
      </c>
    </row>
    <row r="284" spans="1:5" x14ac:dyDescent="0.25">
      <c r="A284">
        <v>283</v>
      </c>
      <c r="B284">
        <v>1.6</v>
      </c>
      <c r="C284">
        <v>18</v>
      </c>
      <c r="E284" cm="1">
        <f t="array" ref="E284">_xlfn.IFS(E283=0,1,AND(E283=1,E282=1,E281=1),2,AND(E283=2,E282=2,E281=2),3,AND(E283=3,E282=3,E281=3),4,AND(E283=5,C283&gt;=20),0,AND(OR(E283=4,E283=5),OR(E282=4,E282=5),OR(E281=4,E281=5)), 5, TRUE,E283)</f>
        <v>5</v>
      </c>
    </row>
    <row r="285" spans="1:5" x14ac:dyDescent="0.25">
      <c r="A285">
        <v>284</v>
      </c>
      <c r="B285">
        <v>1.4</v>
      </c>
      <c r="C285">
        <v>20</v>
      </c>
      <c r="E285" cm="1">
        <f t="array" ref="E285">_xlfn.IFS(E284=0,1,AND(E284=1,E283=1,E282=1),2,AND(E284=2,E283=2,E282=2),3,AND(E284=3,E283=3,E282=3),4,AND(E284=5,C284&gt;=20),0,AND(OR(E284=4,E284=5),OR(E283=4,E283=5),OR(E282=4,E282=5)), 5, TRUE,E284)</f>
        <v>5</v>
      </c>
    </row>
    <row r="286" spans="1:5" x14ac:dyDescent="0.25">
      <c r="A286">
        <v>285</v>
      </c>
      <c r="B286">
        <v>2.8</v>
      </c>
      <c r="C286">
        <v>0</v>
      </c>
      <c r="E286" cm="1">
        <f t="array" ref="E286">_xlfn.IFS(E285=0,1,AND(E285=1,E284=1,E283=1),2,AND(E285=2,E284=2,E283=2),3,AND(E285=3,E284=3,E283=3),4,AND(E285=5,C285&gt;=20),0,AND(OR(E285=4,E285=5),OR(E284=4,E284=5),OR(E283=4,E283=5)), 5, TRUE,E285)</f>
        <v>0</v>
      </c>
    </row>
    <row r="287" spans="1:5" x14ac:dyDescent="0.25">
      <c r="A287">
        <v>286</v>
      </c>
      <c r="B287">
        <v>5.2</v>
      </c>
      <c r="C287">
        <v>6</v>
      </c>
      <c r="E287" cm="1">
        <f t="array" ref="E287">_xlfn.IFS(E286=0,1,AND(E286=1,E285=1,E284=1),2,AND(E286=2,E285=2,E284=2),3,AND(E286=3,E285=3,E284=3),4,AND(E286=5,C286&gt;=20),0,AND(OR(E286=4,E286=5),OR(E285=4,E285=5),OR(E284=4,E284=5)), 5, TRUE,E286)</f>
        <v>1</v>
      </c>
    </row>
    <row r="288" spans="1:5" x14ac:dyDescent="0.25">
      <c r="A288">
        <v>287</v>
      </c>
      <c r="B288">
        <v>7.7</v>
      </c>
      <c r="C288">
        <v>5</v>
      </c>
      <c r="E288" cm="1">
        <f t="array" ref="E288">_xlfn.IFS(E287=0,1,AND(E287=1,E286=1,E285=1),2,AND(E287=2,E286=2,E285=2),3,AND(E287=3,E286=3,E285=3),4,AND(E287=5,C287&gt;=20),0,AND(OR(E287=4,E287=5),OR(E286=4,E286=5),OR(E285=4,E285=5)), 5, TRUE,E287)</f>
        <v>1</v>
      </c>
    </row>
    <row r="289" spans="1:5" x14ac:dyDescent="0.25">
      <c r="A289">
        <v>288</v>
      </c>
      <c r="B289">
        <v>9.6</v>
      </c>
      <c r="C289">
        <v>1</v>
      </c>
      <c r="E289" cm="1">
        <f t="array" ref="E289">_xlfn.IFS(E288=0,1,AND(E288=1,E287=1,E286=1),2,AND(E288=2,E287=2,E286=2),3,AND(E288=3,E287=3,E286=3),4,AND(E288=5,C288&gt;=20),0,AND(OR(E288=4,E288=5),OR(E287=4,E287=5),OR(E286=4,E286=5)), 5, TRUE,E288)</f>
        <v>1</v>
      </c>
    </row>
    <row r="290" spans="1:5" x14ac:dyDescent="0.25">
      <c r="A290">
        <v>289</v>
      </c>
      <c r="B290">
        <v>10.1</v>
      </c>
      <c r="C290">
        <v>8</v>
      </c>
      <c r="E290" cm="1">
        <f t="array" ref="E290">_xlfn.IFS(E289=0,1,AND(E289=1,E288=1,E287=1),2,AND(E289=2,E288=2,E287=2),3,AND(E289=3,E288=3,E287=3),4,AND(E289=5,C289&gt;=20),0,AND(OR(E289=4,E289=5),OR(E288=4,E288=5),OR(E287=4,E287=5)), 5, TRUE,E289)</f>
        <v>2</v>
      </c>
    </row>
    <row r="291" spans="1:5" x14ac:dyDescent="0.25">
      <c r="A291">
        <v>290</v>
      </c>
      <c r="B291">
        <v>9.3000000000000007</v>
      </c>
      <c r="C291">
        <v>3</v>
      </c>
      <c r="E291" cm="1">
        <f t="array" ref="E291">_xlfn.IFS(E290=0,1,AND(E290=1,E289=1,E288=1),2,AND(E290=2,E289=2,E288=2),3,AND(E290=3,E289=3,E288=3),4,AND(E290=5,C290&gt;=20),0,AND(OR(E290=4,E290=5),OR(E289=4,E289=5),OR(E288=4,E288=5)), 5, TRUE,E290)</f>
        <v>2</v>
      </c>
    </row>
    <row r="292" spans="1:5" x14ac:dyDescent="0.25">
      <c r="A292">
        <v>291</v>
      </c>
      <c r="B292">
        <v>7.4</v>
      </c>
      <c r="C292">
        <v>5</v>
      </c>
      <c r="E292" cm="1">
        <f t="array" ref="E292">_xlfn.IFS(E291=0,1,AND(E291=1,E290=1,E289=1),2,AND(E291=2,E290=2,E289=2),3,AND(E291=3,E290=3,E289=3),4,AND(E291=5,C291&gt;=20),0,AND(OR(E291=4,E291=5),OR(E290=4,E290=5),OR(E289=4,E289=5)), 5, TRUE,E291)</f>
        <v>2</v>
      </c>
    </row>
    <row r="293" spans="1:5" x14ac:dyDescent="0.25">
      <c r="A293">
        <v>292</v>
      </c>
      <c r="B293">
        <v>5.0999999999999996</v>
      </c>
      <c r="C293">
        <v>17</v>
      </c>
      <c r="E293" cm="1">
        <f t="array" ref="E293">_xlfn.IFS(E292=0,1,AND(E292=1,E291=1,E290=1),2,AND(E292=2,E291=2,E290=2),3,AND(E292=3,E291=3,E290=3),4,AND(E292=5,C292&gt;=20),0,AND(OR(E292=4,E292=5),OR(E291=4,E291=5),OR(E290=4,E290=5)), 5, TRUE,E292)</f>
        <v>3</v>
      </c>
    </row>
    <row r="294" spans="1:5" x14ac:dyDescent="0.25">
      <c r="A294">
        <v>293</v>
      </c>
      <c r="B294">
        <v>3.5</v>
      </c>
      <c r="C294">
        <v>9</v>
      </c>
      <c r="E294" cm="1">
        <f t="array" ref="E294">_xlfn.IFS(E293=0,1,AND(E293=1,E292=1,E291=1),2,AND(E293=2,E292=2,E291=2),3,AND(E293=3,E292=3,E291=3),4,AND(E293=5,C293&gt;=20),0,AND(OR(E293=4,E293=5),OR(E292=4,E292=5),OR(E291=4,E291=5)), 5, TRUE,E293)</f>
        <v>3</v>
      </c>
    </row>
    <row r="295" spans="1:5" x14ac:dyDescent="0.25">
      <c r="A295">
        <v>294</v>
      </c>
      <c r="B295">
        <v>3.2</v>
      </c>
      <c r="C295">
        <v>4</v>
      </c>
      <c r="E295" cm="1">
        <f t="array" ref="E295">_xlfn.IFS(E294=0,1,AND(E294=1,E293=1,E292=1),2,AND(E294=2,E293=2,E292=2),3,AND(E294=3,E293=3,E292=3),4,AND(E294=5,C294&gt;=20),0,AND(OR(E294=4,E294=5),OR(E293=4,E293=5),OR(E292=4,E292=5)), 5, TRUE,E294)</f>
        <v>3</v>
      </c>
    </row>
    <row r="296" spans="1:5" x14ac:dyDescent="0.25">
      <c r="A296">
        <v>295</v>
      </c>
      <c r="B296">
        <v>4.5999999999999996</v>
      </c>
      <c r="C296">
        <v>24</v>
      </c>
      <c r="E296" cm="1">
        <f t="array" ref="E296">_xlfn.IFS(E295=0,1,AND(E295=1,E294=1,E293=1),2,AND(E295=2,E294=2,E293=2),3,AND(E295=3,E294=3,E293=3),4,AND(E295=5,C295&gt;=20),0,AND(OR(E295=4,E295=5),OR(E294=4,E294=5),OR(E293=4,E293=5)), 5, TRUE,E295)</f>
        <v>4</v>
      </c>
    </row>
    <row r="297" spans="1:5" x14ac:dyDescent="0.25">
      <c r="A297">
        <v>296</v>
      </c>
      <c r="B297">
        <v>7.5</v>
      </c>
      <c r="C297">
        <v>21</v>
      </c>
      <c r="E297" cm="1">
        <f t="array" ref="E297">_xlfn.IFS(E296=0,1,AND(E296=1,E295=1,E294=1),2,AND(E296=2,E295=2,E294=2),3,AND(E296=3,E295=3,E294=3),4,AND(E296=5,C296&gt;=20),0,AND(OR(E296=4,E296=5),OR(E295=4,E295=5),OR(E294=4,E294=5)), 5, TRUE,E296)</f>
        <v>4</v>
      </c>
    </row>
    <row r="298" spans="1:5" x14ac:dyDescent="0.25">
      <c r="A298">
        <v>297</v>
      </c>
      <c r="B298">
        <v>11.3</v>
      </c>
      <c r="C298">
        <v>8</v>
      </c>
      <c r="E298" cm="1">
        <f t="array" ref="E298">_xlfn.IFS(E297=0,1,AND(E297=1,E296=1,E295=1),2,AND(E297=2,E296=2,E295=2),3,AND(E297=3,E296=3,E295=3),4,AND(E297=5,C297&gt;=20),0,AND(OR(E297=4,E297=5),OR(E296=4,E296=5),OR(E295=4,E295=5)), 5, TRUE,E297)</f>
        <v>4</v>
      </c>
    </row>
    <row r="299" spans="1:5" x14ac:dyDescent="0.25">
      <c r="A299">
        <v>298</v>
      </c>
      <c r="B299">
        <v>15.2</v>
      </c>
      <c r="C299">
        <v>23</v>
      </c>
      <c r="E299" cm="1">
        <f t="array" ref="E299">_xlfn.IFS(E298=0,1,AND(E298=1,E297=1,E296=1),2,AND(E298=2,E297=2,E296=2),3,AND(E298=3,E297=3,E296=3),4,AND(E298=5,C298&gt;=20),0,AND(OR(E298=4,E298=5),OR(E297=4,E297=5),OR(E296=4,E296=5)), 5, TRUE,E298)</f>
        <v>5</v>
      </c>
    </row>
    <row r="300" spans="1:5" x14ac:dyDescent="0.25">
      <c r="A300">
        <v>299</v>
      </c>
      <c r="B300">
        <v>18.3</v>
      </c>
      <c r="C300">
        <v>0</v>
      </c>
      <c r="E300" cm="1">
        <f t="array" ref="E300">_xlfn.IFS(E299=0,1,AND(E299=1,E298=1,E297=1),2,AND(E299=2,E298=2,E297=2),3,AND(E299=3,E298=3,E297=3),4,AND(E299=5,C299&gt;=20),0,AND(OR(E299=4,E299=5),OR(E298=4,E298=5),OR(E297=4,E297=5)), 5, TRUE,E299)</f>
        <v>0</v>
      </c>
    </row>
    <row r="301" spans="1:5" x14ac:dyDescent="0.25">
      <c r="A301">
        <v>300</v>
      </c>
      <c r="B301">
        <v>19.899999999999999</v>
      </c>
      <c r="C301">
        <v>5</v>
      </c>
      <c r="E301" cm="1">
        <f t="array" ref="E301">_xlfn.IFS(E300=0,1,AND(E300=1,E299=1,E298=1),2,AND(E300=2,E299=2,E298=2),3,AND(E300=3,E299=3,E298=3),4,AND(E300=5,C300&gt;=20),0,AND(OR(E300=4,E300=5),OR(E299=4,E299=5),OR(E298=4,E298=5)), 5, TRUE,E300)</f>
        <v>1</v>
      </c>
    </row>
    <row r="302" spans="1:5" x14ac:dyDescent="0.25">
      <c r="A302">
        <v>301</v>
      </c>
      <c r="B302">
        <v>20</v>
      </c>
      <c r="C302">
        <v>4</v>
      </c>
      <c r="E302" cm="1">
        <f t="array" ref="E302">_xlfn.IFS(E301=0,1,AND(E301=1,E300=1,E299=1),2,AND(E301=2,E300=2,E299=2),3,AND(E301=3,E300=3,E299=3),4,AND(E301=5,C301&gt;=20),0,AND(OR(E301=4,E301=5),OR(E300=4,E300=5),OR(E299=4,E299=5)), 5, TRUE,E301)</f>
        <v>1</v>
      </c>
    </row>
    <row r="303" spans="1:5" x14ac:dyDescent="0.25">
      <c r="A303">
        <v>302</v>
      </c>
      <c r="B303">
        <v>18.899999999999999</v>
      </c>
      <c r="C303">
        <v>5</v>
      </c>
      <c r="E303" cm="1">
        <f t="array" ref="E303">_xlfn.IFS(E302=0,1,AND(E302=1,E301=1,E300=1),2,AND(E302=2,E301=2,E300=2),3,AND(E302=3,E301=3,E300=3),4,AND(E302=5,C302&gt;=20),0,AND(OR(E302=4,E302=5),OR(E301=4,E301=5),OR(E300=4,E300=5)), 5, TRUE,E302)</f>
        <v>1</v>
      </c>
    </row>
    <row r="304" spans="1:5" x14ac:dyDescent="0.25">
      <c r="A304">
        <v>303</v>
      </c>
      <c r="B304">
        <v>17.3</v>
      </c>
      <c r="C304">
        <v>2</v>
      </c>
      <c r="E304" cm="1">
        <f t="array" ref="E304">_xlfn.IFS(E303=0,1,AND(E303=1,E302=1,E301=1),2,AND(E303=2,E302=2,E301=2),3,AND(E303=3,E302=3,E301=3),4,AND(E303=5,C303&gt;=20),0,AND(OR(E303=4,E303=5),OR(E302=4,E302=5),OR(E301=4,E301=5)), 5, TRUE,E303)</f>
        <v>2</v>
      </c>
    </row>
    <row r="305" spans="1:5" x14ac:dyDescent="0.25">
      <c r="A305">
        <v>304</v>
      </c>
      <c r="B305">
        <v>16</v>
      </c>
      <c r="C305">
        <v>7</v>
      </c>
      <c r="E305" cm="1">
        <f t="array" ref="E305">_xlfn.IFS(E304=0,1,AND(E304=1,E303=1,E302=1),2,AND(E304=2,E303=2,E302=2),3,AND(E304=3,E303=3,E302=3),4,AND(E304=5,C304&gt;=20),0,AND(OR(E304=4,E304=5),OR(E303=4,E303=5),OR(E302=4,E302=5)), 5, TRUE,E304)</f>
        <v>2</v>
      </c>
    </row>
    <row r="306" spans="1:5" x14ac:dyDescent="0.25">
      <c r="A306">
        <v>305</v>
      </c>
      <c r="B306">
        <v>15.9</v>
      </c>
      <c r="C306">
        <v>4</v>
      </c>
      <c r="E306" cm="1">
        <f t="array" ref="E306">_xlfn.IFS(E305=0,1,AND(E305=1,E304=1,E303=1),2,AND(E305=2,E304=2,E303=2),3,AND(E305=3,E304=3,E303=3),4,AND(E305=5,C305&gt;=20),0,AND(OR(E305=4,E305=5),OR(E304=4,E304=5),OR(E303=4,E303=5)), 5, TRUE,E305)</f>
        <v>2</v>
      </c>
    </row>
    <row r="307" spans="1:5" x14ac:dyDescent="0.25">
      <c r="A307">
        <v>306</v>
      </c>
      <c r="B307">
        <v>17.3</v>
      </c>
      <c r="C307">
        <v>17</v>
      </c>
      <c r="E307" cm="1">
        <f t="array" ref="E307">_xlfn.IFS(E306=0,1,AND(E306=1,E305=1,E304=1),2,AND(E306=2,E305=2,E304=2),3,AND(E306=3,E305=3,E304=3),4,AND(E306=5,C306&gt;=20),0,AND(OR(E306=4,E306=5),OR(E305=4,E305=5),OR(E304=4,E304=5)), 5, TRUE,E306)</f>
        <v>3</v>
      </c>
    </row>
    <row r="308" spans="1:5" x14ac:dyDescent="0.25">
      <c r="A308">
        <v>307</v>
      </c>
      <c r="B308">
        <v>20</v>
      </c>
      <c r="C308">
        <v>14</v>
      </c>
      <c r="E308" cm="1">
        <f t="array" ref="E308">_xlfn.IFS(E307=0,1,AND(E307=1,E306=1,E305=1),2,AND(E307=2,E306=2,E305=2),3,AND(E307=3,E306=3,E305=3),4,AND(E307=5,C307&gt;=20),0,AND(OR(E307=4,E307=5),OR(E306=4,E306=5),OR(E305=4,E305=5)), 5, TRUE,E307)</f>
        <v>3</v>
      </c>
    </row>
    <row r="309" spans="1:5" x14ac:dyDescent="0.25">
      <c r="A309">
        <v>308</v>
      </c>
      <c r="B309">
        <v>23.4</v>
      </c>
      <c r="C309">
        <v>9</v>
      </c>
      <c r="E309" cm="1">
        <f t="array" ref="E309">_xlfn.IFS(E308=0,1,AND(E308=1,E307=1,E306=1),2,AND(E308=2,E307=2,E306=2),3,AND(E308=3,E307=3,E306=3),4,AND(E308=5,C308&gt;=20),0,AND(OR(E308=4,E308=5),OR(E307=4,E307=5),OR(E306=4,E306=5)), 5, TRUE,E308)</f>
        <v>3</v>
      </c>
    </row>
    <row r="310" spans="1:5" x14ac:dyDescent="0.25">
      <c r="A310">
        <v>309</v>
      </c>
      <c r="B310">
        <v>26.8</v>
      </c>
      <c r="C310">
        <v>6</v>
      </c>
      <c r="E310" cm="1">
        <f t="array" ref="E310">_xlfn.IFS(E309=0,1,AND(E309=1,E308=1,E307=1),2,AND(E309=2,E308=2,E307=2),3,AND(E309=3,E308=3,E307=3),4,AND(E309=5,C309&gt;=20),0,AND(OR(E309=4,E309=5),OR(E308=4,E308=5),OR(E307=4,E307=5)), 5, TRUE,E309)</f>
        <v>4</v>
      </c>
    </row>
    <row r="311" spans="1:5" x14ac:dyDescent="0.25">
      <c r="A311">
        <v>310</v>
      </c>
      <c r="B311">
        <v>29.1</v>
      </c>
      <c r="C311">
        <v>16</v>
      </c>
      <c r="E311" cm="1">
        <f t="array" ref="E311">_xlfn.IFS(E310=0,1,AND(E310=1,E309=1,E308=1),2,AND(E310=2,E309=2,E308=2),3,AND(E310=3,E309=3,E308=3),4,AND(E310=5,C310&gt;=20),0,AND(OR(E310=4,E310=5),OR(E309=4,E309=5),OR(E308=4,E308=5)), 5, TRUE,E310)</f>
        <v>4</v>
      </c>
    </row>
    <row r="312" spans="1:5" x14ac:dyDescent="0.25">
      <c r="A312">
        <v>311</v>
      </c>
      <c r="B312">
        <v>29.8</v>
      </c>
      <c r="C312">
        <v>2</v>
      </c>
      <c r="E312" cm="1">
        <f t="array" ref="E312">_xlfn.IFS(E311=0,1,AND(E311=1,E310=1,E309=1),2,AND(E311=2,E310=2,E309=2),3,AND(E311=3,E310=3,E309=3),4,AND(E311=5,C311&gt;=20),0,AND(OR(E311=4,E311=5),OR(E310=4,E310=5),OR(E309=4,E309=5)), 5, TRUE,E311)</f>
        <v>4</v>
      </c>
    </row>
    <row r="313" spans="1:5" x14ac:dyDescent="0.25">
      <c r="A313">
        <v>312</v>
      </c>
      <c r="B313">
        <v>28.8</v>
      </c>
      <c r="C313">
        <v>25</v>
      </c>
      <c r="E313" cm="1">
        <f t="array" ref="E313">_xlfn.IFS(E312=0,1,AND(E312=1,E311=1,E310=1),2,AND(E312=2,E311=2,E310=2),3,AND(E312=3,E311=3,E310=3),4,AND(E312=5,C312&gt;=20),0,AND(OR(E312=4,E312=5),OR(E311=4,E311=5),OR(E310=4,E310=5)), 5, TRUE,E312)</f>
        <v>5</v>
      </c>
    </row>
    <row r="314" spans="1:5" x14ac:dyDescent="0.25">
      <c r="A314">
        <v>313</v>
      </c>
      <c r="B314">
        <v>26.4</v>
      </c>
      <c r="C314">
        <v>0</v>
      </c>
      <c r="E314" cm="1">
        <f t="array" ref="E314">_xlfn.IFS(E313=0,1,AND(E313=1,E312=1,E311=1),2,AND(E313=2,E312=2,E311=2),3,AND(E313=3,E312=3,E311=3),4,AND(E313=5,C313&gt;=20),0,AND(OR(E313=4,E313=5),OR(E312=4,E312=5),OR(E311=4,E311=5)), 5, TRUE,E313)</f>
        <v>0</v>
      </c>
    </row>
    <row r="315" spans="1:5" x14ac:dyDescent="0.25">
      <c r="A315">
        <v>314</v>
      </c>
      <c r="B315">
        <v>23.4</v>
      </c>
      <c r="C315">
        <v>3</v>
      </c>
      <c r="E315" cm="1">
        <f t="array" ref="E315">_xlfn.IFS(E314=0,1,AND(E314=1,E313=1,E312=1),2,AND(E314=2,E313=2,E312=2),3,AND(E314=3,E313=3,E312=3),4,AND(E314=5,C314&gt;=20),0,AND(OR(E314=4,E314=5),OR(E313=4,E313=5),OR(E312=4,E312=5)), 5, TRUE,E314)</f>
        <v>1</v>
      </c>
    </row>
    <row r="316" spans="1:5" x14ac:dyDescent="0.25">
      <c r="A316">
        <v>315</v>
      </c>
      <c r="B316">
        <v>20.7</v>
      </c>
      <c r="C316">
        <v>4</v>
      </c>
      <c r="E316" cm="1">
        <f t="array" ref="E316">_xlfn.IFS(E315=0,1,AND(E315=1,E314=1,E313=1),2,AND(E315=2,E314=2,E313=2),3,AND(E315=3,E314=3,E313=3),4,AND(E315=5,C315&gt;=20),0,AND(OR(E315=4,E315=5),OR(E314=4,E314=5),OR(E313=4,E313=5)), 5, TRUE,E315)</f>
        <v>1</v>
      </c>
    </row>
    <row r="317" spans="1:5" x14ac:dyDescent="0.25">
      <c r="A317">
        <v>316</v>
      </c>
      <c r="B317">
        <v>19.100000000000001</v>
      </c>
      <c r="C317">
        <v>6</v>
      </c>
      <c r="E317" cm="1">
        <f t="array" ref="E317">_xlfn.IFS(E316=0,1,AND(E316=1,E315=1,E314=1),2,AND(E316=2,E315=2,E314=2),3,AND(E316=3,E315=3,E314=3),4,AND(E316=5,C316&gt;=20),0,AND(OR(E316=4,E316=5),OR(E315=4,E315=5),OR(E314=4,E314=5)), 5, TRUE,E316)</f>
        <v>1</v>
      </c>
    </row>
    <row r="318" spans="1:5" x14ac:dyDescent="0.25">
      <c r="A318">
        <v>317</v>
      </c>
      <c r="B318">
        <v>18.899999999999999</v>
      </c>
      <c r="C318">
        <v>6</v>
      </c>
      <c r="E318" cm="1">
        <f t="array" ref="E318">_xlfn.IFS(E317=0,1,AND(E317=1,E316=1,E315=1),2,AND(E317=2,E316=2,E315=2),3,AND(E317=3,E316=3,E315=3),4,AND(E317=5,C317&gt;=20),0,AND(OR(E317=4,E317=5),OR(E316=4,E316=5),OR(E315=4,E315=5)), 5, TRUE,E317)</f>
        <v>2</v>
      </c>
    </row>
    <row r="319" spans="1:5" x14ac:dyDescent="0.25">
      <c r="A319">
        <v>318</v>
      </c>
      <c r="B319">
        <v>20</v>
      </c>
      <c r="C319">
        <v>5</v>
      </c>
      <c r="E319" cm="1">
        <f t="array" ref="E319">_xlfn.IFS(E318=0,1,AND(E318=1,E317=1,E316=1),2,AND(E318=2,E317=2,E316=2),3,AND(E318=3,E317=3,E316=3),4,AND(E318=5,C318&gt;=20),0,AND(OR(E318=4,E318=5),OR(E317=4,E317=5),OR(E316=4,E316=5)), 5, TRUE,E318)</f>
        <v>2</v>
      </c>
    </row>
    <row r="320" spans="1:5" x14ac:dyDescent="0.25">
      <c r="A320">
        <v>319</v>
      </c>
      <c r="B320">
        <v>21.8</v>
      </c>
      <c r="C320">
        <v>4</v>
      </c>
      <c r="E320" cm="1">
        <f t="array" ref="E320">_xlfn.IFS(E319=0,1,AND(E319=1,E318=1,E317=1),2,AND(E319=2,E318=2,E317=2),3,AND(E319=3,E318=3,E317=3),4,AND(E319=5,C319&gt;=20),0,AND(OR(E319=4,E319=5),OR(E318=4,E318=5),OR(E317=4,E317=5)), 5, TRUE,E319)</f>
        <v>2</v>
      </c>
    </row>
    <row r="321" spans="1:5" x14ac:dyDescent="0.25">
      <c r="A321">
        <v>320</v>
      </c>
      <c r="B321">
        <v>23.6</v>
      </c>
      <c r="C321">
        <v>7</v>
      </c>
      <c r="E321" cm="1">
        <f t="array" ref="E321">_xlfn.IFS(E320=0,1,AND(E320=1,E319=1,E318=1),2,AND(E320=2,E319=2,E318=2),3,AND(E320=3,E319=3,E318=3),4,AND(E320=5,C320&gt;=20),0,AND(OR(E320=4,E320=5),OR(E319=4,E319=5),OR(E318=4,E318=5)), 5, TRUE,E320)</f>
        <v>3</v>
      </c>
    </row>
    <row r="322" spans="1:5" x14ac:dyDescent="0.25">
      <c r="A322">
        <v>321</v>
      </c>
      <c r="B322">
        <v>24.4</v>
      </c>
      <c r="C322">
        <v>12</v>
      </c>
      <c r="E322" cm="1">
        <f t="array" ref="E322">_xlfn.IFS(E321=0,1,AND(E321=1,E320=1,E319=1),2,AND(E321=2,E320=2,E319=2),3,AND(E321=3,E320=3,E319=3),4,AND(E321=5,C321&gt;=20),0,AND(OR(E321=4,E321=5),OR(E320=4,E320=5),OR(E319=4,E319=5)), 5, TRUE,E321)</f>
        <v>3</v>
      </c>
    </row>
    <row r="323" spans="1:5" x14ac:dyDescent="0.25">
      <c r="A323">
        <v>322</v>
      </c>
      <c r="B323">
        <v>23.6</v>
      </c>
      <c r="C323">
        <v>5</v>
      </c>
      <c r="E323" cm="1">
        <f t="array" ref="E323">_xlfn.IFS(E322=0,1,AND(E322=1,E321=1,E320=1),2,AND(E322=2,E321=2,E320=2),3,AND(E322=3,E321=3,E320=3),4,AND(E322=5,C322&gt;=20),0,AND(OR(E322=4,E322=5),OR(E321=4,E321=5),OR(E320=4,E320=5)), 5, TRUE,E322)</f>
        <v>3</v>
      </c>
    </row>
    <row r="324" spans="1:5" x14ac:dyDescent="0.25">
      <c r="A324">
        <v>323</v>
      </c>
      <c r="B324">
        <v>21.3</v>
      </c>
      <c r="C324">
        <v>3</v>
      </c>
      <c r="E324" cm="1">
        <f t="array" ref="E324">_xlfn.IFS(E323=0,1,AND(E323=1,E322=1,E321=1),2,AND(E323=2,E322=2,E321=2),3,AND(E323=3,E322=3,E321=3),4,AND(E323=5,C323&gt;=20),0,AND(OR(E323=4,E323=5),OR(E322=4,E322=5),OR(E321=4,E321=5)), 5, TRUE,E323)</f>
        <v>4</v>
      </c>
    </row>
    <row r="325" spans="1:5" x14ac:dyDescent="0.25">
      <c r="A325">
        <v>324</v>
      </c>
      <c r="B325">
        <v>17.7</v>
      </c>
      <c r="C325">
        <v>21</v>
      </c>
      <c r="E325" cm="1">
        <f t="array" ref="E325">_xlfn.IFS(E324=0,1,AND(E324=1,E323=1,E322=1),2,AND(E324=2,E323=2,E322=2),3,AND(E324=3,E323=3,E322=3),4,AND(E324=5,C324&gt;=20),0,AND(OR(E324=4,E324=5),OR(E323=4,E323=5),OR(E322=4,E322=5)), 5, TRUE,E324)</f>
        <v>4</v>
      </c>
    </row>
    <row r="326" spans="1:5" x14ac:dyDescent="0.25">
      <c r="A326">
        <v>325</v>
      </c>
      <c r="B326">
        <v>13.6</v>
      </c>
      <c r="C326">
        <v>18</v>
      </c>
      <c r="E326" cm="1">
        <f t="array" ref="E326">_xlfn.IFS(E325=0,1,AND(E325=1,E324=1,E323=1),2,AND(E325=2,E324=2,E323=2),3,AND(E325=3,E324=3,E323=3),4,AND(E325=5,C325&gt;=20),0,AND(OR(E325=4,E325=5),OR(E324=4,E324=5),OR(E323=4,E323=5)), 5, TRUE,E325)</f>
        <v>4</v>
      </c>
    </row>
    <row r="327" spans="1:5" x14ac:dyDescent="0.25">
      <c r="A327">
        <v>326</v>
      </c>
      <c r="B327">
        <v>10</v>
      </c>
      <c r="C327">
        <v>13</v>
      </c>
      <c r="E327" cm="1">
        <f t="array" ref="E327">_xlfn.IFS(E326=0,1,AND(E326=1,E325=1,E324=1),2,AND(E326=2,E325=2,E324=2),3,AND(E326=3,E325=3,E324=3),4,AND(E326=5,C326&gt;=20),0,AND(OR(E326=4,E326=5),OR(E325=4,E325=5),OR(E324=4,E324=5)), 5, TRUE,E326)</f>
        <v>5</v>
      </c>
    </row>
    <row r="328" spans="1:5" x14ac:dyDescent="0.25">
      <c r="A328">
        <v>327</v>
      </c>
      <c r="B328">
        <v>7.6</v>
      </c>
      <c r="C328">
        <v>28</v>
      </c>
      <c r="E328" cm="1">
        <f t="array" ref="E328">_xlfn.IFS(E327=0,1,AND(E327=1,E326=1,E325=1),2,AND(E327=2,E326=2,E325=2),3,AND(E327=3,E326=3,E325=3),4,AND(E327=5,C327&gt;=20),0,AND(OR(E327=4,E327=5),OR(E326=4,E326=5),OR(E325=4,E325=5)), 5, TRUE,E327)</f>
        <v>5</v>
      </c>
    </row>
    <row r="329" spans="1:5" x14ac:dyDescent="0.25">
      <c r="A329">
        <v>328</v>
      </c>
      <c r="B329">
        <v>6.8</v>
      </c>
      <c r="C329">
        <v>0</v>
      </c>
      <c r="E329" cm="1">
        <f t="array" ref="E329">_xlfn.IFS(E328=0,1,AND(E328=1,E327=1,E326=1),2,AND(E328=2,E327=2,E326=2),3,AND(E328=3,E327=3,E326=3),4,AND(E328=5,C328&gt;=20),0,AND(OR(E328=4,E328=5),OR(E327=4,E327=5),OR(E326=4,E326=5)), 5, TRUE,E328)</f>
        <v>0</v>
      </c>
    </row>
    <row r="330" spans="1:5" x14ac:dyDescent="0.25">
      <c r="A330">
        <v>329</v>
      </c>
      <c r="B330">
        <v>7.5</v>
      </c>
      <c r="C330">
        <v>2</v>
      </c>
      <c r="E330" cm="1">
        <f t="array" ref="E330">_xlfn.IFS(E329=0,1,AND(E329=1,E328=1,E327=1),2,AND(E329=2,E328=2,E327=2),3,AND(E329=3,E328=3,E327=3),4,AND(E329=5,C329&gt;=20),0,AND(OR(E329=4,E329=5),OR(E328=4,E328=5),OR(E327=4,E327=5)), 5, TRUE,E329)</f>
        <v>1</v>
      </c>
    </row>
    <row r="331" spans="1:5" x14ac:dyDescent="0.25">
      <c r="A331">
        <v>330</v>
      </c>
      <c r="B331">
        <v>9.1</v>
      </c>
      <c r="C331">
        <v>2</v>
      </c>
      <c r="E331" cm="1">
        <f t="array" ref="E331">_xlfn.IFS(E330=0,1,AND(E330=1,E329=1,E328=1),2,AND(E330=2,E329=2,E328=2),3,AND(E330=3,E329=3,E328=3),4,AND(E330=5,C330&gt;=20),0,AND(OR(E330=4,E330=5),OR(E329=4,E329=5),OR(E328=4,E328=5)), 5, TRUE,E330)</f>
        <v>1</v>
      </c>
    </row>
    <row r="332" spans="1:5" x14ac:dyDescent="0.25">
      <c r="A332">
        <v>331</v>
      </c>
      <c r="B332">
        <v>10.9</v>
      </c>
      <c r="C332">
        <v>6</v>
      </c>
      <c r="E332" cm="1">
        <f t="array" ref="E332">_xlfn.IFS(E331=0,1,AND(E331=1,E330=1,E329=1),2,AND(E331=2,E330=2,E329=2),3,AND(E331=3,E330=3,E329=3),4,AND(E331=5,C331&gt;=20),0,AND(OR(E331=4,E331=5),OR(E330=4,E330=5),OR(E329=4,E329=5)), 5, TRUE,E331)</f>
        <v>1</v>
      </c>
    </row>
    <row r="333" spans="1:5" x14ac:dyDescent="0.25">
      <c r="A333">
        <v>332</v>
      </c>
      <c r="B333">
        <v>11.8</v>
      </c>
      <c r="C333">
        <v>11</v>
      </c>
      <c r="E333" cm="1">
        <f t="array" ref="E333">_xlfn.IFS(E332=0,1,AND(E332=1,E331=1,E330=1),2,AND(E332=2,E331=2,E330=2),3,AND(E332=3,E331=3,E330=3),4,AND(E332=5,C332&gt;=20),0,AND(OR(E332=4,E332=5),OR(E331=4,E331=5),OR(E330=4,E330=5)), 5, TRUE,E332)</f>
        <v>2</v>
      </c>
    </row>
    <row r="334" spans="1:5" x14ac:dyDescent="0.25">
      <c r="A334">
        <v>333</v>
      </c>
      <c r="B334">
        <v>11.5</v>
      </c>
      <c r="C334">
        <v>9</v>
      </c>
      <c r="E334" cm="1">
        <f t="array" ref="E334">_xlfn.IFS(E333=0,1,AND(E333=1,E332=1,E331=1),2,AND(E333=2,E332=2,E331=2),3,AND(E333=3,E332=3,E331=3),4,AND(E333=5,C333&gt;=20),0,AND(OR(E333=4,E333=5),OR(E332=4,E332=5),OR(E331=4,E331=5)), 5, TRUE,E333)</f>
        <v>2</v>
      </c>
    </row>
    <row r="335" spans="1:5" x14ac:dyDescent="0.25">
      <c r="A335">
        <v>334</v>
      </c>
      <c r="B335">
        <v>9.6999999999999993</v>
      </c>
      <c r="C335">
        <v>7</v>
      </c>
      <c r="E335" cm="1">
        <f t="array" ref="E335">_xlfn.IFS(E334=0,1,AND(E334=1,E333=1,E332=1),2,AND(E334=2,E333=2,E332=2),3,AND(E334=3,E333=3,E332=3),4,AND(E334=5,C334&gt;=20),0,AND(OR(E334=4,E334=5),OR(E333=4,E333=5),OR(E332=4,E332=5)), 5, TRUE,E334)</f>
        <v>2</v>
      </c>
    </row>
    <row r="336" spans="1:5" x14ac:dyDescent="0.25">
      <c r="A336">
        <v>335</v>
      </c>
      <c r="B336">
        <v>6.9</v>
      </c>
      <c r="C336">
        <v>17</v>
      </c>
      <c r="E336" cm="1">
        <f t="array" ref="E336">_xlfn.IFS(E335=0,1,AND(E335=1,E334=1,E333=1),2,AND(E335=2,E334=2,E333=2),3,AND(E335=3,E334=3,E333=3),4,AND(E335=5,C335&gt;=20),0,AND(OR(E335=4,E335=5),OR(E334=4,E334=5),OR(E333=4,E333=5)), 5, TRUE,E335)</f>
        <v>3</v>
      </c>
    </row>
    <row r="337" spans="1:5" x14ac:dyDescent="0.25">
      <c r="A337">
        <v>336</v>
      </c>
      <c r="B337">
        <v>3.8</v>
      </c>
      <c r="C337">
        <v>1</v>
      </c>
      <c r="E337" cm="1">
        <f t="array" ref="E337">_xlfn.IFS(E336=0,1,AND(E336=1,E335=1,E334=1),2,AND(E336=2,E335=2,E334=2),3,AND(E336=3,E335=3,E334=3),4,AND(E336=5,C336&gt;=20),0,AND(OR(E336=4,E336=5),OR(E335=4,E335=5),OR(E334=4,E334=5)), 5, TRUE,E336)</f>
        <v>3</v>
      </c>
    </row>
    <row r="338" spans="1:5" x14ac:dyDescent="0.25">
      <c r="A338">
        <v>337</v>
      </c>
      <c r="B338">
        <v>1.2</v>
      </c>
      <c r="C338">
        <v>2</v>
      </c>
      <c r="E338" cm="1">
        <f t="array" ref="E338">_xlfn.IFS(E337=0,1,AND(E337=1,E336=1,E335=1),2,AND(E337=2,E336=2,E335=2),3,AND(E337=3,E336=3,E335=3),4,AND(E337=5,C337&gt;=20),0,AND(OR(E337=4,E337=5),OR(E336=4,E336=5),OR(E335=4,E335=5)), 5, TRUE,E337)</f>
        <v>3</v>
      </c>
    </row>
    <row r="339" spans="1:5" x14ac:dyDescent="0.25">
      <c r="A339">
        <v>338</v>
      </c>
      <c r="B339">
        <v>0.1</v>
      </c>
      <c r="C339">
        <v>15</v>
      </c>
      <c r="E339" cm="1">
        <f t="array" ref="E339">_xlfn.IFS(E338=0,1,AND(E338=1,E337=1,E336=1),2,AND(E338=2,E337=2,E336=2),3,AND(E338=3,E337=3,E336=3),4,AND(E338=5,C338&gt;=20),0,AND(OR(E338=4,E338=5),OR(E337=4,E337=5),OR(E336=4,E336=5)), 5, TRUE,E338)</f>
        <v>4</v>
      </c>
    </row>
    <row r="340" spans="1:5" x14ac:dyDescent="0.25">
      <c r="A340">
        <v>339</v>
      </c>
      <c r="B340">
        <v>0.6</v>
      </c>
      <c r="C340">
        <v>21</v>
      </c>
      <c r="E340" cm="1">
        <f t="array" ref="E340">_xlfn.IFS(E339=0,1,AND(E339=1,E338=1,E337=1),2,AND(E339=2,E338=2,E337=2),3,AND(E339=3,E338=3,E337=3),4,AND(E339=5,C339&gt;=20),0,AND(OR(E339=4,E339=5),OR(E338=4,E338=5),OR(E337=4,E337=5)), 5, TRUE,E339)</f>
        <v>4</v>
      </c>
    </row>
    <row r="341" spans="1:5" x14ac:dyDescent="0.25">
      <c r="A341">
        <v>340</v>
      </c>
      <c r="B341">
        <v>2.8</v>
      </c>
      <c r="C341">
        <v>8</v>
      </c>
      <c r="E341" cm="1">
        <f t="array" ref="E341">_xlfn.IFS(E340=0,1,AND(E340=1,E339=1,E338=1),2,AND(E340=2,E339=2,E338=2),3,AND(E340=3,E339=3,E338=3),4,AND(E340=5,C340&gt;=20),0,AND(OR(E340=4,E340=5),OR(E339=4,E339=5),OR(E338=4,E338=5)), 5, TRUE,E340)</f>
        <v>4</v>
      </c>
    </row>
    <row r="342" spans="1:5" x14ac:dyDescent="0.25">
      <c r="A342">
        <v>341</v>
      </c>
      <c r="B342">
        <v>6</v>
      </c>
      <c r="C342">
        <v>27</v>
      </c>
      <c r="E342" cm="1">
        <f t="array" ref="E342">_xlfn.IFS(E341=0,1,AND(E341=1,E340=1,E339=1),2,AND(E341=2,E340=2,E339=2),3,AND(E341=3,E340=3,E339=3),4,AND(E341=5,C341&gt;=20),0,AND(OR(E341=4,E341=5),OR(E340=4,E340=5),OR(E339=4,E339=5)), 5, TRUE,E341)</f>
        <v>5</v>
      </c>
    </row>
    <row r="343" spans="1:5" x14ac:dyDescent="0.25">
      <c r="A343">
        <v>342</v>
      </c>
      <c r="B343">
        <v>9.3000000000000007</v>
      </c>
      <c r="C343">
        <v>0</v>
      </c>
      <c r="E343" cm="1">
        <f t="array" ref="E343">_xlfn.IFS(E342=0,1,AND(E342=1,E341=1,E340=1),2,AND(E342=2,E341=2,E340=2),3,AND(E342=3,E341=3,E340=3),4,AND(E342=5,C342&gt;=20),0,AND(OR(E342=4,E342=5),OR(E341=4,E341=5),OR(E340=4,E340=5)), 5, TRUE,E342)</f>
        <v>0</v>
      </c>
    </row>
    <row r="344" spans="1:5" x14ac:dyDescent="0.25">
      <c r="A344">
        <v>343</v>
      </c>
      <c r="B344">
        <v>11.8</v>
      </c>
      <c r="C344">
        <v>1</v>
      </c>
      <c r="E344" cm="1">
        <f t="array" ref="E344">_xlfn.IFS(E343=0,1,AND(E343=1,E342=1,E341=1),2,AND(E343=2,E342=2,E341=2),3,AND(E343=3,E342=3,E341=3),4,AND(E343=5,C343&gt;=20),0,AND(OR(E343=4,E343=5),OR(E342=4,E342=5),OR(E341=4,E341=5)), 5, TRUE,E343)</f>
        <v>1</v>
      </c>
    </row>
    <row r="345" spans="1:5" x14ac:dyDescent="0.25">
      <c r="A345">
        <v>344</v>
      </c>
      <c r="B345">
        <v>13.1</v>
      </c>
      <c r="C345">
        <v>4</v>
      </c>
      <c r="E345" cm="1">
        <f t="array" ref="E345">_xlfn.IFS(E344=0,1,AND(E344=1,E343=1,E342=1),2,AND(E344=2,E343=2,E342=2),3,AND(E344=3,E343=3,E342=3),4,AND(E344=5,C344&gt;=20),0,AND(OR(E344=4,E344=5),OR(E343=4,E343=5),OR(E342=4,E342=5)), 5, TRUE,E344)</f>
        <v>1</v>
      </c>
    </row>
    <row r="346" spans="1:5" x14ac:dyDescent="0.25">
      <c r="A346">
        <v>345</v>
      </c>
      <c r="B346">
        <v>12.9</v>
      </c>
      <c r="C346">
        <v>1</v>
      </c>
      <c r="E346" cm="1">
        <f t="array" ref="E346">_xlfn.IFS(E345=0,1,AND(E345=1,E344=1,E343=1),2,AND(E345=2,E344=2,E343=2),3,AND(E345=3,E344=3,E343=3),4,AND(E345=5,C345&gt;=20),0,AND(OR(E345=4,E345=5),OR(E344=4,E344=5),OR(E343=4,E343=5)), 5, TRUE,E345)</f>
        <v>1</v>
      </c>
    </row>
    <row r="347" spans="1:5" x14ac:dyDescent="0.25">
      <c r="A347">
        <v>346</v>
      </c>
      <c r="B347">
        <v>11.6</v>
      </c>
      <c r="C347">
        <v>2</v>
      </c>
      <c r="E347" cm="1">
        <f t="array" ref="E347">_xlfn.IFS(E346=0,1,AND(E346=1,E345=1,E344=1),2,AND(E346=2,E345=2,E344=2),3,AND(E346=3,E345=3,E344=3),4,AND(E346=5,C346&gt;=20),0,AND(OR(E346=4,E346=5),OR(E345=4,E345=5),OR(E344=4,E344=5)), 5, TRUE,E346)</f>
        <v>2</v>
      </c>
    </row>
    <row r="348" spans="1:5" x14ac:dyDescent="0.25">
      <c r="A348">
        <v>347</v>
      </c>
      <c r="B348">
        <v>9.9</v>
      </c>
      <c r="C348">
        <v>3</v>
      </c>
      <c r="E348" cm="1">
        <f t="array" ref="E348">_xlfn.IFS(E347=0,1,AND(E347=1,E346=1,E345=1),2,AND(E347=2,E346=2,E345=2),3,AND(E347=3,E346=3,E345=3),4,AND(E347=5,C347&gt;=20),0,AND(OR(E347=4,E347=5),OR(E346=4,E346=5),OR(E345=4,E345=5)), 5, TRUE,E347)</f>
        <v>2</v>
      </c>
    </row>
    <row r="349" spans="1:5" x14ac:dyDescent="0.25">
      <c r="A349">
        <v>348</v>
      </c>
      <c r="B349">
        <v>8.6999999999999993</v>
      </c>
      <c r="C349">
        <v>8</v>
      </c>
      <c r="E349" cm="1">
        <f t="array" ref="E349">_xlfn.IFS(E348=0,1,AND(E348=1,E347=1,E346=1),2,AND(E348=2,E347=2,E346=2),3,AND(E348=3,E347=3,E346=3),4,AND(E348=5,C348&gt;=20),0,AND(OR(E348=4,E348=5),OR(E347=4,E347=5),OR(E346=4,E346=5)), 5, TRUE,E348)</f>
        <v>2</v>
      </c>
    </row>
    <row r="350" spans="1:5" x14ac:dyDescent="0.25">
      <c r="A350">
        <v>349</v>
      </c>
      <c r="B350">
        <v>8.8000000000000007</v>
      </c>
      <c r="C350">
        <v>18</v>
      </c>
      <c r="E350" cm="1">
        <f t="array" ref="E350">_xlfn.IFS(E349=0,1,AND(E349=1,E348=1,E347=1),2,AND(E349=2,E348=2,E347=2),3,AND(E349=3,E348=3,E347=3),4,AND(E349=5,C349&gt;=20),0,AND(OR(E349=4,E349=5),OR(E348=4,E348=5),OR(E347=4,E347=5)), 5, TRUE,E349)</f>
        <v>3</v>
      </c>
    </row>
    <row r="351" spans="1:5" x14ac:dyDescent="0.25">
      <c r="A351">
        <v>350</v>
      </c>
      <c r="B351">
        <v>10.5</v>
      </c>
      <c r="C351">
        <v>15</v>
      </c>
      <c r="E351" cm="1">
        <f t="array" ref="E351">_xlfn.IFS(E350=0,1,AND(E350=1,E349=1,E348=1),2,AND(E350=2,E349=2,E348=2),3,AND(E350=3,E349=3,E348=3),4,AND(E350=5,C350&gt;=20),0,AND(OR(E350=4,E350=5),OR(E349=4,E349=5),OR(E348=4,E348=5)), 5, TRUE,E350)</f>
        <v>3</v>
      </c>
    </row>
    <row r="352" spans="1:5" x14ac:dyDescent="0.25">
      <c r="A352">
        <v>351</v>
      </c>
      <c r="B352">
        <v>13.5</v>
      </c>
      <c r="C352">
        <v>1</v>
      </c>
      <c r="E352" cm="1">
        <f t="array" ref="E352">_xlfn.IFS(E351=0,1,AND(E351=1,E350=1,E349=1),2,AND(E351=2,E350=2,E349=2),3,AND(E351=3,E350=3,E349=3),4,AND(E351=5,C351&gt;=20),0,AND(OR(E351=4,E351=5),OR(E350=4,E350=5),OR(E349=4,E349=5)), 5, TRUE,E351)</f>
        <v>3</v>
      </c>
    </row>
    <row r="353" spans="1:5" x14ac:dyDescent="0.25">
      <c r="A353">
        <v>352</v>
      </c>
      <c r="B353">
        <v>17.5</v>
      </c>
      <c r="C353">
        <v>22</v>
      </c>
      <c r="E353" cm="1">
        <f t="array" ref="E353">_xlfn.IFS(E352=0,1,AND(E352=1,E351=1,E350=1),2,AND(E352=2,E351=2,E350=2),3,AND(E352=3,E351=3,E350=3),4,AND(E352=5,C352&gt;=20),0,AND(OR(E352=4,E352=5),OR(E351=4,E351=5),OR(E350=4,E350=5)), 5, TRUE,E352)</f>
        <v>4</v>
      </c>
    </row>
    <row r="354" spans="1:5" x14ac:dyDescent="0.25">
      <c r="A354">
        <v>353</v>
      </c>
      <c r="B354">
        <v>21.4</v>
      </c>
      <c r="C354">
        <v>4</v>
      </c>
      <c r="E354" cm="1">
        <f t="array" ref="E354">_xlfn.IFS(E353=0,1,AND(E353=1,E352=1,E351=1),2,AND(E353=2,E352=2,E351=2),3,AND(E353=3,E352=3,E351=3),4,AND(E353=5,C353&gt;=20),0,AND(OR(E353=4,E353=5),OR(E352=4,E352=5),OR(E351=4,E351=5)), 5, TRUE,E353)</f>
        <v>4</v>
      </c>
    </row>
    <row r="355" spans="1:5" x14ac:dyDescent="0.25">
      <c r="A355">
        <v>354</v>
      </c>
      <c r="B355">
        <v>24.4</v>
      </c>
      <c r="C355">
        <v>4</v>
      </c>
      <c r="E355" cm="1">
        <f t="array" ref="E355">_xlfn.IFS(E354=0,1,AND(E354=1,E353=1,E352=1),2,AND(E354=2,E353=2,E352=2),3,AND(E354=3,E353=3,E352=3),4,AND(E354=5,C354&gt;=20),0,AND(OR(E354=4,E354=5),OR(E353=4,E353=5),OR(E352=4,E352=5)), 5, TRUE,E354)</f>
        <v>4</v>
      </c>
    </row>
    <row r="356" spans="1:5" x14ac:dyDescent="0.25">
      <c r="A356">
        <v>355</v>
      </c>
      <c r="B356">
        <v>25.8</v>
      </c>
      <c r="C356">
        <v>11</v>
      </c>
      <c r="E356" cm="1">
        <f t="array" ref="E356">_xlfn.IFS(E355=0,1,AND(E355=1,E354=1,E353=1),2,AND(E355=2,E354=2,E353=2),3,AND(E355=3,E354=3,E353=3),4,AND(E355=5,C355&gt;=20),0,AND(OR(E355=4,E355=5),OR(E354=4,E354=5),OR(E353=4,E353=5)), 5, TRUE,E355)</f>
        <v>5</v>
      </c>
    </row>
    <row r="357" spans="1:5" x14ac:dyDescent="0.25">
      <c r="A357">
        <v>356</v>
      </c>
      <c r="B357">
        <v>25.6</v>
      </c>
      <c r="C357">
        <v>25</v>
      </c>
      <c r="E357" cm="1">
        <f t="array" ref="E357">_xlfn.IFS(E356=0,1,AND(E356=1,E355=1,E354=1),2,AND(E356=2,E355=2,E354=2),3,AND(E356=3,E355=3,E354=3),4,AND(E356=5,C356&gt;=20),0,AND(OR(E356=4,E356=5),OR(E355=4,E355=5),OR(E354=4,E354=5)), 5, TRUE,E356)</f>
        <v>5</v>
      </c>
    </row>
    <row r="358" spans="1:5" x14ac:dyDescent="0.25">
      <c r="A358">
        <v>357</v>
      </c>
      <c r="B358">
        <v>24.1</v>
      </c>
      <c r="C358">
        <v>0</v>
      </c>
      <c r="E358" cm="1">
        <f t="array" ref="E358">_xlfn.IFS(E357=0,1,AND(E357=1,E356=1,E355=1),2,AND(E357=2,E356=2,E355=2),3,AND(E357=3,E356=3,E355=3),4,AND(E357=5,C357&gt;=20),0,AND(OR(E357=4,E357=5),OR(E356=4,E356=5),OR(E355=4,E355=5)), 5, TRUE,E357)</f>
        <v>0</v>
      </c>
    </row>
    <row r="359" spans="1:5" x14ac:dyDescent="0.25">
      <c r="A359">
        <v>358</v>
      </c>
      <c r="B359">
        <v>22</v>
      </c>
      <c r="C359">
        <v>4</v>
      </c>
      <c r="E359" cm="1">
        <f t="array" ref="E359">_xlfn.IFS(E358=0,1,AND(E358=1,E357=1,E356=1),2,AND(E358=2,E357=2,E356=2),3,AND(E358=3,E357=3,E356=3),4,AND(E358=5,C358&gt;=20),0,AND(OR(E358=4,E358=5),OR(E357=4,E357=5),OR(E356=4,E356=5)), 5, TRUE,E358)</f>
        <v>1</v>
      </c>
    </row>
    <row r="360" spans="1:5" x14ac:dyDescent="0.25">
      <c r="A360">
        <v>359</v>
      </c>
      <c r="B360">
        <v>20.3</v>
      </c>
      <c r="C360">
        <v>4</v>
      </c>
      <c r="E360" cm="1">
        <f t="array" ref="E360">_xlfn.IFS(E359=0,1,AND(E359=1,E358=1,E357=1),2,AND(E359=2,E358=2,E357=2),3,AND(E359=3,E358=3,E357=3),4,AND(E359=5,C359&gt;=20),0,AND(OR(E359=4,E359=5),OR(E358=4,E358=5),OR(E357=4,E357=5)), 5, TRUE,E359)</f>
        <v>1</v>
      </c>
    </row>
    <row r="361" spans="1:5" x14ac:dyDescent="0.25">
      <c r="A361">
        <v>360</v>
      </c>
      <c r="B361">
        <v>19.600000000000001</v>
      </c>
      <c r="C361">
        <v>1</v>
      </c>
      <c r="E361" cm="1">
        <f t="array" ref="E361">_xlfn.IFS(E360=0,1,AND(E360=1,E359=1,E358=1),2,AND(E360=2,E359=2,E358=2),3,AND(E360=3,E359=3,E358=3),4,AND(E360=5,C360&gt;=20),0,AND(OR(E360=4,E360=5),OR(E359=4,E359=5),OR(E358=4,E358=5)), 5, TRUE,E360)</f>
        <v>1</v>
      </c>
    </row>
    <row r="362" spans="1:5" x14ac:dyDescent="0.25">
      <c r="A362">
        <v>361</v>
      </c>
      <c r="B362">
        <v>20.3</v>
      </c>
      <c r="C362">
        <v>11</v>
      </c>
      <c r="E362" cm="1">
        <f t="array" ref="E362">_xlfn.IFS(E361=0,1,AND(E361=1,E360=1,E359=1),2,AND(E361=2,E360=2,E359=2),3,AND(E361=3,E360=3,E359=3),4,AND(E361=5,C361&gt;=20),0,AND(OR(E361=4,E361=5),OR(E360=4,E360=5),OR(E359=4,E359=5)), 5, TRUE,E361)</f>
        <v>2</v>
      </c>
    </row>
    <row r="363" spans="1:5" x14ac:dyDescent="0.25">
      <c r="A363">
        <v>362</v>
      </c>
      <c r="B363">
        <v>22.3</v>
      </c>
      <c r="C363">
        <v>12</v>
      </c>
      <c r="E363" cm="1">
        <f t="array" ref="E363">_xlfn.IFS(E362=0,1,AND(E362=1,E361=1,E360=1),2,AND(E362=2,E361=2,E360=2),3,AND(E362=3,E361=3,E360=3),4,AND(E362=5,C362&gt;=20),0,AND(OR(E362=4,E362=5),OR(E361=4,E361=5),OR(E360=4,E360=5)), 5, TRUE,E362)</f>
        <v>2</v>
      </c>
    </row>
    <row r="364" spans="1:5" x14ac:dyDescent="0.25">
      <c r="A364">
        <v>363</v>
      </c>
      <c r="B364">
        <v>25</v>
      </c>
      <c r="C364">
        <v>2</v>
      </c>
      <c r="E364" cm="1">
        <f t="array" ref="E364">_xlfn.IFS(E363=0,1,AND(E363=1,E362=1,E361=1),2,AND(E363=2,E362=2,E361=2),3,AND(E363=3,E362=3,E361=3),4,AND(E363=5,C363&gt;=20),0,AND(OR(E363=4,E363=5),OR(E362=4,E362=5),OR(E361=4,E361=5)), 5, TRUE,E363)</f>
        <v>2</v>
      </c>
    </row>
    <row r="365" spans="1:5" x14ac:dyDescent="0.25">
      <c r="A365">
        <v>364</v>
      </c>
      <c r="B365">
        <v>27.5</v>
      </c>
      <c r="C365">
        <v>4</v>
      </c>
      <c r="E365" cm="1">
        <f t="array" ref="E365">_xlfn.IFS(E364=0,1,AND(E364=1,E363=1,E362=1),2,AND(E364=2,E363=2,E362=2),3,AND(E364=3,E363=3,E362=3),4,AND(E364=5,C364&gt;=20),0,AND(OR(E364=4,E364=5),OR(E363=4,E363=5),OR(E362=4,E362=5)), 5, TRUE,E364)</f>
        <v>3</v>
      </c>
    </row>
    <row r="366" spans="1:5" x14ac:dyDescent="0.25">
      <c r="A366">
        <v>365</v>
      </c>
      <c r="B366">
        <v>29.1</v>
      </c>
      <c r="C366">
        <v>18</v>
      </c>
      <c r="E366" cm="1">
        <f t="array" ref="E366">_xlfn.IFS(E365=0,1,AND(E365=1,E364=1,E363=1),2,AND(E365=2,E364=2,E363=2),3,AND(E365=3,E364=3,E363=3),4,AND(E365=5,C365&gt;=20),0,AND(OR(E365=4,E365=5),OR(E364=4,E364=5),OR(E363=4,E363=5)), 5, TRUE,E365)</f>
        <v>3</v>
      </c>
    </row>
    <row r="367" spans="1:5" x14ac:dyDescent="0.25">
      <c r="A367">
        <v>366</v>
      </c>
      <c r="B367">
        <v>29</v>
      </c>
      <c r="C367">
        <v>2</v>
      </c>
      <c r="E367" cm="1">
        <f t="array" ref="E367">_xlfn.IFS(E366=0,1,AND(E366=1,E365=1,E364=1),2,AND(E366=2,E365=2,E364=2),3,AND(E366=3,E365=3,E364=3),4,AND(E366=5,C366&gt;=20),0,AND(OR(E366=4,E366=5),OR(E365=4,E365=5),OR(E364=4,E364=5)), 5, TRUE,E366)</f>
        <v>3</v>
      </c>
    </row>
    <row r="368" spans="1:5" x14ac:dyDescent="0.25">
      <c r="A368">
        <v>367</v>
      </c>
      <c r="B368">
        <v>27.2</v>
      </c>
      <c r="C368">
        <v>19</v>
      </c>
      <c r="E368" cm="1">
        <f t="array" ref="E368">_xlfn.IFS(E367=0,1,AND(E367=1,E366=1,E365=1),2,AND(E367=2,E366=2,E365=2),3,AND(E367=3,E366=3,E365=3),4,AND(E367=5,C367&gt;=20),0,AND(OR(E367=4,E367=5),OR(E366=4,E366=5),OR(E365=4,E365=5)), 5, TRUE,E367)</f>
        <v>4</v>
      </c>
    </row>
    <row r="369" spans="1:5" x14ac:dyDescent="0.25">
      <c r="A369">
        <v>368</v>
      </c>
      <c r="B369">
        <v>24.1</v>
      </c>
      <c r="C369">
        <v>16</v>
      </c>
      <c r="E369" cm="1">
        <f t="array" ref="E369">_xlfn.IFS(E368=0,1,AND(E368=1,E367=1,E366=1),2,AND(E368=2,E367=2,E366=2),3,AND(E368=3,E367=3,E366=3),4,AND(E368=5,C368&gt;=20),0,AND(OR(E368=4,E368=5),OR(E367=4,E367=5),OR(E366=4,E366=5)), 5, TRUE,E368)</f>
        <v>4</v>
      </c>
    </row>
    <row r="370" spans="1:5" x14ac:dyDescent="0.25">
      <c r="A370">
        <v>369</v>
      </c>
      <c r="B370">
        <v>20.399999999999999</v>
      </c>
      <c r="C370">
        <v>24</v>
      </c>
      <c r="E370" cm="1">
        <f t="array" ref="E370">_xlfn.IFS(E369=0,1,AND(E369=1,E368=1,E367=1),2,AND(E369=2,E368=2,E367=2),3,AND(E369=3,E368=3,E367=3),4,AND(E369=5,C369&gt;=20),0,AND(OR(E369=4,E369=5),OR(E368=4,E368=5),OR(E367=4,E367=5)), 5, TRUE,E369)</f>
        <v>4</v>
      </c>
    </row>
    <row r="371" spans="1:5" x14ac:dyDescent="0.25">
      <c r="A371">
        <v>370</v>
      </c>
      <c r="B371">
        <v>17.100000000000001</v>
      </c>
      <c r="C371">
        <v>24</v>
      </c>
      <c r="E371" cm="1">
        <f t="array" ref="E371">_xlfn.IFS(E370=0,1,AND(E370=1,E369=1,E368=1),2,AND(E370=2,E369=2,E368=2),3,AND(E370=3,E369=3,E368=3),4,AND(E370=5,C370&gt;=20),0,AND(OR(E370=4,E370=5),OR(E369=4,E369=5),OR(E368=4,E368=5)), 5, TRUE,E370)</f>
        <v>5</v>
      </c>
    </row>
    <row r="372" spans="1:5" x14ac:dyDescent="0.25">
      <c r="A372">
        <v>371</v>
      </c>
      <c r="B372">
        <v>14.9</v>
      </c>
      <c r="C372">
        <v>0</v>
      </c>
      <c r="E372" cm="1">
        <f t="array" ref="E372">_xlfn.IFS(E371=0,1,AND(E371=1,E370=1,E369=1),2,AND(E371=2,E370=2,E369=2),3,AND(E371=3,E370=3,E369=3),4,AND(E371=5,C371&gt;=20),0,AND(OR(E371=4,E371=5),OR(E370=4,E370=5),OR(E369=4,E369=5)), 5, TRUE,E371)</f>
        <v>0</v>
      </c>
    </row>
    <row r="373" spans="1:5" x14ac:dyDescent="0.25">
      <c r="A373">
        <v>372</v>
      </c>
      <c r="B373">
        <v>14.1</v>
      </c>
      <c r="C373">
        <v>3</v>
      </c>
      <c r="E373" cm="1">
        <f t="array" ref="E373">_xlfn.IFS(E372=0,1,AND(E372=1,E371=1,E370=1),2,AND(E372=2,E371=2,E370=2),3,AND(E372=3,E371=3,E370=3),4,AND(E372=5,C372&gt;=20),0,AND(OR(E372=4,E372=5),OR(E371=4,E371=5),OR(E370=4,E370=5)), 5, TRUE,E372)</f>
        <v>1</v>
      </c>
    </row>
    <row r="374" spans="1:5" x14ac:dyDescent="0.25">
      <c r="A374">
        <v>373</v>
      </c>
      <c r="B374">
        <v>14.8</v>
      </c>
      <c r="C374">
        <v>6</v>
      </c>
      <c r="E374" cm="1">
        <f t="array" ref="E374">_xlfn.IFS(E373=0,1,AND(E373=1,E372=1,E371=1),2,AND(E373=2,E372=2,E371=2),3,AND(E373=3,E372=3,E371=3),4,AND(E373=5,C373&gt;=20),0,AND(OR(E373=4,E373=5),OR(E372=4,E372=5),OR(E371=4,E371=5)), 5, TRUE,E373)</f>
        <v>1</v>
      </c>
    </row>
    <row r="375" spans="1:5" x14ac:dyDescent="0.25">
      <c r="A375">
        <v>374</v>
      </c>
      <c r="B375">
        <v>16.3</v>
      </c>
      <c r="C375">
        <v>6</v>
      </c>
      <c r="E375" cm="1">
        <f t="array" ref="E375">_xlfn.IFS(E374=0,1,AND(E374=1,E373=1,E372=1),2,AND(E374=2,E373=2,E372=2),3,AND(E374=3,E373=3,E372=3),4,AND(E374=5,C374&gt;=20),0,AND(OR(E374=4,E374=5),OR(E373=4,E373=5),OR(E372=4,E372=5)), 5, TRUE,E374)</f>
        <v>1</v>
      </c>
    </row>
    <row r="376" spans="1:5" x14ac:dyDescent="0.25">
      <c r="A376">
        <v>375</v>
      </c>
      <c r="B376">
        <v>17.7</v>
      </c>
      <c r="C376">
        <v>8</v>
      </c>
      <c r="E376" cm="1">
        <f t="array" ref="E376">_xlfn.IFS(E375=0,1,AND(E375=1,E374=1,E373=1),2,AND(E375=2,E374=2,E373=2),3,AND(E375=3,E374=3,E373=3),4,AND(E375=5,C375&gt;=20),0,AND(OR(E375=4,E375=5),OR(E374=4,E374=5),OR(E373=4,E373=5)), 5, TRUE,E375)</f>
        <v>2</v>
      </c>
    </row>
    <row r="377" spans="1:5" x14ac:dyDescent="0.25">
      <c r="A377">
        <v>376</v>
      </c>
      <c r="B377">
        <v>18.3</v>
      </c>
      <c r="C377">
        <v>3</v>
      </c>
      <c r="E377" cm="1">
        <f t="array" ref="E377">_xlfn.IFS(E376=0,1,AND(E376=1,E375=1,E374=1),2,AND(E376=2,E375=2,E374=2),3,AND(E376=3,E375=3,E374=3),4,AND(E376=5,C376&gt;=20),0,AND(OR(E376=4,E376=5),OR(E375=4,E375=5),OR(E374=4,E374=5)), 5, TRUE,E376)</f>
        <v>2</v>
      </c>
    </row>
    <row r="378" spans="1:5" x14ac:dyDescent="0.25">
      <c r="A378">
        <v>377</v>
      </c>
      <c r="B378">
        <v>17.5</v>
      </c>
      <c r="C378">
        <v>6</v>
      </c>
      <c r="E378" cm="1">
        <f t="array" ref="E378">_xlfn.IFS(E377=0,1,AND(E377=1,E376=1,E375=1),2,AND(E377=2,E376=2,E375=2),3,AND(E377=3,E376=3,E375=3),4,AND(E377=5,C377&gt;=20),0,AND(OR(E377=4,E377=5),OR(E376=4,E376=5),OR(E375=4,E375=5)), 5, TRUE,E377)</f>
        <v>2</v>
      </c>
    </row>
    <row r="379" spans="1:5" x14ac:dyDescent="0.25">
      <c r="A379">
        <v>378</v>
      </c>
      <c r="B379">
        <v>15.1</v>
      </c>
      <c r="C379">
        <v>7</v>
      </c>
      <c r="E379" cm="1">
        <f t="array" ref="E379">_xlfn.IFS(E378=0,1,AND(E378=1,E377=1,E376=1),2,AND(E378=2,E377=2,E376=2),3,AND(E378=3,E377=3,E376=3),4,AND(E378=5,C378&gt;=20),0,AND(OR(E378=4,E378=5),OR(E377=4,E377=5),OR(E376=4,E376=5)), 5, TRUE,E378)</f>
        <v>3</v>
      </c>
    </row>
    <row r="380" spans="1:5" x14ac:dyDescent="0.25">
      <c r="A380">
        <v>379</v>
      </c>
      <c r="B380">
        <v>11.6</v>
      </c>
      <c r="C380">
        <v>11</v>
      </c>
      <c r="E380" cm="1">
        <f t="array" ref="E380">_xlfn.IFS(E379=0,1,AND(E379=1,E378=1,E377=1),2,AND(E379=2,E378=2,E377=2),3,AND(E379=3,E378=3,E377=3),4,AND(E379=5,C379&gt;=20),0,AND(OR(E379=4,E379=5),OR(E378=4,E378=5),OR(E377=4,E377=5)), 5, TRUE,E379)</f>
        <v>3</v>
      </c>
    </row>
    <row r="381" spans="1:5" x14ac:dyDescent="0.25">
      <c r="A381">
        <v>380</v>
      </c>
      <c r="B381">
        <v>7.7</v>
      </c>
      <c r="C381">
        <v>10</v>
      </c>
      <c r="E381" cm="1">
        <f t="array" ref="E381">_xlfn.IFS(E380=0,1,AND(E380=1,E379=1,E378=1),2,AND(E380=2,E379=2,E378=2),3,AND(E380=3,E379=3,E378=3),4,AND(E380=5,C380&gt;=20),0,AND(OR(E380=4,E380=5),OR(E379=4,E379=5),OR(E378=4,E378=5)), 5, TRUE,E380)</f>
        <v>3</v>
      </c>
    </row>
    <row r="382" spans="1:5" x14ac:dyDescent="0.25">
      <c r="A382">
        <v>381</v>
      </c>
      <c r="B382">
        <v>4.4000000000000004</v>
      </c>
      <c r="C382">
        <v>21</v>
      </c>
      <c r="E382" cm="1">
        <f t="array" ref="E382">_xlfn.IFS(E381=0,1,AND(E381=1,E380=1,E379=1),2,AND(E381=2,E380=2,E379=2),3,AND(E381=3,E380=3,E379=3),4,AND(E381=5,C381&gt;=20),0,AND(OR(E381=4,E381=5),OR(E380=4,E380=5),OR(E379=4,E379=5)), 5, TRUE,E381)</f>
        <v>4</v>
      </c>
    </row>
    <row r="383" spans="1:5" x14ac:dyDescent="0.25">
      <c r="A383">
        <v>382</v>
      </c>
      <c r="B383">
        <v>2.2999999999999998</v>
      </c>
      <c r="C383">
        <v>22</v>
      </c>
      <c r="E383" cm="1">
        <f t="array" ref="E383">_xlfn.IFS(E382=0,1,AND(E382=1,E381=1,E380=1),2,AND(E382=2,E381=2,E380=2),3,AND(E382=3,E381=3,E380=3),4,AND(E382=5,C382&gt;=20),0,AND(OR(E382=4,E382=5),OR(E381=4,E381=5),OR(E380=4,E380=5)), 5, TRUE,E382)</f>
        <v>4</v>
      </c>
    </row>
    <row r="384" spans="1:5" x14ac:dyDescent="0.25">
      <c r="A384">
        <v>383</v>
      </c>
      <c r="B384">
        <v>2</v>
      </c>
      <c r="C384">
        <v>22</v>
      </c>
      <c r="E384" cm="1">
        <f t="array" ref="E384">_xlfn.IFS(E383=0,1,AND(E383=1,E382=1,E381=1),2,AND(E383=2,E382=2,E381=2),3,AND(E383=3,E382=3,E381=3),4,AND(E383=5,C383&gt;=20),0,AND(OR(E383=4,E383=5),OR(E382=4,E382=5),OR(E381=4,E381=5)), 5, TRUE,E383)</f>
        <v>4</v>
      </c>
    </row>
    <row r="385" spans="1:5" x14ac:dyDescent="0.25">
      <c r="A385">
        <v>384</v>
      </c>
      <c r="B385">
        <v>3.2</v>
      </c>
      <c r="C385">
        <v>29</v>
      </c>
      <c r="E385" cm="1">
        <f t="array" ref="E385">_xlfn.IFS(E384=0,1,AND(E384=1,E383=1,E382=1),2,AND(E384=2,E383=2,E382=2),3,AND(E384=3,E383=3,E382=3),4,AND(E384=5,C384&gt;=20),0,AND(OR(E384=4,E384=5),OR(E383=4,E383=5),OR(E382=4,E382=5)), 5, TRUE,E384)</f>
        <v>5</v>
      </c>
    </row>
    <row r="386" spans="1:5" x14ac:dyDescent="0.25">
      <c r="A386">
        <v>385</v>
      </c>
      <c r="B386">
        <v>5.5</v>
      </c>
      <c r="C386">
        <v>0</v>
      </c>
      <c r="E386" cm="1">
        <f t="array" ref="E386">_xlfn.IFS(E385=0,1,AND(E385=1,E384=1,E383=1),2,AND(E385=2,E384=2,E383=2),3,AND(E385=3,E384=3,E383=3),4,AND(E385=5,C385&gt;=20),0,AND(OR(E385=4,E385=5),OR(E384=4,E384=5),OR(E383=4,E383=5)), 5, TRUE,E385)</f>
        <v>0</v>
      </c>
    </row>
    <row r="387" spans="1:5" x14ac:dyDescent="0.25">
      <c r="A387">
        <v>386</v>
      </c>
      <c r="B387">
        <v>7.9</v>
      </c>
      <c r="C387">
        <v>1</v>
      </c>
      <c r="E387" cm="1">
        <f t="array" ref="E387">_xlfn.IFS(E386=0,1,AND(E386=1,E385=1,E384=1),2,AND(E386=2,E385=2,E384=2),3,AND(E386=3,E385=3,E384=3),4,AND(E386=5,C386&gt;=20),0,AND(OR(E386=4,E386=5),OR(E385=4,E385=5),OR(E384=4,E384=5)), 5, TRUE,E386)</f>
        <v>1</v>
      </c>
    </row>
    <row r="388" spans="1:5" x14ac:dyDescent="0.25">
      <c r="A388">
        <v>387</v>
      </c>
      <c r="B388">
        <v>9.6</v>
      </c>
      <c r="C388">
        <v>2</v>
      </c>
      <c r="E388" cm="1">
        <f t="array" ref="E388">_xlfn.IFS(E387=0,1,AND(E387=1,E386=1,E385=1),2,AND(E387=2,E386=2,E385=2),3,AND(E387=3,E386=3,E385=3),4,AND(E387=5,C387&gt;=20),0,AND(OR(E387=4,E387=5),OR(E386=4,E386=5),OR(E385=4,E385=5)), 5, TRUE,E387)</f>
        <v>1</v>
      </c>
    </row>
    <row r="389" spans="1:5" x14ac:dyDescent="0.25">
      <c r="A389">
        <v>388</v>
      </c>
      <c r="B389">
        <v>10</v>
      </c>
      <c r="C389">
        <v>3</v>
      </c>
      <c r="E389" cm="1">
        <f t="array" ref="E389">_xlfn.IFS(E388=0,1,AND(E388=1,E387=1,E386=1),2,AND(E388=2,E387=2,E386=2),3,AND(E388=3,E387=3,E386=3),4,AND(E388=5,C388&gt;=20),0,AND(OR(E388=4,E388=5),OR(E387=4,E387=5),OR(E386=4,E386=5)), 5, TRUE,E388)</f>
        <v>1</v>
      </c>
    </row>
    <row r="390" spans="1:5" x14ac:dyDescent="0.25">
      <c r="A390">
        <v>389</v>
      </c>
      <c r="B390">
        <v>9</v>
      </c>
      <c r="C390">
        <v>2</v>
      </c>
      <c r="E390" cm="1">
        <f t="array" ref="E390">_xlfn.IFS(E389=0,1,AND(E389=1,E388=1,E387=1),2,AND(E389=2,E388=2,E387=2),3,AND(E389=3,E388=3,E387=3),4,AND(E389=5,C389&gt;=20),0,AND(OR(E389=4,E389=5),OR(E388=4,E388=5),OR(E387=4,E387=5)), 5, TRUE,E389)</f>
        <v>2</v>
      </c>
    </row>
    <row r="391" spans="1:5" x14ac:dyDescent="0.25">
      <c r="A391">
        <v>390</v>
      </c>
      <c r="B391">
        <v>6.9</v>
      </c>
      <c r="C391">
        <v>10</v>
      </c>
      <c r="E391" cm="1">
        <f t="array" ref="E391">_xlfn.IFS(E390=0,1,AND(E390=1,E389=1,E388=1),2,AND(E390=2,E389=2,E388=2),3,AND(E390=3,E389=3,E388=3),4,AND(E390=5,C390&gt;=20),0,AND(OR(E390=4,E390=5),OR(E389=4,E389=5),OR(E388=4,E388=5)), 5, TRUE,E390)</f>
        <v>2</v>
      </c>
    </row>
    <row r="392" spans="1:5" x14ac:dyDescent="0.25">
      <c r="A392">
        <v>391</v>
      </c>
      <c r="B392">
        <v>4.5</v>
      </c>
      <c r="C392">
        <v>3</v>
      </c>
      <c r="E392" cm="1">
        <f t="array" ref="E392">_xlfn.IFS(E391=0,1,AND(E391=1,E390=1,E389=1),2,AND(E391=2,E390=2,E389=2),3,AND(E391=3,E390=3,E389=3),4,AND(E391=5,C391&gt;=20),0,AND(OR(E391=4,E391=5),OR(E390=4,E390=5),OR(E389=4,E389=5)), 5, TRUE,E391)</f>
        <v>2</v>
      </c>
    </row>
    <row r="393" spans="1:5" x14ac:dyDescent="0.25">
      <c r="A393">
        <v>392</v>
      </c>
      <c r="B393">
        <v>2.8</v>
      </c>
      <c r="C393">
        <v>11</v>
      </c>
      <c r="E393" cm="1">
        <f t="array" ref="E393">_xlfn.IFS(E392=0,1,AND(E392=1,E391=1,E390=1),2,AND(E392=2,E391=2,E390=2),3,AND(E392=3,E391=3,E390=3),4,AND(E392=5,C392&gt;=20),0,AND(OR(E392=4,E392=5),OR(E391=4,E391=5),OR(E390=4,E390=5)), 5, TRUE,E392)</f>
        <v>3</v>
      </c>
    </row>
    <row r="394" spans="1:5" x14ac:dyDescent="0.25">
      <c r="A394">
        <v>393</v>
      </c>
      <c r="B394">
        <v>2.2999999999999998</v>
      </c>
      <c r="C394">
        <v>17</v>
      </c>
      <c r="E394" cm="1">
        <f t="array" ref="E394">_xlfn.IFS(E393=0,1,AND(E393=1,E392=1,E391=1),2,AND(E393=2,E392=2,E391=2),3,AND(E393=3,E392=3,E391=3),4,AND(E393=5,C393&gt;=20),0,AND(OR(E393=4,E393=5),OR(E392=4,E392=5),OR(E391=4,E391=5)), 5, TRUE,E393)</f>
        <v>3</v>
      </c>
    </row>
    <row r="395" spans="1:5" x14ac:dyDescent="0.25">
      <c r="A395">
        <v>394</v>
      </c>
      <c r="B395">
        <v>3.6</v>
      </c>
      <c r="C395">
        <v>1</v>
      </c>
      <c r="E395" cm="1">
        <f t="array" ref="E395">_xlfn.IFS(E394=0,1,AND(E394=1,E393=1,E392=1),2,AND(E394=2,E393=2,E392=2),3,AND(E394=3,E393=3,E392=3),4,AND(E394=5,C394&gt;=20),0,AND(OR(E394=4,E394=5),OR(E393=4,E393=5),OR(E392=4,E392=5)), 5, TRUE,E394)</f>
        <v>3</v>
      </c>
    </row>
    <row r="396" spans="1:5" x14ac:dyDescent="0.25">
      <c r="A396">
        <v>395</v>
      </c>
      <c r="B396">
        <v>6.4</v>
      </c>
      <c r="C396">
        <v>8</v>
      </c>
      <c r="E396" cm="1">
        <f t="array" ref="E396">_xlfn.IFS(E395=0,1,AND(E395=1,E394=1,E393=1),2,AND(E395=2,E394=2,E393=2),3,AND(E395=3,E394=3,E393=3),4,AND(E395=5,C395&gt;=20),0,AND(OR(E395=4,E395=5),OR(E394=4,E394=5),OR(E393=4,E393=5)), 5, TRUE,E395)</f>
        <v>4</v>
      </c>
    </row>
    <row r="397" spans="1:5" x14ac:dyDescent="0.25">
      <c r="A397">
        <v>396</v>
      </c>
      <c r="B397">
        <v>10.199999999999999</v>
      </c>
      <c r="C397">
        <v>11</v>
      </c>
      <c r="E397" cm="1">
        <f t="array" ref="E397">_xlfn.IFS(E396=0,1,AND(E396=1,E395=1,E394=1),2,AND(E396=2,E395=2,E394=2),3,AND(E396=3,E395=3,E394=3),4,AND(E396=5,C396&gt;=20),0,AND(OR(E396=4,E396=5),OR(E395=4,E395=5),OR(E394=4,E394=5)), 5, TRUE,E396)</f>
        <v>4</v>
      </c>
    </row>
    <row r="398" spans="1:5" x14ac:dyDescent="0.25">
      <c r="A398">
        <v>397</v>
      </c>
      <c r="B398">
        <v>14</v>
      </c>
      <c r="C398">
        <v>23</v>
      </c>
      <c r="E398" cm="1">
        <f t="array" ref="E398">_xlfn.IFS(E397=0,1,AND(E397=1,E396=1,E395=1),2,AND(E397=2,E396=2,E395=2),3,AND(E397=3,E396=3,E395=3),4,AND(E397=5,C397&gt;=20),0,AND(OR(E397=4,E397=5),OR(E396=4,E396=5),OR(E395=4,E395=5)), 5, TRUE,E397)</f>
        <v>4</v>
      </c>
    </row>
    <row r="399" spans="1:5" x14ac:dyDescent="0.25">
      <c r="A399">
        <v>398</v>
      </c>
      <c r="B399">
        <v>17.100000000000001</v>
      </c>
      <c r="C399">
        <v>29</v>
      </c>
      <c r="E399" cm="1">
        <f t="array" ref="E399">_xlfn.IFS(E398=0,1,AND(E398=1,E397=1,E396=1),2,AND(E398=2,E397=2,E396=2),3,AND(E398=3,E397=3,E396=3),4,AND(E398=5,C398&gt;=20),0,AND(OR(E398=4,E398=5),OR(E397=4,E397=5),OR(E396=4,E396=5)), 5, TRUE,E398)</f>
        <v>5</v>
      </c>
    </row>
    <row r="400" spans="1:5" x14ac:dyDescent="0.25">
      <c r="A400">
        <v>399</v>
      </c>
      <c r="B400">
        <v>18.7</v>
      </c>
      <c r="C400">
        <v>0</v>
      </c>
      <c r="E400" cm="1">
        <f t="array" ref="E400">_xlfn.IFS(E399=0,1,AND(E399=1,E398=1,E397=1),2,AND(E399=2,E398=2,E397=2),3,AND(E399=3,E398=3,E397=3),4,AND(E399=5,C399&gt;=20),0,AND(OR(E399=4,E399=5),OR(E398=4,E398=5),OR(E397=4,E397=5)), 5, TRUE,E399)</f>
        <v>0</v>
      </c>
    </row>
    <row r="401" spans="1:5" x14ac:dyDescent="0.25">
      <c r="A401">
        <v>400</v>
      </c>
      <c r="B401">
        <v>18.8</v>
      </c>
      <c r="C401">
        <v>5</v>
      </c>
      <c r="E401" cm="1">
        <f t="array" ref="E401">_xlfn.IFS(E400=0,1,AND(E400=1,E399=1,E398=1),2,AND(E400=2,E399=2,E398=2),3,AND(E400=3,E399=3,E398=3),4,AND(E400=5,C400&gt;=20),0,AND(OR(E400=4,E400=5),OR(E399=4,E399=5),OR(E398=4,E398=5)), 5, TRUE,E400)</f>
        <v>1</v>
      </c>
    </row>
    <row r="402" spans="1:5" x14ac:dyDescent="0.25">
      <c r="A402">
        <v>401</v>
      </c>
      <c r="B402">
        <v>17.7</v>
      </c>
      <c r="C402">
        <v>2</v>
      </c>
      <c r="E402" cm="1">
        <f t="array" ref="E402">_xlfn.IFS(E401=0,1,AND(E401=1,E400=1,E399=1),2,AND(E401=2,E400=2,E399=2),3,AND(E401=3,E400=3,E399=3),4,AND(E401=5,C401&gt;=20),0,AND(OR(E401=4,E401=5),OR(E400=4,E400=5),OR(E399=4,E399=5)), 5, TRUE,E401)</f>
        <v>1</v>
      </c>
    </row>
    <row r="403" spans="1:5" x14ac:dyDescent="0.25">
      <c r="A403">
        <v>402</v>
      </c>
      <c r="B403">
        <v>16.100000000000001</v>
      </c>
      <c r="C403">
        <v>2</v>
      </c>
      <c r="E403" cm="1">
        <f t="array" ref="E403">_xlfn.IFS(E402=0,1,AND(E402=1,E401=1,E400=1),2,AND(E402=2,E401=2,E400=2),3,AND(E402=3,E401=3,E400=3),4,AND(E402=5,C402&gt;=20),0,AND(OR(E402=4,E402=5),OR(E401=4,E401=5),OR(E400=4,E400=5)), 5, TRUE,E402)</f>
        <v>1</v>
      </c>
    </row>
    <row r="404" spans="1:5" x14ac:dyDescent="0.25">
      <c r="A404">
        <v>403</v>
      </c>
      <c r="B404">
        <v>14.9</v>
      </c>
      <c r="C404">
        <v>7</v>
      </c>
      <c r="E404" cm="1">
        <f t="array" ref="E404">_xlfn.IFS(E403=0,1,AND(E403=1,E402=1,E401=1),2,AND(E403=2,E402=2,E401=2),3,AND(E403=3,E402=3,E401=3),4,AND(E403=5,C403&gt;=20),0,AND(OR(E403=4,E403=5),OR(E402=4,E402=5),OR(E401=4,E401=5)), 5, TRUE,E403)</f>
        <v>2</v>
      </c>
    </row>
    <row r="405" spans="1:5" x14ac:dyDescent="0.25">
      <c r="A405">
        <v>404</v>
      </c>
      <c r="B405">
        <v>14.9</v>
      </c>
      <c r="C405">
        <v>2</v>
      </c>
      <c r="E405" cm="1">
        <f t="array" ref="E405">_xlfn.IFS(E404=0,1,AND(E404=1,E403=1,E402=1),2,AND(E404=2,E403=2,E402=2),3,AND(E404=3,E403=3,E402=3),4,AND(E404=5,C404&gt;=20),0,AND(OR(E404=4,E404=5),OR(E403=4,E403=5),OR(E402=4,E402=5)), 5, TRUE,E404)</f>
        <v>2</v>
      </c>
    </row>
    <row r="406" spans="1:5" x14ac:dyDescent="0.25">
      <c r="A406">
        <v>405</v>
      </c>
      <c r="B406">
        <v>16.3</v>
      </c>
      <c r="C406">
        <v>3</v>
      </c>
      <c r="E406" cm="1">
        <f t="array" ref="E406">_xlfn.IFS(E405=0,1,AND(E405=1,E404=1,E403=1),2,AND(E405=2,E404=2,E403=2),3,AND(E405=3,E404=3,E403=3),4,AND(E405=5,C405&gt;=20),0,AND(OR(E405=4,E405=5),OR(E404=4,E404=5),OR(E403=4,E403=5)), 5, TRUE,E405)</f>
        <v>2</v>
      </c>
    </row>
    <row r="407" spans="1:5" x14ac:dyDescent="0.25">
      <c r="A407">
        <v>406</v>
      </c>
      <c r="B407">
        <v>19.100000000000001</v>
      </c>
      <c r="C407">
        <v>14</v>
      </c>
      <c r="E407" cm="1">
        <f t="array" ref="E407">_xlfn.IFS(E406=0,1,AND(E406=1,E405=1,E404=1),2,AND(E406=2,E405=2,E404=2),3,AND(E406=3,E405=3,E404=3),4,AND(E406=5,C406&gt;=20),0,AND(OR(E406=4,E406=5),OR(E405=4,E405=5),OR(E404=4,E404=5)), 5, TRUE,E406)</f>
        <v>3</v>
      </c>
    </row>
    <row r="408" spans="1:5" x14ac:dyDescent="0.25">
      <c r="A408">
        <v>407</v>
      </c>
      <c r="B408">
        <v>22.7</v>
      </c>
      <c r="C408">
        <v>12</v>
      </c>
      <c r="E408" cm="1">
        <f t="array" ref="E408">_xlfn.IFS(E407=0,1,AND(E407=1,E406=1,E405=1),2,AND(E407=2,E406=2,E405=2),3,AND(E407=3,E406=3,E405=3),4,AND(E407=5,C407&gt;=20),0,AND(OR(E407=4,E407=5),OR(E406=4,E406=5),OR(E405=4,E405=5)), 5, TRUE,E407)</f>
        <v>3</v>
      </c>
    </row>
    <row r="409" spans="1:5" x14ac:dyDescent="0.25">
      <c r="A409">
        <v>408</v>
      </c>
      <c r="B409">
        <v>26.1</v>
      </c>
      <c r="C409">
        <v>9</v>
      </c>
      <c r="E409" cm="1">
        <f t="array" ref="E409">_xlfn.IFS(E408=0,1,AND(E408=1,E407=1,E406=1),2,AND(E408=2,E407=2,E406=2),3,AND(E408=3,E407=3,E406=3),4,AND(E408=5,C408&gt;=20),0,AND(OR(E408=4,E408=5),OR(E407=4,E407=5),OR(E406=4,E406=5)), 5, TRUE,E408)</f>
        <v>3</v>
      </c>
    </row>
    <row r="410" spans="1:5" x14ac:dyDescent="0.25">
      <c r="A410">
        <v>409</v>
      </c>
      <c r="B410">
        <v>28.6</v>
      </c>
      <c r="C410">
        <v>14</v>
      </c>
      <c r="E410" cm="1">
        <f t="array" ref="E410">_xlfn.IFS(E409=0,1,AND(E409=1,E408=1,E407=1),2,AND(E409=2,E408=2,E407=2),3,AND(E409=3,E408=3,E407=3),4,AND(E409=5,C409&gt;=20),0,AND(OR(E409=4,E409=5),OR(E408=4,E408=5),OR(E407=4,E407=5)), 5, TRUE,E409)</f>
        <v>4</v>
      </c>
    </row>
    <row r="411" spans="1:5" x14ac:dyDescent="0.25">
      <c r="A411">
        <v>410</v>
      </c>
      <c r="B411">
        <v>29.5</v>
      </c>
      <c r="C411">
        <v>17</v>
      </c>
      <c r="E411" cm="1">
        <f t="array" ref="E411">_xlfn.IFS(E410=0,1,AND(E410=1,E409=1,E408=1),2,AND(E410=2,E409=2,E408=2),3,AND(E410=3,E409=3,E408=3),4,AND(E410=5,C410&gt;=20),0,AND(OR(E410=4,E410=5),OR(E409=4,E409=5),OR(E408=4,E408=5)), 5, TRUE,E410)</f>
        <v>4</v>
      </c>
    </row>
    <row r="412" spans="1:5" x14ac:dyDescent="0.25">
      <c r="A412">
        <v>411</v>
      </c>
      <c r="B412">
        <v>28.6</v>
      </c>
      <c r="C412">
        <v>9</v>
      </c>
      <c r="E412" cm="1">
        <f t="array" ref="E412">_xlfn.IFS(E411=0,1,AND(E411=1,E410=1,E409=1),2,AND(E411=2,E410=2,E409=2),3,AND(E411=3,E410=3,E409=3),4,AND(E411=5,C411&gt;=20),0,AND(OR(E411=4,E411=5),OR(E410=4,E410=5),OR(E409=4,E409=5)), 5, TRUE,E411)</f>
        <v>4</v>
      </c>
    </row>
    <row r="413" spans="1:5" x14ac:dyDescent="0.25">
      <c r="A413">
        <v>412</v>
      </c>
      <c r="B413">
        <v>26.4</v>
      </c>
      <c r="C413">
        <v>28</v>
      </c>
      <c r="E413" cm="1">
        <f t="array" ref="E413">_xlfn.IFS(E412=0,1,AND(E412=1,E411=1,E410=1),2,AND(E412=2,E411=2,E410=2),3,AND(E412=3,E411=3,E410=3),4,AND(E412=5,C412&gt;=20),0,AND(OR(E412=4,E412=5),OR(E411=4,E411=5),OR(E410=4,E410=5)), 5, TRUE,E412)</f>
        <v>5</v>
      </c>
    </row>
    <row r="414" spans="1:5" x14ac:dyDescent="0.25">
      <c r="A414">
        <v>413</v>
      </c>
      <c r="B414">
        <v>23.6</v>
      </c>
      <c r="C414">
        <v>0</v>
      </c>
      <c r="E414" cm="1">
        <f t="array" ref="E414">_xlfn.IFS(E413=0,1,AND(E413=1,E412=1,E411=1),2,AND(E413=2,E412=2,E411=2),3,AND(E413=3,E412=3,E411=3),4,AND(E413=5,C413&gt;=20),0,AND(OR(E413=4,E413=5),OR(E412=4,E412=5),OR(E411=4,E411=5)), 5, TRUE,E413)</f>
        <v>0</v>
      </c>
    </row>
    <row r="415" spans="1:5" x14ac:dyDescent="0.25">
      <c r="A415">
        <v>414</v>
      </c>
      <c r="B415">
        <v>21</v>
      </c>
      <c r="C415">
        <v>1</v>
      </c>
      <c r="E415" cm="1">
        <f t="array" ref="E415">_xlfn.IFS(E414=0,1,AND(E414=1,E413=1,E412=1),2,AND(E414=2,E413=2,E412=2),3,AND(E414=3,E413=3,E412=3),4,AND(E414=5,C414&gt;=20),0,AND(OR(E414=4,E414=5),OR(E413=4,E413=5),OR(E412=4,E412=5)), 5, TRUE,E414)</f>
        <v>1</v>
      </c>
    </row>
    <row r="416" spans="1:5" x14ac:dyDescent="0.25">
      <c r="A416">
        <v>415</v>
      </c>
      <c r="B416">
        <v>19.600000000000001</v>
      </c>
      <c r="C416">
        <v>6</v>
      </c>
      <c r="E416" cm="1">
        <f t="array" ref="E416">_xlfn.IFS(E415=0,1,AND(E415=1,E414=1,E413=1),2,AND(E415=2,E414=2,E413=2),3,AND(E415=3,E414=3,E413=3),4,AND(E415=5,C415&gt;=20),0,AND(OR(E415=4,E415=5),OR(E414=4,E414=5),OR(E413=4,E413=5)), 5, TRUE,E415)</f>
        <v>1</v>
      </c>
    </row>
    <row r="417" spans="1:5" x14ac:dyDescent="0.25">
      <c r="A417">
        <v>416</v>
      </c>
      <c r="B417">
        <v>19.5</v>
      </c>
      <c r="C417">
        <v>4</v>
      </c>
      <c r="E417" cm="1">
        <f t="array" ref="E417">_xlfn.IFS(E416=0,1,AND(E416=1,E415=1,E414=1),2,AND(E416=2,E415=2,E414=2),3,AND(E416=3,E415=3,E414=3),4,AND(E416=5,C416&gt;=20),0,AND(OR(E416=4,E416=5),OR(E415=4,E415=5),OR(E414=4,E414=5)), 5, TRUE,E416)</f>
        <v>1</v>
      </c>
    </row>
    <row r="418" spans="1:5" x14ac:dyDescent="0.25">
      <c r="A418">
        <v>417</v>
      </c>
      <c r="B418">
        <v>20.7</v>
      </c>
      <c r="C418">
        <v>10</v>
      </c>
      <c r="E418" cm="1">
        <f t="array" ref="E418">_xlfn.IFS(E417=0,1,AND(E417=1,E416=1,E415=1),2,AND(E417=2,E416=2,E415=2),3,AND(E417=3,E416=3,E415=3),4,AND(E417=5,C417&gt;=20),0,AND(OR(E417=4,E417=5),OR(E416=4,E416=5),OR(E415=4,E415=5)), 5, TRUE,E417)</f>
        <v>2</v>
      </c>
    </row>
    <row r="419" spans="1:5" x14ac:dyDescent="0.25">
      <c r="A419">
        <v>418</v>
      </c>
      <c r="B419">
        <v>22.7</v>
      </c>
      <c r="C419">
        <v>4</v>
      </c>
      <c r="E419" cm="1">
        <f t="array" ref="E419">_xlfn.IFS(E418=0,1,AND(E418=1,E417=1,E416=1),2,AND(E418=2,E417=2,E416=2),3,AND(E418=3,E417=3,E416=3),4,AND(E418=5,C418&gt;=20),0,AND(OR(E418=4,E418=5),OR(E417=4,E417=5),OR(E416=4,E416=5)), 5, TRUE,E418)</f>
        <v>2</v>
      </c>
    </row>
    <row r="420" spans="1:5" x14ac:dyDescent="0.25">
      <c r="A420">
        <v>419</v>
      </c>
      <c r="B420">
        <v>24.5</v>
      </c>
      <c r="C420">
        <v>5</v>
      </c>
      <c r="E420" cm="1">
        <f t="array" ref="E420">_xlfn.IFS(E419=0,1,AND(E419=1,E418=1,E417=1),2,AND(E419=2,E418=2,E417=2),3,AND(E419=3,E418=3,E417=3),4,AND(E419=5,C419&gt;=20),0,AND(OR(E419=4,E419=5),OR(E418=4,E418=5),OR(E417=4,E417=5)), 5, TRUE,E419)</f>
        <v>2</v>
      </c>
    </row>
    <row r="421" spans="1:5" x14ac:dyDescent="0.25">
      <c r="A421">
        <v>420</v>
      </c>
      <c r="B421">
        <v>25.4</v>
      </c>
      <c r="C421">
        <v>8</v>
      </c>
      <c r="E421" cm="1">
        <f t="array" ref="E421">_xlfn.IFS(E420=0,1,AND(E420=1,E419=1,E418=1),2,AND(E420=2,E419=2,E418=2),3,AND(E420=3,E419=3,E418=3),4,AND(E420=5,C420&gt;=20),0,AND(OR(E420=4,E420=5),OR(E419=4,E419=5),OR(E418=4,E418=5)), 5, TRUE,E420)</f>
        <v>3</v>
      </c>
    </row>
    <row r="422" spans="1:5" x14ac:dyDescent="0.25">
      <c r="A422">
        <v>421</v>
      </c>
      <c r="B422">
        <v>24.8</v>
      </c>
      <c r="C422">
        <v>12</v>
      </c>
      <c r="E422" cm="1">
        <f t="array" ref="E422">_xlfn.IFS(E421=0,1,AND(E421=1,E420=1,E419=1),2,AND(E421=2,E420=2,E419=2),3,AND(E421=3,E420=3,E419=3),4,AND(E421=5,C421&gt;=20),0,AND(OR(E421=4,E421=5),OR(E420=4,E420=5),OR(E419=4,E419=5)), 5, TRUE,E421)</f>
        <v>3</v>
      </c>
    </row>
    <row r="423" spans="1:5" x14ac:dyDescent="0.25">
      <c r="A423">
        <v>422</v>
      </c>
      <c r="B423">
        <v>22.5</v>
      </c>
      <c r="C423">
        <v>8</v>
      </c>
      <c r="E423" cm="1">
        <f t="array" ref="E423">_xlfn.IFS(E422=0,1,AND(E422=1,E421=1,E420=1),2,AND(E422=2,E421=2,E420=2),3,AND(E422=3,E421=3,E420=3),4,AND(E422=5,C422&gt;=20),0,AND(OR(E422=4,E422=5),OR(E421=4,E421=5),OR(E420=4,E420=5)), 5, TRUE,E422)</f>
        <v>3</v>
      </c>
    </row>
    <row r="424" spans="1:5" x14ac:dyDescent="0.25">
      <c r="A424">
        <v>423</v>
      </c>
      <c r="B424">
        <v>18.899999999999999</v>
      </c>
      <c r="C424">
        <v>7</v>
      </c>
      <c r="E424" cm="1">
        <f t="array" ref="E424">_xlfn.IFS(E423=0,1,AND(E423=1,E422=1,E421=1),2,AND(E423=2,E422=2,E421=2),3,AND(E423=3,E422=3,E421=3),4,AND(E423=5,C423&gt;=20),0,AND(OR(E423=4,E423=5),OR(E422=4,E422=5),OR(E421=4,E421=5)), 5, TRUE,E423)</f>
        <v>4</v>
      </c>
    </row>
    <row r="425" spans="1:5" x14ac:dyDescent="0.25">
      <c r="A425">
        <v>424</v>
      </c>
      <c r="B425">
        <v>14.8</v>
      </c>
      <c r="C425">
        <v>8</v>
      </c>
      <c r="E425" cm="1">
        <f t="array" ref="E425">_xlfn.IFS(E424=0,1,AND(E424=1,E423=1,E422=1),2,AND(E424=2,E423=2,E422=2),3,AND(E424=3,E423=3,E422=3),4,AND(E424=5,C424&gt;=20),0,AND(OR(E424=4,E424=5),OR(E423=4,E423=5),OR(E422=4,E422=5)), 5, TRUE,E424)</f>
        <v>4</v>
      </c>
    </row>
    <row r="426" spans="1:5" x14ac:dyDescent="0.25">
      <c r="A426">
        <v>425</v>
      </c>
      <c r="B426">
        <v>11.2</v>
      </c>
      <c r="C426">
        <v>7</v>
      </c>
      <c r="E426" cm="1">
        <f t="array" ref="E426">_xlfn.IFS(E425=0,1,AND(E425=1,E424=1,E423=1),2,AND(E425=2,E424=2,E423=2),3,AND(E425=3,E424=3,E423=3),4,AND(E425=5,C425&gt;=20),0,AND(OR(E425=4,E425=5),OR(E424=4,E424=5),OR(E423=4,E423=5)), 5, TRUE,E425)</f>
        <v>4</v>
      </c>
    </row>
    <row r="427" spans="1:5" x14ac:dyDescent="0.25">
      <c r="A427">
        <v>426</v>
      </c>
      <c r="B427">
        <v>8.8000000000000007</v>
      </c>
      <c r="C427">
        <v>23</v>
      </c>
      <c r="E427" cm="1">
        <f t="array" ref="E427">_xlfn.IFS(E426=0,1,AND(E426=1,E425=1,E424=1),2,AND(E426=2,E425=2,E424=2),3,AND(E426=3,E425=3,E424=3),4,AND(E426=5,C426&gt;=20),0,AND(OR(E426=4,E426=5),OR(E425=4,E425=5),OR(E424=4,E424=5)), 5, TRUE,E426)</f>
        <v>5</v>
      </c>
    </row>
    <row r="428" spans="1:5" x14ac:dyDescent="0.25">
      <c r="A428">
        <v>427</v>
      </c>
      <c r="B428">
        <v>8</v>
      </c>
      <c r="C428">
        <v>0</v>
      </c>
      <c r="E428" cm="1">
        <f t="array" ref="E428">_xlfn.IFS(E427=0,1,AND(E427=1,E426=1,E425=1),2,AND(E427=2,E426=2,E425=2),3,AND(E427=3,E426=3,E425=3),4,AND(E427=5,C427&gt;=20),0,AND(OR(E427=4,E427=5),OR(E426=4,E426=5),OR(E425=4,E425=5)), 5, TRUE,E427)</f>
        <v>0</v>
      </c>
    </row>
    <row r="429" spans="1:5" x14ac:dyDescent="0.25">
      <c r="A429">
        <v>428</v>
      </c>
      <c r="B429">
        <v>8.6</v>
      </c>
      <c r="C429">
        <v>2</v>
      </c>
      <c r="E429" cm="1">
        <f t="array" ref="E429">_xlfn.IFS(E428=0,1,AND(E428=1,E427=1,E426=1),2,AND(E428=2,E427=2,E426=2),3,AND(E428=3,E427=3,E426=3),4,AND(E428=5,C428&gt;=20),0,AND(OR(E428=4,E428=5),OR(E427=4,E427=5),OR(E426=4,E426=5)), 5, TRUE,E428)</f>
        <v>1</v>
      </c>
    </row>
    <row r="430" spans="1:5" x14ac:dyDescent="0.25">
      <c r="A430">
        <v>429</v>
      </c>
      <c r="B430">
        <v>10.199999999999999</v>
      </c>
      <c r="C430">
        <v>5</v>
      </c>
      <c r="E430" cm="1">
        <f t="array" ref="E430">_xlfn.IFS(E429=0,1,AND(E429=1,E428=1,E427=1),2,AND(E429=2,E428=2,E427=2),3,AND(E429=3,E428=3,E427=3),4,AND(E429=5,C429&gt;=20),0,AND(OR(E429=4,E429=5),OR(E428=4,E428=5),OR(E427=4,E427=5)), 5, TRUE,E429)</f>
        <v>1</v>
      </c>
    </row>
    <row r="431" spans="1:5" x14ac:dyDescent="0.25">
      <c r="A431">
        <v>430</v>
      </c>
      <c r="B431">
        <v>11.8</v>
      </c>
      <c r="C431">
        <v>5</v>
      </c>
      <c r="E431" cm="1">
        <f t="array" ref="E431">_xlfn.IFS(E430=0,1,AND(E430=1,E429=1,E428=1),2,AND(E430=2,E429=2,E428=2),3,AND(E430=3,E429=3,E428=3),4,AND(E430=5,C430&gt;=20),0,AND(OR(E430=4,E430=5),OR(E429=4,E429=5),OR(E428=4,E428=5)), 5, TRUE,E430)</f>
        <v>1</v>
      </c>
    </row>
    <row r="432" spans="1:5" x14ac:dyDescent="0.25">
      <c r="A432">
        <v>431</v>
      </c>
      <c r="B432">
        <v>12.7</v>
      </c>
      <c r="C432">
        <v>8</v>
      </c>
      <c r="E432" cm="1">
        <f t="array" ref="E432">_xlfn.IFS(E431=0,1,AND(E431=1,E430=1,E429=1),2,AND(E431=2,E430=2,E429=2),3,AND(E431=3,E430=3,E429=3),4,AND(E431=5,C431&gt;=20),0,AND(OR(E431=4,E431=5),OR(E430=4,E430=5),OR(E429=4,E429=5)), 5, TRUE,E431)</f>
        <v>2</v>
      </c>
    </row>
    <row r="433" spans="1:5" x14ac:dyDescent="0.25">
      <c r="A433">
        <v>432</v>
      </c>
      <c r="B433">
        <v>12.2</v>
      </c>
      <c r="C433">
        <v>6</v>
      </c>
      <c r="E433" cm="1">
        <f t="array" ref="E433">_xlfn.IFS(E432=0,1,AND(E432=1,E431=1,E430=1),2,AND(E432=2,E431=2,E430=2),3,AND(E432=3,E431=3,E430=3),4,AND(E432=5,C432&gt;=20),0,AND(OR(E432=4,E432=5),OR(E431=4,E431=5),OR(E430=4,E430=5)), 5, TRUE,E432)</f>
        <v>2</v>
      </c>
    </row>
    <row r="434" spans="1:5" x14ac:dyDescent="0.25">
      <c r="A434">
        <v>433</v>
      </c>
      <c r="B434">
        <v>10.3</v>
      </c>
      <c r="C434">
        <v>9</v>
      </c>
      <c r="E434" cm="1">
        <f t="array" ref="E434">_xlfn.IFS(E433=0,1,AND(E433=1,E432=1,E431=1),2,AND(E433=2,E432=2,E431=2),3,AND(E433=3,E432=3,E431=3),4,AND(E433=5,C433&gt;=20),0,AND(OR(E433=4,E433=5),OR(E432=4,E432=5),OR(E431=4,E431=5)), 5, TRUE,E433)</f>
        <v>2</v>
      </c>
    </row>
    <row r="435" spans="1:5" x14ac:dyDescent="0.25">
      <c r="A435">
        <v>434</v>
      </c>
      <c r="B435">
        <v>7.4</v>
      </c>
      <c r="C435">
        <v>17</v>
      </c>
      <c r="E435" cm="1">
        <f t="array" ref="E435">_xlfn.IFS(E434=0,1,AND(E434=1,E433=1,E432=1),2,AND(E434=2,E433=2,E432=2),3,AND(E434=3,E433=3,E432=3),4,AND(E434=5,C434&gt;=20),0,AND(OR(E434=4,E434=5),OR(E433=4,E433=5),OR(E432=4,E432=5)), 5, TRUE,E434)</f>
        <v>3</v>
      </c>
    </row>
    <row r="436" spans="1:5" x14ac:dyDescent="0.25">
      <c r="A436">
        <v>435</v>
      </c>
      <c r="B436">
        <v>4.0999999999999996</v>
      </c>
      <c r="C436">
        <v>17</v>
      </c>
      <c r="E436" cm="1">
        <f t="array" ref="E436">_xlfn.IFS(E435=0,1,AND(E435=1,E434=1,E433=1),2,AND(E435=2,E434=2,E433=2),3,AND(E435=3,E434=3,E433=3),4,AND(E435=5,C435&gt;=20),0,AND(OR(E435=4,E435=5),OR(E434=4,E434=5),OR(E433=4,E433=5)), 5, TRUE,E435)</f>
        <v>3</v>
      </c>
    </row>
    <row r="437" spans="1:5" x14ac:dyDescent="0.25">
      <c r="A437">
        <v>436</v>
      </c>
      <c r="B437">
        <v>1.4</v>
      </c>
      <c r="C437">
        <v>7</v>
      </c>
      <c r="E437" cm="1">
        <f t="array" ref="E437">_xlfn.IFS(E436=0,1,AND(E436=1,E435=1,E434=1),2,AND(E436=2,E435=2,E434=2),3,AND(E436=3,E435=3,E434=3),4,AND(E436=5,C436&gt;=20),0,AND(OR(E436=4,E436=5),OR(E435=4,E435=5),OR(E434=4,E434=5)), 5, TRUE,E436)</f>
        <v>3</v>
      </c>
    </row>
    <row r="438" spans="1:5" x14ac:dyDescent="0.25">
      <c r="A438">
        <v>437</v>
      </c>
      <c r="B438">
        <v>0.1</v>
      </c>
      <c r="C438">
        <v>24</v>
      </c>
      <c r="E438" cm="1">
        <f t="array" ref="E438">_xlfn.IFS(E437=0,1,AND(E437=1,E436=1,E435=1),2,AND(E437=2,E436=2,E435=2),3,AND(E437=3,E436=3,E435=3),4,AND(E437=5,C437&gt;=20),0,AND(OR(E437=4,E437=5),OR(E436=4,E436=5),OR(E435=4,E435=5)), 5, TRUE,E437)</f>
        <v>4</v>
      </c>
    </row>
    <row r="439" spans="1:5" x14ac:dyDescent="0.25">
      <c r="A439">
        <v>438</v>
      </c>
      <c r="B439">
        <v>0.5</v>
      </c>
      <c r="C439">
        <v>16</v>
      </c>
      <c r="E439" cm="1">
        <f t="array" ref="E439">_xlfn.IFS(E438=0,1,AND(E438=1,E437=1,E436=1),2,AND(E438=2,E437=2,E436=2),3,AND(E438=3,E437=3,E436=3),4,AND(E438=5,C438&gt;=20),0,AND(OR(E438=4,E438=5),OR(E437=4,E437=5),OR(E436=4,E436=5)), 5, TRUE,E438)</f>
        <v>4</v>
      </c>
    </row>
    <row r="440" spans="1:5" x14ac:dyDescent="0.25">
      <c r="A440">
        <v>439</v>
      </c>
      <c r="B440">
        <v>2.5</v>
      </c>
      <c r="C440">
        <v>2</v>
      </c>
      <c r="E440" cm="1">
        <f t="array" ref="E440">_xlfn.IFS(E439=0,1,AND(E439=1,E438=1,E437=1),2,AND(E439=2,E438=2,E437=2),3,AND(E439=3,E438=3,E437=3),4,AND(E439=5,C439&gt;=20),0,AND(OR(E439=4,E439=5),OR(E438=4,E438=5),OR(E437=4,E437=5)), 5, TRUE,E439)</f>
        <v>4</v>
      </c>
    </row>
    <row r="441" spans="1:5" x14ac:dyDescent="0.25">
      <c r="A441">
        <v>440</v>
      </c>
      <c r="B441">
        <v>5.5</v>
      </c>
      <c r="C441">
        <v>17</v>
      </c>
      <c r="E441" cm="1">
        <f t="array" ref="E441">_xlfn.IFS(E440=0,1,AND(E440=1,E439=1,E438=1),2,AND(E440=2,E439=2,E438=2),3,AND(E440=3,E439=3,E438=3),4,AND(E440=5,C440&gt;=20),0,AND(OR(E440=4,E440=5),OR(E439=4,E439=5),OR(E438=4,E438=5)), 5, TRUE,E440)</f>
        <v>5</v>
      </c>
    </row>
    <row r="442" spans="1:5" x14ac:dyDescent="0.25">
      <c r="A442">
        <v>441</v>
      </c>
      <c r="B442">
        <v>8.6999999999999993</v>
      </c>
      <c r="C442">
        <v>23</v>
      </c>
      <c r="E442" cm="1">
        <f t="array" ref="E442">_xlfn.IFS(E441=0,1,AND(E441=1,E440=1,E439=1),2,AND(E441=2,E440=2,E439=2),3,AND(E441=3,E440=3,E439=3),4,AND(E441=5,C441&gt;=20),0,AND(OR(E441=4,E441=5),OR(E440=4,E440=5),OR(E439=4,E439=5)), 5, TRUE,E441)</f>
        <v>5</v>
      </c>
    </row>
    <row r="443" spans="1:5" x14ac:dyDescent="0.25">
      <c r="A443">
        <v>442</v>
      </c>
      <c r="B443">
        <v>11.1</v>
      </c>
      <c r="C443">
        <v>0</v>
      </c>
      <c r="E443" cm="1">
        <f t="array" ref="E443">_xlfn.IFS(E442=0,1,AND(E442=1,E441=1,E440=1),2,AND(E442=2,E441=2,E440=2),3,AND(E442=3,E441=3,E440=3),4,AND(E442=5,C442&gt;=20),0,AND(OR(E442=4,E442=5),OR(E441=4,E441=5),OR(E440=4,E440=5)), 5, TRUE,E442)</f>
        <v>0</v>
      </c>
    </row>
    <row r="444" spans="1:5" x14ac:dyDescent="0.25">
      <c r="A444">
        <v>443</v>
      </c>
      <c r="B444">
        <v>12.2</v>
      </c>
      <c r="C444">
        <v>4</v>
      </c>
      <c r="E444" cm="1">
        <f t="array" ref="E444">_xlfn.IFS(E443=0,1,AND(E443=1,E442=1,E441=1),2,AND(E443=2,E442=2,E441=2),3,AND(E443=3,E442=3,E441=3),4,AND(E443=5,C443&gt;=20),0,AND(OR(E443=4,E443=5),OR(E442=4,E442=5),OR(E441=4,E441=5)), 5, TRUE,E443)</f>
        <v>1</v>
      </c>
    </row>
    <row r="445" spans="1:5" x14ac:dyDescent="0.25">
      <c r="A445">
        <v>444</v>
      </c>
      <c r="B445">
        <v>11.9</v>
      </c>
      <c r="C445">
        <v>1</v>
      </c>
      <c r="E445" cm="1">
        <f t="array" ref="E445">_xlfn.IFS(E444=0,1,AND(E444=1,E443=1,E442=1),2,AND(E444=2,E443=2,E442=2),3,AND(E444=3,E443=3,E442=3),4,AND(E444=5,C444&gt;=20),0,AND(OR(E444=4,E444=5),OR(E443=4,E443=5),OR(E442=4,E442=5)), 5, TRUE,E444)</f>
        <v>1</v>
      </c>
    </row>
    <row r="446" spans="1:5" x14ac:dyDescent="0.25">
      <c r="A446">
        <v>445</v>
      </c>
      <c r="B446">
        <v>10.5</v>
      </c>
      <c r="C446">
        <v>1</v>
      </c>
      <c r="E446" cm="1">
        <f t="array" ref="E446">_xlfn.IFS(E445=0,1,AND(E445=1,E444=1,E443=1),2,AND(E445=2,E444=2,E443=2),3,AND(E445=3,E444=3,E443=3),4,AND(E445=5,C445&gt;=20),0,AND(OR(E445=4,E445=5),OR(E444=4,E444=5),OR(E443=4,E443=5)), 5, TRUE,E445)</f>
        <v>1</v>
      </c>
    </row>
    <row r="447" spans="1:5" x14ac:dyDescent="0.25">
      <c r="A447">
        <v>446</v>
      </c>
      <c r="B447">
        <v>8.8000000000000007</v>
      </c>
      <c r="C447">
        <v>6</v>
      </c>
      <c r="E447" cm="1">
        <f t="array" ref="E447">_xlfn.IFS(E446=0,1,AND(E446=1,E445=1,E444=1),2,AND(E446=2,E445=2,E444=2),3,AND(E446=3,E445=3,E444=3),4,AND(E446=5,C446&gt;=20),0,AND(OR(E446=4,E446=5),OR(E445=4,E445=5),OR(E444=4,E444=5)), 5, TRUE,E446)</f>
        <v>2</v>
      </c>
    </row>
    <row r="448" spans="1:5" x14ac:dyDescent="0.25">
      <c r="A448">
        <v>447</v>
      </c>
      <c r="B448">
        <v>7.5</v>
      </c>
      <c r="C448">
        <v>10</v>
      </c>
      <c r="E448" cm="1">
        <f t="array" ref="E448">_xlfn.IFS(E447=0,1,AND(E447=1,E446=1,E445=1),2,AND(E447=2,E446=2,E445=2),3,AND(E447=3,E446=3,E445=3),4,AND(E447=5,C447&gt;=20),0,AND(OR(E447=4,E447=5),OR(E446=4,E446=5),OR(E445=4,E445=5)), 5, TRUE,E447)</f>
        <v>2</v>
      </c>
    </row>
    <row r="449" spans="1:5" x14ac:dyDescent="0.25">
      <c r="A449">
        <v>448</v>
      </c>
      <c r="B449">
        <v>7.6</v>
      </c>
      <c r="C449">
        <v>10</v>
      </c>
      <c r="E449" cm="1">
        <f t="array" ref="E449">_xlfn.IFS(E448=0,1,AND(E448=1,E447=1,E446=1),2,AND(E448=2,E447=2,E446=2),3,AND(E448=3,E447=3,E446=3),4,AND(E448=5,C448&gt;=20),0,AND(OR(E448=4,E448=5),OR(E447=4,E447=5),OR(E446=4,E446=5)), 5, TRUE,E448)</f>
        <v>2</v>
      </c>
    </row>
    <row r="450" spans="1:5" x14ac:dyDescent="0.25">
      <c r="A450">
        <v>449</v>
      </c>
      <c r="B450">
        <v>9.1999999999999993</v>
      </c>
      <c r="C450">
        <v>2</v>
      </c>
      <c r="E450" cm="1">
        <f t="array" ref="E450">_xlfn.IFS(E449=0,1,AND(E449=1,E448=1,E447=1),2,AND(E449=2,E448=2,E447=2),3,AND(E449=3,E448=3,E447=3),4,AND(E449=5,C449&gt;=20),0,AND(OR(E449=4,E449=5),OR(E448=4,E448=5),OR(E447=4,E447=5)), 5, TRUE,E449)</f>
        <v>3</v>
      </c>
    </row>
    <row r="451" spans="1:5" x14ac:dyDescent="0.25">
      <c r="A451">
        <v>450</v>
      </c>
      <c r="B451">
        <v>12.3</v>
      </c>
      <c r="C451">
        <v>7</v>
      </c>
      <c r="E451" cm="1">
        <f t="array" ref="E451">_xlfn.IFS(E450=0,1,AND(E450=1,E449=1,E448=1),2,AND(E450=2,E449=2,E448=2),3,AND(E450=3,E449=3,E448=3),4,AND(E450=5,C450&gt;=20),0,AND(OR(E450=4,E450=5),OR(E449=4,E449=5),OR(E448=4,E448=5)), 5, TRUE,E450)</f>
        <v>3</v>
      </c>
    </row>
    <row r="452" spans="1:5" x14ac:dyDescent="0.25">
      <c r="A452">
        <v>451</v>
      </c>
      <c r="B452">
        <v>16.3</v>
      </c>
      <c r="C452">
        <v>18</v>
      </c>
      <c r="E452" cm="1">
        <f t="array" ref="E452">_xlfn.IFS(E451=0,1,AND(E451=1,E450=1,E449=1),2,AND(E451=2,E450=2,E449=2),3,AND(E451=3,E450=3,E449=3),4,AND(E451=5,C451&gt;=20),0,AND(OR(E451=4,E451=5),OR(E450=4,E450=5),OR(E449=4,E449=5)), 5, TRUE,E451)</f>
        <v>3</v>
      </c>
    </row>
    <row r="453" spans="1:5" x14ac:dyDescent="0.25">
      <c r="A453">
        <v>452</v>
      </c>
      <c r="B453">
        <v>20.2</v>
      </c>
      <c r="C453">
        <v>23</v>
      </c>
      <c r="E453" cm="1">
        <f t="array" ref="E453">_xlfn.IFS(E452=0,1,AND(E452=1,E451=1,E450=1),2,AND(E452=2,E451=2,E450=2),3,AND(E452=3,E451=3,E450=3),4,AND(E452=5,C452&gt;=20),0,AND(OR(E452=4,E452=5),OR(E451=4,E451=5),OR(E450=4,E450=5)), 5, TRUE,E452)</f>
        <v>4</v>
      </c>
    </row>
    <row r="454" spans="1:5" x14ac:dyDescent="0.25">
      <c r="A454">
        <v>453</v>
      </c>
      <c r="B454">
        <v>23.2</v>
      </c>
      <c r="C454">
        <v>7</v>
      </c>
      <c r="E454" cm="1">
        <f t="array" ref="E454">_xlfn.IFS(E453=0,1,AND(E453=1,E452=1,E451=1),2,AND(E453=2,E452=2,E451=2),3,AND(E453=3,E452=3,E451=3),4,AND(E453=5,C453&gt;=20),0,AND(OR(E453=4,E453=5),OR(E452=4,E452=5),OR(E451=4,E451=5)), 5, TRUE,E453)</f>
        <v>4</v>
      </c>
    </row>
    <row r="455" spans="1:5" x14ac:dyDescent="0.25">
      <c r="A455">
        <v>454</v>
      </c>
      <c r="B455">
        <v>24.8</v>
      </c>
      <c r="C455">
        <v>20</v>
      </c>
      <c r="E455" cm="1">
        <f t="array" ref="E455">_xlfn.IFS(E454=0,1,AND(E454=1,E453=1,E452=1),2,AND(E454=2,E453=2,E452=2),3,AND(E454=3,E453=3,E452=3),4,AND(E454=5,C454&gt;=20),0,AND(OR(E454=4,E454=5),OR(E453=4,E453=5),OR(E452=4,E452=5)), 5, TRUE,E454)</f>
        <v>4</v>
      </c>
    </row>
    <row r="456" spans="1:5" x14ac:dyDescent="0.25">
      <c r="A456">
        <v>455</v>
      </c>
      <c r="B456">
        <v>24.9</v>
      </c>
      <c r="C456">
        <v>14</v>
      </c>
      <c r="E456" cm="1">
        <f t="array" ref="E456">_xlfn.IFS(E455=0,1,AND(E455=1,E454=1,E453=1),2,AND(E455=2,E454=2,E453=2),3,AND(E455=3,E454=3,E453=3),4,AND(E455=5,C455&gt;=20),0,AND(OR(E455=4,E455=5),OR(E454=4,E454=5),OR(E453=4,E453=5)), 5, TRUE,E455)</f>
        <v>5</v>
      </c>
    </row>
    <row r="457" spans="1:5" x14ac:dyDescent="0.25">
      <c r="A457">
        <v>456</v>
      </c>
      <c r="B457">
        <v>23.3</v>
      </c>
      <c r="C457">
        <v>11</v>
      </c>
      <c r="E457" cm="1">
        <f t="array" ref="E457">_xlfn.IFS(E456=0,1,AND(E456=1,E455=1,E454=1),2,AND(E456=2,E455=2,E454=2),3,AND(E456=3,E455=3,E454=3),4,AND(E456=5,C456&gt;=20),0,AND(OR(E456=4,E456=5),OR(E455=4,E455=5),OR(E454=4,E454=5)), 5, TRUE,E456)</f>
        <v>5</v>
      </c>
    </row>
    <row r="458" spans="1:5" x14ac:dyDescent="0.25">
      <c r="A458">
        <v>457</v>
      </c>
      <c r="B458">
        <v>21.3</v>
      </c>
      <c r="C458">
        <v>10</v>
      </c>
      <c r="E458" cm="1">
        <f t="array" ref="E458">_xlfn.IFS(E457=0,1,AND(E457=1,E456=1,E455=1),2,AND(E457=2,E456=2,E455=2),3,AND(E457=3,E456=3,E455=3),4,AND(E457=5,C457&gt;=20),0,AND(OR(E457=4,E457=5),OR(E456=4,E456=5),OR(E455=4,E455=5)), 5, TRUE,E457)</f>
        <v>5</v>
      </c>
    </row>
    <row r="459" spans="1:5" x14ac:dyDescent="0.25">
      <c r="A459">
        <v>458</v>
      </c>
      <c r="B459">
        <v>19.7</v>
      </c>
      <c r="C459">
        <v>13</v>
      </c>
      <c r="E459" cm="1">
        <f t="array" ref="E459">_xlfn.IFS(E458=0,1,AND(E458=1,E457=1,E456=1),2,AND(E458=2,E457=2,E456=2),3,AND(E458=3,E457=3,E456=3),4,AND(E458=5,C458&gt;=20),0,AND(OR(E458=4,E458=5),OR(E457=4,E457=5),OR(E456=4,E456=5)), 5, TRUE,E458)</f>
        <v>5</v>
      </c>
    </row>
    <row r="460" spans="1:5" x14ac:dyDescent="0.25">
      <c r="A460">
        <v>459</v>
      </c>
      <c r="B460">
        <v>19.100000000000001</v>
      </c>
      <c r="C460">
        <v>24</v>
      </c>
      <c r="E460" cm="1">
        <f t="array" ref="E460">_xlfn.IFS(E459=0,1,AND(E459=1,E458=1,E457=1),2,AND(E459=2,E458=2,E457=2),3,AND(E459=3,E458=3,E457=3),4,AND(E459=5,C459&gt;=20),0,AND(OR(E459=4,E459=5),OR(E458=4,E458=5),OR(E457=4,E457=5)), 5, TRUE,E459)</f>
        <v>5</v>
      </c>
    </row>
    <row r="461" spans="1:5" x14ac:dyDescent="0.25">
      <c r="A461">
        <v>460</v>
      </c>
      <c r="B461">
        <v>20</v>
      </c>
      <c r="C461">
        <v>0</v>
      </c>
      <c r="E461" cm="1">
        <f t="array" ref="E461">_xlfn.IFS(E460=0,1,AND(E460=1,E459=1,E458=1),2,AND(E460=2,E459=2,E458=2),3,AND(E460=3,E459=3,E458=3),4,AND(E460=5,C460&gt;=20),0,AND(OR(E460=4,E460=5),OR(E459=4,E459=5),OR(E458=4,E458=5)), 5, TRUE,E460)</f>
        <v>0</v>
      </c>
    </row>
    <row r="462" spans="1:5" x14ac:dyDescent="0.25">
      <c r="A462">
        <v>461</v>
      </c>
      <c r="B462">
        <v>22.1</v>
      </c>
      <c r="C462">
        <v>1</v>
      </c>
      <c r="E462" cm="1">
        <f t="array" ref="E462">_xlfn.IFS(E461=0,1,AND(E461=1,E460=1,E459=1),2,AND(E461=2,E460=2,E459=2),3,AND(E461=3,E460=3,E459=3),4,AND(E461=5,C461&gt;=20),0,AND(OR(E461=4,E461=5),OR(E460=4,E460=5),OR(E459=4,E459=5)), 5, TRUE,E461)</f>
        <v>1</v>
      </c>
    </row>
    <row r="463" spans="1:5" x14ac:dyDescent="0.25">
      <c r="A463">
        <v>462</v>
      </c>
      <c r="B463">
        <v>25</v>
      </c>
      <c r="C463">
        <v>4</v>
      </c>
      <c r="E463" cm="1">
        <f t="array" ref="E463">_xlfn.IFS(E462=0,1,AND(E462=1,E461=1,E460=1),2,AND(E462=2,E461=2,E460=2),3,AND(E462=3,E461=3,E460=3),4,AND(E462=5,C462&gt;=20),0,AND(OR(E462=4,E462=5),OR(E461=4,E461=5),OR(E460=4,E460=5)), 5, TRUE,E462)</f>
        <v>1</v>
      </c>
    </row>
    <row r="464" spans="1:5" x14ac:dyDescent="0.25">
      <c r="A464">
        <v>463</v>
      </c>
      <c r="B464">
        <v>27.7</v>
      </c>
      <c r="C464">
        <v>1</v>
      </c>
      <c r="E464" cm="1">
        <f t="array" ref="E464">_xlfn.IFS(E463=0,1,AND(E463=1,E462=1,E461=1),2,AND(E463=2,E462=2,E461=2),3,AND(E463=3,E462=3,E461=3),4,AND(E463=5,C463&gt;=20),0,AND(OR(E463=4,E463=5),OR(E462=4,E462=5),OR(E461=4,E461=5)), 5, TRUE,E463)</f>
        <v>1</v>
      </c>
    </row>
    <row r="465" spans="1:5" x14ac:dyDescent="0.25">
      <c r="A465">
        <v>464</v>
      </c>
      <c r="B465">
        <v>29.4</v>
      </c>
      <c r="C465">
        <v>12</v>
      </c>
      <c r="E465" cm="1">
        <f t="array" ref="E465">_xlfn.IFS(E464=0,1,AND(E464=1,E463=1,E462=1),2,AND(E464=2,E463=2,E462=2),3,AND(E464=3,E463=3,E462=3),4,AND(E464=5,C464&gt;=20),0,AND(OR(E464=4,E464=5),OR(E463=4,E463=5),OR(E462=4,E462=5)), 5, TRUE,E464)</f>
        <v>2</v>
      </c>
    </row>
    <row r="466" spans="1:5" x14ac:dyDescent="0.25">
      <c r="A466">
        <v>465</v>
      </c>
      <c r="B466">
        <v>29.5</v>
      </c>
      <c r="C466">
        <v>12</v>
      </c>
      <c r="E466" cm="1">
        <f t="array" ref="E466">_xlfn.IFS(E465=0,1,AND(E465=1,E464=1,E463=1),2,AND(E465=2,E464=2,E463=2),3,AND(E465=3,E464=3,E463=3),4,AND(E465=5,C465&gt;=20),0,AND(OR(E465=4,E465=5),OR(E464=4,E464=5),OR(E463=4,E463=5)), 5, TRUE,E465)</f>
        <v>2</v>
      </c>
    </row>
    <row r="467" spans="1:5" x14ac:dyDescent="0.25">
      <c r="A467">
        <v>466</v>
      </c>
      <c r="B467">
        <v>27.8</v>
      </c>
      <c r="C467">
        <v>8</v>
      </c>
      <c r="E467" cm="1">
        <f t="array" ref="E467">_xlfn.IFS(E466=0,1,AND(E466=1,E465=1,E464=1),2,AND(E466=2,E465=2,E464=2),3,AND(E466=3,E465=3,E464=3),4,AND(E466=5,C466&gt;=20),0,AND(OR(E466=4,E466=5),OR(E465=4,E465=5),OR(E464=4,E464=5)), 5, TRUE,E466)</f>
        <v>2</v>
      </c>
    </row>
    <row r="468" spans="1:5" x14ac:dyDescent="0.25">
      <c r="A468">
        <v>467</v>
      </c>
      <c r="B468">
        <v>24.9</v>
      </c>
      <c r="C468">
        <v>13</v>
      </c>
      <c r="E468" cm="1">
        <f t="array" ref="E468">_xlfn.IFS(E467=0,1,AND(E467=1,E466=1,E465=1),2,AND(E467=2,E466=2,E465=2),3,AND(E467=3,E466=3,E465=3),4,AND(E467=5,C467&gt;=20),0,AND(OR(E467=4,E467=5),OR(E466=4,E466=5),OR(E465=4,E465=5)), 5, TRUE,E467)</f>
        <v>3</v>
      </c>
    </row>
    <row r="469" spans="1:5" x14ac:dyDescent="0.25">
      <c r="A469">
        <v>468</v>
      </c>
      <c r="B469">
        <v>21.3</v>
      </c>
      <c r="C469">
        <v>18</v>
      </c>
      <c r="E469" cm="1">
        <f t="array" ref="E469">_xlfn.IFS(E468=0,1,AND(E468=1,E467=1,E466=1),2,AND(E468=2,E467=2,E466=2),3,AND(E468=3,E467=3,E466=3),4,AND(E468=5,C468&gt;=20),0,AND(OR(E468=4,E468=5),OR(E467=4,E467=5),OR(E466=4,E466=5)), 5, TRUE,E468)</f>
        <v>3</v>
      </c>
    </row>
    <row r="470" spans="1:5" x14ac:dyDescent="0.25">
      <c r="A470">
        <v>469</v>
      </c>
      <c r="B470">
        <v>18.100000000000001</v>
      </c>
      <c r="C470">
        <v>15</v>
      </c>
      <c r="E470" cm="1">
        <f t="array" ref="E470">_xlfn.IFS(E469=0,1,AND(E469=1,E468=1,E467=1),2,AND(E469=2,E468=2,E467=2),3,AND(E469=3,E468=3,E467=3),4,AND(E469=5,C469&gt;=20),0,AND(OR(E469=4,E469=5),OR(E468=4,E468=5),OR(E467=4,E467=5)), 5, TRUE,E469)</f>
        <v>3</v>
      </c>
    </row>
    <row r="471" spans="1:5" x14ac:dyDescent="0.25">
      <c r="A471">
        <v>470</v>
      </c>
      <c r="B471">
        <v>15.9</v>
      </c>
      <c r="C471">
        <v>10</v>
      </c>
      <c r="E471" cm="1">
        <f t="array" ref="E471">_xlfn.IFS(E470=0,1,AND(E470=1,E469=1,E468=1),2,AND(E470=2,E469=2,E468=2),3,AND(E470=3,E469=3,E468=3),4,AND(E470=5,C470&gt;=20),0,AND(OR(E470=4,E470=5),OR(E469=4,E469=5),OR(E468=4,E468=5)), 5, TRUE,E470)</f>
        <v>4</v>
      </c>
    </row>
    <row r="472" spans="1:5" x14ac:dyDescent="0.25">
      <c r="A472">
        <v>471</v>
      </c>
      <c r="B472">
        <v>15.3</v>
      </c>
      <c r="C472">
        <v>7</v>
      </c>
      <c r="E472" cm="1">
        <f t="array" ref="E472">_xlfn.IFS(E471=0,1,AND(E471=1,E470=1,E469=1),2,AND(E471=2,E470=2,E469=2),3,AND(E471=3,E470=3,E469=3),4,AND(E471=5,C471&gt;=20),0,AND(OR(E471=4,E471=5),OR(E470=4,E470=5),OR(E469=4,E469=5)), 5, TRUE,E471)</f>
        <v>4</v>
      </c>
    </row>
    <row r="473" spans="1:5" x14ac:dyDescent="0.25">
      <c r="A473">
        <v>472</v>
      </c>
      <c r="B473">
        <v>16</v>
      </c>
      <c r="C473">
        <v>5</v>
      </c>
      <c r="E473" cm="1">
        <f t="array" ref="E473">_xlfn.IFS(E472=0,1,AND(E472=1,E471=1,E470=1),2,AND(E472=2,E471=2,E470=2),3,AND(E472=3,E471=3,E470=3),4,AND(E472=5,C472&gt;=20),0,AND(OR(E472=4,E472=5),OR(E471=4,E471=5),OR(E470=4,E470=5)), 5, TRUE,E472)</f>
        <v>4</v>
      </c>
    </row>
    <row r="474" spans="1:5" x14ac:dyDescent="0.25">
      <c r="A474">
        <v>473</v>
      </c>
      <c r="B474">
        <v>17.5</v>
      </c>
      <c r="C474">
        <v>26</v>
      </c>
      <c r="E474" cm="1">
        <f t="array" ref="E474">_xlfn.IFS(E473=0,1,AND(E473=1,E472=1,E471=1),2,AND(E473=2,E472=2,E471=2),3,AND(E473=3,E472=3,E471=3),4,AND(E473=5,C473&gt;=20),0,AND(OR(E473=4,E473=5),OR(E472=4,E472=5),OR(E471=4,E471=5)), 5, TRUE,E473)</f>
        <v>5</v>
      </c>
    </row>
    <row r="475" spans="1:5" x14ac:dyDescent="0.25">
      <c r="A475">
        <v>474</v>
      </c>
      <c r="B475">
        <v>19</v>
      </c>
      <c r="C475">
        <v>0</v>
      </c>
      <c r="E475" cm="1">
        <f t="array" ref="E475">_xlfn.IFS(E474=0,1,AND(E474=1,E473=1,E472=1),2,AND(E474=2,E473=2,E472=2),3,AND(E474=3,E473=3,E472=3),4,AND(E474=5,C474&gt;=20),0,AND(OR(E474=4,E474=5),OR(E473=4,E473=5),OR(E472=4,E472=5)), 5, TRUE,E474)</f>
        <v>0</v>
      </c>
    </row>
    <row r="476" spans="1:5" x14ac:dyDescent="0.25">
      <c r="A476">
        <v>475</v>
      </c>
      <c r="B476">
        <v>19.5</v>
      </c>
      <c r="C476">
        <v>2</v>
      </c>
      <c r="E476" cm="1">
        <f t="array" ref="E476">_xlfn.IFS(E475=0,1,AND(E475=1,E474=1,E473=1),2,AND(E475=2,E474=2,E473=2),3,AND(E475=3,E474=3,E473=3),4,AND(E475=5,C475&gt;=20),0,AND(OR(E475=4,E475=5),OR(E474=4,E474=5),OR(E473=4,E473=5)), 5, TRUE,E475)</f>
        <v>1</v>
      </c>
    </row>
    <row r="477" spans="1:5" x14ac:dyDescent="0.25">
      <c r="A477">
        <v>476</v>
      </c>
      <c r="B477">
        <v>18.7</v>
      </c>
      <c r="C477">
        <v>6</v>
      </c>
      <c r="E477" cm="1">
        <f t="array" ref="E477">_xlfn.IFS(E476=0,1,AND(E476=1,E475=1,E474=1),2,AND(E476=2,E475=2,E474=2),3,AND(E476=3,E475=3,E474=3),4,AND(E476=5,C476&gt;=20),0,AND(OR(E476=4,E476=5),OR(E475=4,E475=5),OR(E474=4,E474=5)), 5, TRUE,E476)</f>
        <v>1</v>
      </c>
    </row>
    <row r="478" spans="1:5" x14ac:dyDescent="0.25">
      <c r="A478">
        <v>477</v>
      </c>
      <c r="B478">
        <v>16.3</v>
      </c>
      <c r="C478">
        <v>5</v>
      </c>
      <c r="E478" cm="1">
        <f t="array" ref="E478">_xlfn.IFS(E477=0,1,AND(E477=1,E476=1,E475=1),2,AND(E477=2,E476=2,E475=2),3,AND(E477=3,E476=3,E475=3),4,AND(E477=5,C477&gt;=20),0,AND(OR(E477=4,E477=5),OR(E476=4,E476=5),OR(E475=4,E475=5)), 5, TRUE,E477)</f>
        <v>1</v>
      </c>
    </row>
    <row r="479" spans="1:5" x14ac:dyDescent="0.25">
      <c r="A479">
        <v>478</v>
      </c>
      <c r="B479">
        <v>12.7</v>
      </c>
      <c r="C479">
        <v>6</v>
      </c>
      <c r="E479" cm="1">
        <f t="array" ref="E479">_xlfn.IFS(E478=0,1,AND(E478=1,E477=1,E476=1),2,AND(E478=2,E477=2,E476=2),3,AND(E478=3,E477=3,E476=3),4,AND(E478=5,C478&gt;=20),0,AND(OR(E478=4,E478=5),OR(E477=4,E477=5),OR(E476=4,E476=5)), 5, TRUE,E478)</f>
        <v>2</v>
      </c>
    </row>
    <row r="480" spans="1:5" x14ac:dyDescent="0.25">
      <c r="A480">
        <v>479</v>
      </c>
      <c r="B480">
        <v>8.8000000000000007</v>
      </c>
      <c r="C480">
        <v>7</v>
      </c>
      <c r="E480" cm="1">
        <f t="array" ref="E480">_xlfn.IFS(E479=0,1,AND(E479=1,E478=1,E477=1),2,AND(E479=2,E478=2,E477=2),3,AND(E479=3,E478=3,E477=3),4,AND(E479=5,C479&gt;=20),0,AND(OR(E479=4,E479=5),OR(E478=4,E478=5),OR(E477=4,E477=5)), 5, TRUE,E479)</f>
        <v>2</v>
      </c>
    </row>
    <row r="481" spans="1:5" x14ac:dyDescent="0.25">
      <c r="A481">
        <v>480</v>
      </c>
      <c r="B481">
        <v>5.3</v>
      </c>
      <c r="C481">
        <v>2</v>
      </c>
      <c r="E481" cm="1">
        <f t="array" ref="E481">_xlfn.IFS(E480=0,1,AND(E480=1,E479=1,E478=1),2,AND(E480=2,E479=2,E478=2),3,AND(E480=3,E479=3,E478=3),4,AND(E480=5,C480&gt;=20),0,AND(OR(E480=4,E480=5),OR(E479=4,E479=5),OR(E478=4,E478=5)), 5, TRUE,E480)</f>
        <v>2</v>
      </c>
    </row>
    <row r="482" spans="1:5" x14ac:dyDescent="0.25">
      <c r="A482">
        <v>481</v>
      </c>
      <c r="B482">
        <v>3.2</v>
      </c>
      <c r="C482">
        <v>7</v>
      </c>
      <c r="E482" cm="1">
        <f t="array" ref="E482">_xlfn.IFS(E481=0,1,AND(E481=1,E480=1,E479=1),2,AND(E481=2,E480=2,E479=2),3,AND(E481=3,E480=3,E479=3),4,AND(E481=5,C481&gt;=20),0,AND(OR(E481=4,E481=5),OR(E480=4,E480=5),OR(E479=4,E479=5)), 5, TRUE,E481)</f>
        <v>3</v>
      </c>
    </row>
    <row r="483" spans="1:5" x14ac:dyDescent="0.25">
      <c r="A483">
        <v>482</v>
      </c>
      <c r="B483">
        <v>2.7</v>
      </c>
      <c r="C483">
        <v>7</v>
      </c>
      <c r="E483" cm="1">
        <f t="array" ref="E483">_xlfn.IFS(E482=0,1,AND(E482=1,E481=1,E480=1),2,AND(E482=2,E481=2,E480=2),3,AND(E482=3,E481=3,E480=3),4,AND(E482=5,C482&gt;=20),0,AND(OR(E482=4,E482=5),OR(E481=4,E481=5),OR(E480=4,E480=5)), 5, TRUE,E482)</f>
        <v>3</v>
      </c>
    </row>
    <row r="484" spans="1:5" x14ac:dyDescent="0.25">
      <c r="A484">
        <v>483</v>
      </c>
      <c r="B484">
        <v>3.9</v>
      </c>
      <c r="C484">
        <v>8</v>
      </c>
      <c r="E484" cm="1">
        <f t="array" ref="E484">_xlfn.IFS(E483=0,1,AND(E483=1,E482=1,E481=1),2,AND(E483=2,E482=2,E481=2),3,AND(E483=3,E482=3,E481=3),4,AND(E483=5,C483&gt;=20),0,AND(OR(E483=4,E483=5),OR(E482=4,E482=5),OR(E481=4,E481=5)), 5, TRUE,E483)</f>
        <v>3</v>
      </c>
    </row>
    <row r="485" spans="1:5" x14ac:dyDescent="0.25">
      <c r="A485">
        <v>484</v>
      </c>
      <c r="B485">
        <v>6</v>
      </c>
      <c r="C485">
        <v>18</v>
      </c>
      <c r="E485" cm="1">
        <f t="array" ref="E485">_xlfn.IFS(E484=0,1,AND(E484=1,E483=1,E482=1),2,AND(E484=2,E483=2,E482=2),3,AND(E484=3,E483=3,E482=3),4,AND(E484=5,C484&gt;=20),0,AND(OR(E484=4,E484=5),OR(E483=4,E483=5),OR(E482=4,E482=5)), 5, TRUE,E484)</f>
        <v>4</v>
      </c>
    </row>
    <row r="486" spans="1:5" x14ac:dyDescent="0.25">
      <c r="A486">
        <v>485</v>
      </c>
      <c r="B486">
        <v>8.1999999999999993</v>
      </c>
      <c r="C486">
        <v>23</v>
      </c>
      <c r="E486" cm="1">
        <f t="array" ref="E486">_xlfn.IFS(E485=0,1,AND(E485=1,E484=1,E483=1),2,AND(E485=2,E484=2,E483=2),3,AND(E485=3,E484=3,E483=3),4,AND(E485=5,C485&gt;=20),0,AND(OR(E485=4,E485=5),OR(E484=4,E484=5),OR(E483=4,E483=5)), 5, TRUE,E485)</f>
        <v>4</v>
      </c>
    </row>
    <row r="487" spans="1:5" x14ac:dyDescent="0.25">
      <c r="A487">
        <v>486</v>
      </c>
      <c r="B487">
        <v>9.6999999999999993</v>
      </c>
      <c r="C487">
        <v>23</v>
      </c>
      <c r="E487" cm="1">
        <f t="array" ref="E487">_xlfn.IFS(E486=0,1,AND(E486=1,E485=1,E484=1),2,AND(E486=2,E485=2,E484=2),3,AND(E486=3,E485=3,E484=3),4,AND(E486=5,C486&gt;=20),0,AND(OR(E486=4,E486=5),OR(E485=4,E485=5),OR(E484=4,E484=5)), 5, TRUE,E486)</f>
        <v>4</v>
      </c>
    </row>
    <row r="488" spans="1:5" x14ac:dyDescent="0.25">
      <c r="A488">
        <v>487</v>
      </c>
      <c r="B488">
        <v>10</v>
      </c>
      <c r="C488">
        <v>11</v>
      </c>
      <c r="E488" cm="1">
        <f t="array" ref="E488">_xlfn.IFS(E487=0,1,AND(E487=1,E486=1,E485=1),2,AND(E487=2,E486=2,E485=2),3,AND(E487=3,E486=3,E485=3),4,AND(E487=5,C487&gt;=20),0,AND(OR(E487=4,E487=5),OR(E486=4,E486=5),OR(E485=4,E485=5)), 5, TRUE,E487)</f>
        <v>5</v>
      </c>
    </row>
    <row r="489" spans="1:5" x14ac:dyDescent="0.25">
      <c r="A489">
        <v>488</v>
      </c>
      <c r="B489">
        <v>8.8000000000000007</v>
      </c>
      <c r="C489">
        <v>16</v>
      </c>
      <c r="E489" cm="1">
        <f t="array" ref="E489">_xlfn.IFS(E488=0,1,AND(E488=1,E487=1,E486=1),2,AND(E488=2,E487=2,E486=2),3,AND(E488=3,E487=3,E486=3),4,AND(E488=5,C488&gt;=20),0,AND(OR(E488=4,E488=5),OR(E487=4,E487=5),OR(E486=4,E486=5)), 5, TRUE,E488)</f>
        <v>5</v>
      </c>
    </row>
    <row r="490" spans="1:5" x14ac:dyDescent="0.25">
      <c r="A490">
        <v>489</v>
      </c>
      <c r="B490">
        <v>6.6</v>
      </c>
      <c r="C490">
        <v>22</v>
      </c>
      <c r="E490" cm="1">
        <f t="array" ref="E490">_xlfn.IFS(E489=0,1,AND(E489=1,E488=1,E487=1),2,AND(E489=2,E488=2,E487=2),3,AND(E489=3,E488=3,E487=3),4,AND(E489=5,C489&gt;=20),0,AND(OR(E489=4,E489=5),OR(E488=4,E488=5),OR(E487=4,E487=5)), 5, TRUE,E489)</f>
        <v>5</v>
      </c>
    </row>
    <row r="491" spans="1:5" x14ac:dyDescent="0.25">
      <c r="A491">
        <v>490</v>
      </c>
      <c r="B491">
        <v>4.0999999999999996</v>
      </c>
      <c r="C491">
        <v>0</v>
      </c>
      <c r="E491" cm="1">
        <f t="array" ref="E491">_xlfn.IFS(E490=0,1,AND(E490=1,E489=1,E488=1),2,AND(E490=2,E489=2,E488=2),3,AND(E490=3,E489=3,E488=3),4,AND(E490=5,C490&gt;=20),0,AND(OR(E490=4,E490=5),OR(E489=4,E489=5),OR(E488=4,E488=5)), 5, TRUE,E490)</f>
        <v>0</v>
      </c>
    </row>
    <row r="492" spans="1:5" x14ac:dyDescent="0.25">
      <c r="A492">
        <v>491</v>
      </c>
      <c r="B492">
        <v>2.2000000000000002</v>
      </c>
      <c r="C492">
        <v>1</v>
      </c>
      <c r="E492" cm="1">
        <f t="array" ref="E492">_xlfn.IFS(E491=0,1,AND(E491=1,E490=1,E489=1),2,AND(E491=2,E490=2,E489=2),3,AND(E491=3,E490=3,E489=3),4,AND(E491=5,C491&gt;=20),0,AND(OR(E491=4,E491=5),OR(E490=4,E490=5),OR(E489=4,E489=5)), 5, TRUE,E491)</f>
        <v>1</v>
      </c>
    </row>
    <row r="493" spans="1:5" x14ac:dyDescent="0.25">
      <c r="A493">
        <v>492</v>
      </c>
      <c r="B493">
        <v>1.6</v>
      </c>
      <c r="C493">
        <v>4</v>
      </c>
      <c r="E493" cm="1">
        <f t="array" ref="E493">_xlfn.IFS(E492=0,1,AND(E492=1,E491=1,E490=1),2,AND(E492=2,E491=2,E490=2),3,AND(E492=3,E491=3,E490=3),4,AND(E492=5,C492&gt;=20),0,AND(OR(E492=4,E492=5),OR(E491=4,E491=5),OR(E490=4,E490=5)), 5, TRUE,E492)</f>
        <v>1</v>
      </c>
    </row>
    <row r="494" spans="1:5" x14ac:dyDescent="0.25">
      <c r="A494">
        <v>493</v>
      </c>
      <c r="B494">
        <v>2.7</v>
      </c>
      <c r="C494">
        <v>1</v>
      </c>
      <c r="E494" cm="1">
        <f t="array" ref="E494">_xlfn.IFS(E493=0,1,AND(E493=1,E492=1,E491=1),2,AND(E493=2,E492=2,E491=2),3,AND(E493=3,E492=3,E491=3),4,AND(E493=5,C493&gt;=20),0,AND(OR(E493=4,E493=5),OR(E492=4,E492=5),OR(E491=4,E491=5)), 5, TRUE,E493)</f>
        <v>1</v>
      </c>
    </row>
    <row r="495" spans="1:5" x14ac:dyDescent="0.25">
      <c r="A495">
        <v>494</v>
      </c>
      <c r="B495">
        <v>5.4</v>
      </c>
      <c r="C495">
        <v>9</v>
      </c>
      <c r="E495" cm="1">
        <f t="array" ref="E495">_xlfn.IFS(E494=0,1,AND(E494=1,E493=1,E492=1),2,AND(E494=2,E493=2,E492=2),3,AND(E494=3,E493=3,E492=3),4,AND(E494=5,C494&gt;=20),0,AND(OR(E494=4,E494=5),OR(E493=4,E493=5),OR(E492=4,E492=5)), 5, TRUE,E494)</f>
        <v>2</v>
      </c>
    </row>
    <row r="496" spans="1:5" x14ac:dyDescent="0.25">
      <c r="A496">
        <v>495</v>
      </c>
      <c r="B496">
        <v>9.1</v>
      </c>
      <c r="C496">
        <v>11</v>
      </c>
      <c r="E496" cm="1">
        <f t="array" ref="E496">_xlfn.IFS(E495=0,1,AND(E495=1,E494=1,E493=1),2,AND(E495=2,E494=2,E493=2),3,AND(E495=3,E494=3,E493=3),4,AND(E495=5,C495&gt;=20),0,AND(OR(E495=4,E495=5),OR(E494=4,E494=5),OR(E493=4,E493=5)), 5, TRUE,E495)</f>
        <v>2</v>
      </c>
    </row>
    <row r="497" spans="1:5" x14ac:dyDescent="0.25">
      <c r="A497">
        <v>496</v>
      </c>
      <c r="B497">
        <v>12.9</v>
      </c>
      <c r="C497">
        <v>8</v>
      </c>
      <c r="E497" cm="1">
        <f t="array" ref="E497">_xlfn.IFS(E496=0,1,AND(E496=1,E495=1,E494=1),2,AND(E496=2,E495=2,E494=2),3,AND(E496=3,E495=3,E494=3),4,AND(E496=5,C496&gt;=20),0,AND(OR(E496=4,E496=5),OR(E495=4,E495=5),OR(E494=4,E494=5)), 5, TRUE,E496)</f>
        <v>2</v>
      </c>
    </row>
    <row r="498" spans="1:5" x14ac:dyDescent="0.25">
      <c r="A498">
        <v>497</v>
      </c>
      <c r="B498">
        <v>15.9</v>
      </c>
      <c r="C498">
        <v>16</v>
      </c>
      <c r="E498" cm="1">
        <f t="array" ref="E498">_xlfn.IFS(E497=0,1,AND(E497=1,E496=1,E495=1),2,AND(E497=2,E496=2,E495=2),3,AND(E497=3,E496=3,E495=3),4,AND(E497=5,C497&gt;=20),0,AND(OR(E497=4,E497=5),OR(E496=4,E496=5),OR(E495=4,E495=5)), 5, TRUE,E497)</f>
        <v>3</v>
      </c>
    </row>
    <row r="499" spans="1:5" x14ac:dyDescent="0.25">
      <c r="A499">
        <v>498</v>
      </c>
      <c r="B499">
        <v>17.5</v>
      </c>
      <c r="C499">
        <v>15</v>
      </c>
      <c r="E499" cm="1">
        <f t="array" ref="E499">_xlfn.IFS(E498=0,1,AND(E498=1,E497=1,E496=1),2,AND(E498=2,E497=2,E496=2),3,AND(E498=3,E497=3,E496=3),4,AND(E498=5,C498&gt;=20),0,AND(OR(E498=4,E498=5),OR(E497=4,E497=5),OR(E496=4,E496=5)), 5, TRUE,E498)</f>
        <v>3</v>
      </c>
    </row>
    <row r="500" spans="1:5" x14ac:dyDescent="0.25">
      <c r="A500">
        <v>499</v>
      </c>
      <c r="B500">
        <v>17.5</v>
      </c>
      <c r="C500">
        <v>8</v>
      </c>
      <c r="E500" cm="1">
        <f t="array" ref="E500">_xlfn.IFS(E499=0,1,AND(E499=1,E498=1,E497=1),2,AND(E499=2,E498=2,E497=2),3,AND(E499=3,E498=3,E497=3),4,AND(E499=5,C499&gt;=20),0,AND(OR(E499=4,E499=5),OR(E498=4,E498=5),OR(E497=4,E497=5)), 5, TRUE,E499)</f>
        <v>3</v>
      </c>
    </row>
    <row r="501" spans="1:5" x14ac:dyDescent="0.25">
      <c r="A501">
        <v>500</v>
      </c>
      <c r="B501">
        <v>16.399999999999999</v>
      </c>
      <c r="C501">
        <v>14</v>
      </c>
      <c r="E501" cm="1">
        <f t="array" ref="E501">_xlfn.IFS(E500=0,1,AND(E500=1,E499=1,E498=1),2,AND(E500=2,E499=2,E498=2),3,AND(E500=3,E499=3,E498=3),4,AND(E500=5,C500&gt;=20),0,AND(OR(E500=4,E500=5),OR(E499=4,E499=5),OR(E498=4,E498=5)), 5, TRUE,E500)</f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6DD0-5D83-4741-BEAC-1D07D88CBD16}">
  <dimension ref="A1:Q502"/>
  <sheetViews>
    <sheetView tabSelected="1" topLeftCell="B1" zoomScaleNormal="100" workbookViewId="0">
      <selection activeCell="Q2" sqref="Q2:Q3"/>
    </sheetView>
  </sheetViews>
  <sheetFormatPr defaultRowHeight="15" x14ac:dyDescent="0.25"/>
  <cols>
    <col min="5" max="5" width="26.140625" bestFit="1" customWidth="1"/>
    <col min="8" max="8" width="14.85546875" bestFit="1" customWidth="1"/>
    <col min="9" max="9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4</v>
      </c>
      <c r="H1" t="s">
        <v>40</v>
      </c>
      <c r="I1" t="s">
        <v>39</v>
      </c>
    </row>
    <row r="2" spans="1:17" x14ac:dyDescent="0.25">
      <c r="A2">
        <v>1</v>
      </c>
      <c r="B2">
        <v>19</v>
      </c>
      <c r="C2">
        <v>0</v>
      </c>
      <c r="D2">
        <v>0</v>
      </c>
      <c r="E2">
        <v>0</v>
      </c>
      <c r="F2">
        <v>0</v>
      </c>
      <c r="H2" t="str">
        <f>IF(E2=F2,"TAK","NIE")</f>
        <v>TAK</v>
      </c>
      <c r="I2">
        <v>0</v>
      </c>
      <c r="J2" t="str">
        <f>IF(I2=D2,"TAK","NIE")</f>
        <v>TAK</v>
      </c>
      <c r="K2">
        <f>D2</f>
        <v>0</v>
      </c>
      <c r="Q2">
        <f>COUNTIF(H:H,"TAK")</f>
        <v>296</v>
      </c>
    </row>
    <row r="3" spans="1:17" x14ac:dyDescent="0.25">
      <c r="A3">
        <v>2</v>
      </c>
      <c r="B3">
        <v>22</v>
      </c>
      <c r="C3">
        <v>1</v>
      </c>
      <c r="D3" t="s">
        <v>6</v>
      </c>
      <c r="E3">
        <v>1</v>
      </c>
      <c r="F3">
        <v>1</v>
      </c>
      <c r="H3" t="str">
        <f t="shared" ref="H3:H66" si="0">IF(E3=F3,"TAK","NIE")</f>
        <v>TAK</v>
      </c>
      <c r="I3" s="5" t="s">
        <v>6</v>
      </c>
      <c r="J3" t="str">
        <f t="shared" ref="J3:J66" si="1">IF(I3=D3,"TAK","NIE")</f>
        <v>TAK</v>
      </c>
      <c r="K3" t="str">
        <f t="shared" ref="K3:K66" si="2">D3</f>
        <v>C</v>
      </c>
      <c r="Q3">
        <f>COUNTIF(J:J,"TAK")</f>
        <v>286</v>
      </c>
    </row>
    <row r="4" spans="1:17" x14ac:dyDescent="0.25">
      <c r="A4">
        <v>3</v>
      </c>
      <c r="B4">
        <v>23.6</v>
      </c>
      <c r="C4">
        <v>4</v>
      </c>
      <c r="D4" t="s">
        <v>6</v>
      </c>
      <c r="E4">
        <v>1</v>
      </c>
      <c r="F4">
        <v>1</v>
      </c>
      <c r="H4" t="str">
        <f t="shared" si="0"/>
        <v>TAK</v>
      </c>
      <c r="I4" s="5" t="s">
        <v>6</v>
      </c>
      <c r="J4" t="str">
        <f t="shared" si="1"/>
        <v>TAK</v>
      </c>
      <c r="K4" t="str">
        <f t="shared" si="2"/>
        <v>C</v>
      </c>
    </row>
    <row r="5" spans="1:17" x14ac:dyDescent="0.25">
      <c r="A5">
        <v>4</v>
      </c>
      <c r="B5">
        <v>23.6</v>
      </c>
      <c r="C5">
        <v>4</v>
      </c>
      <c r="D5" t="s">
        <v>6</v>
      </c>
      <c r="E5">
        <v>1</v>
      </c>
      <c r="F5">
        <v>1</v>
      </c>
      <c r="H5" t="str">
        <f t="shared" si="0"/>
        <v>TAK</v>
      </c>
      <c r="I5" s="5" t="s">
        <v>6</v>
      </c>
      <c r="J5" t="str">
        <f t="shared" si="1"/>
        <v>TAK</v>
      </c>
      <c r="K5" t="str">
        <f t="shared" si="2"/>
        <v>C</v>
      </c>
    </row>
    <row r="6" spans="1:17" x14ac:dyDescent="0.25">
      <c r="A6">
        <v>5</v>
      </c>
      <c r="B6">
        <v>22.3</v>
      </c>
      <c r="C6">
        <v>10</v>
      </c>
      <c r="D6" t="s">
        <v>6</v>
      </c>
      <c r="E6">
        <v>2</v>
      </c>
      <c r="F6">
        <v>2</v>
      </c>
      <c r="H6" t="str">
        <f t="shared" si="0"/>
        <v>TAK</v>
      </c>
      <c r="I6" s="5" t="s">
        <v>6</v>
      </c>
      <c r="J6" t="str">
        <f t="shared" si="1"/>
        <v>TAK</v>
      </c>
      <c r="K6" t="str">
        <f t="shared" si="2"/>
        <v>C</v>
      </c>
    </row>
    <row r="7" spans="1:17" x14ac:dyDescent="0.25">
      <c r="A7">
        <v>6</v>
      </c>
      <c r="B7">
        <v>20.399999999999999</v>
      </c>
      <c r="C7">
        <v>8</v>
      </c>
      <c r="D7" t="s">
        <v>6</v>
      </c>
      <c r="E7" cm="1">
        <f t="array" ref="E7">_xlfn.IFS(E6=0,1,AND(E6=1,E5=1,E4=1),2,AND(E6=2,E5=2,E4=2),3,AND(E6=3,E5=3,E4=3),4,AND(E6=5,C6&gt;=20),0,AND(OR(E6=4,E6=5),OR(E5=4,E5=5),OR(E4=4,E4=5)), 5, TRUE,E6)</f>
        <v>2</v>
      </c>
      <c r="F7">
        <v>2</v>
      </c>
      <c r="H7" t="str">
        <f t="shared" si="0"/>
        <v>TAK</v>
      </c>
      <c r="I7" s="5" t="s">
        <v>6</v>
      </c>
      <c r="J7" t="str">
        <f t="shared" si="1"/>
        <v>TAK</v>
      </c>
      <c r="K7" t="str">
        <f t="shared" si="2"/>
        <v>C</v>
      </c>
    </row>
    <row r="8" spans="1:17" x14ac:dyDescent="0.25">
      <c r="A8">
        <v>7</v>
      </c>
      <c r="B8">
        <v>18.899999999999999</v>
      </c>
      <c r="C8">
        <v>10</v>
      </c>
      <c r="D8" t="s">
        <v>6</v>
      </c>
      <c r="E8" cm="1">
        <f t="array" ref="E8">_xlfn.IFS(E7=0,1,AND(E7=1,E6=1,E5=1),2,AND(E7=2,E6=2,E5=2),3,AND(E7=3,E6=3,E5=3),4,AND(E7=5,C7&gt;=20),0,AND(OR(E7=4,E7=5),OR(E6=4,E6=5),OR(E5=4,E5=5)), 5, TRUE,E7)</f>
        <v>2</v>
      </c>
      <c r="F8">
        <v>2</v>
      </c>
      <c r="H8" t="str">
        <f t="shared" si="0"/>
        <v>TAK</v>
      </c>
      <c r="I8" s="5" t="str" cm="1">
        <f t="array" ref="I8">_xlfn.IFS(I7=0,IF(B8&gt;=10,"C","S"),F8=0,0,TRUE,I7)</f>
        <v>C</v>
      </c>
      <c r="J8" t="str">
        <f t="shared" si="1"/>
        <v>TAK</v>
      </c>
      <c r="K8" t="str">
        <f t="shared" si="2"/>
        <v>C</v>
      </c>
    </row>
    <row r="9" spans="1:17" x14ac:dyDescent="0.25">
      <c r="A9">
        <v>8</v>
      </c>
      <c r="B9">
        <v>18.5</v>
      </c>
      <c r="C9">
        <v>11</v>
      </c>
      <c r="D9" t="s">
        <v>6</v>
      </c>
      <c r="E9" cm="1">
        <f t="array" ref="E9">_xlfn.IFS(E8=0,1,AND(E8=1,E7=1,E6=1),2,AND(E8=2,E7=2,E6=2),3,AND(E8=3,E7=3,E6=3),4,AND(E8=5,C8&gt;=20),0,AND(OR(E8=4,E8=5),OR(E7=4,E7=5),OR(E6=4,E6=5)), 5, TRUE,E8)</f>
        <v>3</v>
      </c>
      <c r="F9">
        <v>3</v>
      </c>
      <c r="H9" t="str">
        <f t="shared" si="0"/>
        <v>TAK</v>
      </c>
      <c r="I9" s="5" t="str" cm="1">
        <f t="array" ref="I9">_xlfn.IFS(I8=0,IF(B9&gt;=10,"C","S"),F9=0,0,TRUE,I8)</f>
        <v>C</v>
      </c>
      <c r="J9" t="str">
        <f t="shared" si="1"/>
        <v>TAK</v>
      </c>
      <c r="K9" t="str">
        <f t="shared" si="2"/>
        <v>C</v>
      </c>
    </row>
    <row r="10" spans="1:17" x14ac:dyDescent="0.25">
      <c r="A10">
        <v>9</v>
      </c>
      <c r="B10">
        <v>19.5</v>
      </c>
      <c r="C10">
        <v>14</v>
      </c>
      <c r="D10" t="s">
        <v>6</v>
      </c>
      <c r="E10" cm="1">
        <f t="array" ref="E10">_xlfn.IFS(E9=0,1,AND(E9=1,E8=1,E7=1),2,AND(E9=2,E8=2,E7=2),3,AND(E9=3,E8=3,E7=3),4,AND(E9=5,C9&gt;=20),0,AND(OR(E9=4,E9=5),OR(E8=4,E8=5),OR(E7=4,E7=5)), 5, TRUE,E9)</f>
        <v>3</v>
      </c>
      <c r="F10">
        <v>3</v>
      </c>
      <c r="H10" t="str">
        <f>IF(E10=F10,"TAK","NIE")</f>
        <v>TAK</v>
      </c>
      <c r="I10" s="5" t="str" cm="1">
        <f t="array" ref="I10">_xlfn.IFS(I9=0,IF(B10&gt;=10,"C","S"),F10=0,0,TRUE,I9)</f>
        <v>C</v>
      </c>
      <c r="J10" t="str">
        <f>IF(I10=D10,"TAK","NIE")</f>
        <v>TAK</v>
      </c>
      <c r="K10" t="str">
        <f>D10</f>
        <v>C</v>
      </c>
    </row>
    <row r="11" spans="1:17" x14ac:dyDescent="0.25">
      <c r="A11">
        <v>10</v>
      </c>
      <c r="B11">
        <v>21.8</v>
      </c>
      <c r="C11">
        <v>15</v>
      </c>
      <c r="D11" t="s">
        <v>6</v>
      </c>
      <c r="E11" cm="1">
        <f t="array" ref="E11">_xlfn.IFS(E10=0,1,AND(E10=1,E9=1,E8=1),2,AND(E10=2,E9=2,E8=2),3,AND(E10=3,E9=3,E8=3),4,AND(E10=5,C10&gt;=20),0,AND(OR(E10=4,E10=5),OR(E9=4,E9=5),OR(E8=4,E8=5)), 5, TRUE,E10)</f>
        <v>3</v>
      </c>
      <c r="F11">
        <v>3</v>
      </c>
      <c r="H11" t="str">
        <f t="shared" si="0"/>
        <v>TAK</v>
      </c>
      <c r="I11" s="5" t="str" cm="1">
        <f t="array" ref="I11">_xlfn.IFS(I10=0,IF(B11&gt;=10,"C","S"),F11=0,0,TRUE,I10)</f>
        <v>C</v>
      </c>
      <c r="J11" t="str">
        <f t="shared" si="1"/>
        <v>TAK</v>
      </c>
      <c r="K11" t="str">
        <f t="shared" si="2"/>
        <v>C</v>
      </c>
    </row>
    <row r="12" spans="1:17" x14ac:dyDescent="0.25">
      <c r="A12">
        <v>11</v>
      </c>
      <c r="B12">
        <v>24.8</v>
      </c>
      <c r="C12">
        <v>3</v>
      </c>
      <c r="D12" t="s">
        <v>6</v>
      </c>
      <c r="E12" cm="1">
        <f t="array" ref="E12">_xlfn.IFS(E11=0,1,AND(E11=1,E10=1,E9=1),2,AND(E11=2,E10=2,E9=2),3,AND(E11=3,E10=3,E9=3),4,AND(E11=5,C11&gt;=20),0,AND(OR(E11=4,E11=5),OR(E10=4,E10=5),OR(E9=4,E9=5)), 5, TRUE,E11)</f>
        <v>4</v>
      </c>
      <c r="F12">
        <v>4</v>
      </c>
      <c r="H12" t="str">
        <f t="shared" si="0"/>
        <v>TAK</v>
      </c>
      <c r="I12" s="5" t="str" cm="1">
        <f t="array" ref="I12">_xlfn.IFS(I11=0,IF(B12&gt;=10,"C","S"),F12=0,0,TRUE,I11)</f>
        <v>C</v>
      </c>
      <c r="J12" t="str">
        <f t="shared" si="1"/>
        <v>TAK</v>
      </c>
      <c r="K12" t="str">
        <f t="shared" si="2"/>
        <v>C</v>
      </c>
    </row>
    <row r="13" spans="1:17" x14ac:dyDescent="0.25">
      <c r="A13">
        <v>12</v>
      </c>
      <c r="B13">
        <v>27.7</v>
      </c>
      <c r="C13">
        <v>23</v>
      </c>
      <c r="D13" t="s">
        <v>6</v>
      </c>
      <c r="E13" cm="1">
        <f t="array" ref="E13">_xlfn.IFS(E12=0,1,AND(E12=1,E11=1,E10=1),2,AND(E12=2,E11=2,E10=2),3,AND(E12=3,E11=3,E10=3),4,AND(E12=5,C12&gt;=20),0,AND(OR(E12=4,E12=5),OR(E11=4,E11=5),OR(E10=4,E10=5)), 5, TRUE,E12)</f>
        <v>4</v>
      </c>
      <c r="F13">
        <v>4</v>
      </c>
      <c r="H13" t="str">
        <f t="shared" si="0"/>
        <v>TAK</v>
      </c>
      <c r="I13" s="5" t="str" cm="1">
        <f t="array" ref="I13">_xlfn.IFS(I12=0,IF(B13&gt;=10,"C","S"),F13=0,0,TRUE,I12)</f>
        <v>C</v>
      </c>
      <c r="J13" t="str">
        <f t="shared" si="1"/>
        <v>TAK</v>
      </c>
      <c r="K13" t="str">
        <f t="shared" si="2"/>
        <v>C</v>
      </c>
    </row>
    <row r="14" spans="1:17" x14ac:dyDescent="0.25">
      <c r="A14">
        <v>13</v>
      </c>
      <c r="B14">
        <v>29.5</v>
      </c>
      <c r="C14">
        <v>17</v>
      </c>
      <c r="D14" t="s">
        <v>6</v>
      </c>
      <c r="E14" cm="1">
        <f t="array" ref="E14">_xlfn.IFS(E13=0,1,AND(E13=1,E12=1,E11=1),2,AND(E13=2,E12=2,E11=2),3,AND(E13=3,E12=3,E11=3),4,AND(E13=5,C13&gt;=20),0,AND(OR(E13=4,E13=5),OR(E12=4,E12=5),OR(E11=4,E11=5)), 5, TRUE,E13)</f>
        <v>4</v>
      </c>
      <c r="F14">
        <v>4</v>
      </c>
      <c r="H14" t="str">
        <f t="shared" si="0"/>
        <v>TAK</v>
      </c>
      <c r="I14" s="5" t="str" cm="1">
        <f t="array" ref="I14">_xlfn.IFS(I13=0,IF(B14&gt;=10,"C","S"),F14=0,0,TRUE,I13)</f>
        <v>C</v>
      </c>
      <c r="J14" t="str">
        <f t="shared" si="1"/>
        <v>TAK</v>
      </c>
      <c r="K14" t="str">
        <f t="shared" si="2"/>
        <v>C</v>
      </c>
    </row>
    <row r="15" spans="1:17" x14ac:dyDescent="0.25">
      <c r="A15">
        <v>14</v>
      </c>
      <c r="B15">
        <v>29.8</v>
      </c>
      <c r="C15">
        <v>15</v>
      </c>
      <c r="D15" t="s">
        <v>6</v>
      </c>
      <c r="E15" cm="1">
        <f t="array" ref="E15">_xlfn.IFS(E14=0,1,AND(E14=1,E13=1,E12=1),2,AND(E14=2,E13=2,E12=2),3,AND(E14=3,E13=3,E12=3),4,AND(E14=5,C14&gt;=20),0,AND(OR(E14=4,E14=5),OR(E13=4,E13=5),OR(E12=4,E12=5)), 5, TRUE,E14)</f>
        <v>5</v>
      </c>
      <c r="F15">
        <v>5</v>
      </c>
      <c r="H15" t="str">
        <f t="shared" si="0"/>
        <v>TAK</v>
      </c>
      <c r="I15" s="5" t="str" cm="1">
        <f t="array" ref="I15">_xlfn.IFS(I14=0,IF(B15&gt;=10,"C","S"),F15=0,0,TRUE,I14)</f>
        <v>C</v>
      </c>
      <c r="J15" t="str">
        <f t="shared" si="1"/>
        <v>TAK</v>
      </c>
      <c r="K15" t="str">
        <f t="shared" si="2"/>
        <v>C</v>
      </c>
    </row>
    <row r="16" spans="1:17" x14ac:dyDescent="0.25">
      <c r="A16">
        <v>15</v>
      </c>
      <c r="B16">
        <v>28.3</v>
      </c>
      <c r="C16">
        <v>22</v>
      </c>
      <c r="D16" t="s">
        <v>6</v>
      </c>
      <c r="E16" cm="1">
        <f t="array" ref="E16">_xlfn.IFS(E15=0,1,AND(E15=1,E14=1,E13=1),2,AND(E15=2,E14=2,E13=2),3,AND(E15=3,E14=3,E13=3),4,AND(E15=5,C15&gt;=20),0,AND(OR(E15=4,E15=5),OR(E14=4,E14=5),OR(E13=4,E13=5)), 5, TRUE,E15)</f>
        <v>5</v>
      </c>
      <c r="F16">
        <v>5</v>
      </c>
      <c r="H16" t="str">
        <f t="shared" si="0"/>
        <v>TAK</v>
      </c>
      <c r="I16" s="5" t="str" cm="1">
        <f t="array" ref="I16">_xlfn.IFS(I15=0,IF(B16&gt;=10,"C","S"),F16=0,0,TRUE,I15)</f>
        <v>C</v>
      </c>
      <c r="J16" t="str">
        <f t="shared" si="1"/>
        <v>TAK</v>
      </c>
      <c r="K16" t="str">
        <f t="shared" si="2"/>
        <v>C</v>
      </c>
    </row>
    <row r="17" spans="1:11" x14ac:dyDescent="0.25">
      <c r="A17">
        <v>16</v>
      </c>
      <c r="B17">
        <v>25.5</v>
      </c>
      <c r="C17">
        <v>0</v>
      </c>
      <c r="D17">
        <v>0</v>
      </c>
      <c r="E17" cm="1">
        <f t="array" ref="E17">_xlfn.IFS(E16=0,1,AND(E16=1,E15=1,E14=1),2,AND(E16=2,E15=2,E14=2),3,AND(E16=3,E15=3,E14=3),4,AND(E16=5,C16&gt;=20),0,AND(OR(E16=4,E16=5),OR(E15=4,E15=5),OR(E14=4,E14=5)), 5, TRUE,E16)</f>
        <v>0</v>
      </c>
      <c r="F17">
        <v>0</v>
      </c>
      <c r="H17" t="str">
        <f t="shared" si="0"/>
        <v>TAK</v>
      </c>
      <c r="I17" s="5" cm="1">
        <f t="array" ref="I17">_xlfn.IFS(I16=0,IF(B17&gt;=10,"C","S"),F17=0,0,TRUE,I16)</f>
        <v>0</v>
      </c>
      <c r="J17" t="str">
        <f t="shared" si="1"/>
        <v>TAK</v>
      </c>
      <c r="K17">
        <f t="shared" si="2"/>
        <v>0</v>
      </c>
    </row>
    <row r="18" spans="1:11" x14ac:dyDescent="0.25">
      <c r="A18">
        <v>17</v>
      </c>
      <c r="B18">
        <v>22</v>
      </c>
      <c r="C18">
        <v>2</v>
      </c>
      <c r="D18" t="s">
        <v>6</v>
      </c>
      <c r="E18" cm="1">
        <f t="array" ref="E18">_xlfn.IFS(E17=0,1,AND(E17=1,E16=1,E15=1),2,AND(E17=2,E16=2,E15=2),3,AND(E17=3,E16=3,E15=3),4,AND(E17=5,C17&gt;=20),0,AND(OR(E17=4,E17=5),OR(E16=4,E16=5),OR(E15=4,E15=5)), 5, TRUE,E17)</f>
        <v>1</v>
      </c>
      <c r="F18">
        <v>1</v>
      </c>
      <c r="H18" t="str">
        <f t="shared" si="0"/>
        <v>TAK</v>
      </c>
      <c r="I18" s="5" t="str" cm="1">
        <f t="array" ref="I18">_xlfn.IFS(I17=0,IF(B18&gt;=10,"C","S"),F18=0,0,TRUE,I17)</f>
        <v>C</v>
      </c>
      <c r="J18" t="str">
        <f t="shared" si="1"/>
        <v>TAK</v>
      </c>
      <c r="K18" t="str">
        <f t="shared" si="2"/>
        <v>C</v>
      </c>
    </row>
    <row r="19" spans="1:11" x14ac:dyDescent="0.25">
      <c r="A19">
        <v>18</v>
      </c>
      <c r="B19">
        <v>18.899999999999999</v>
      </c>
      <c r="C19">
        <v>1</v>
      </c>
      <c r="D19" t="s">
        <v>6</v>
      </c>
      <c r="E19" cm="1">
        <f t="array" ref="E19">_xlfn.IFS(E18=0,1,AND(E18=1,E17=1,E16=1),2,AND(E18=2,E17=2,E16=2),3,AND(E18=3,E17=3,E16=3),4,AND(E18=5,C18&gt;=20),0,AND(OR(E18=4,E18=5),OR(E17=4,E17=5),OR(E16=4,E16=5)), 5, TRUE,E18)</f>
        <v>1</v>
      </c>
      <c r="F19">
        <v>1</v>
      </c>
      <c r="H19" t="str">
        <f t="shared" si="0"/>
        <v>TAK</v>
      </c>
      <c r="I19" s="5" t="str" cm="1">
        <f t="array" ref="I19">_xlfn.IFS(I18=0,IF(B19&gt;=10,"C","S"),F19=0,0,TRUE,I18)</f>
        <v>C</v>
      </c>
      <c r="J19" t="str">
        <f t="shared" si="1"/>
        <v>TAK</v>
      </c>
      <c r="K19" t="str">
        <f t="shared" si="2"/>
        <v>C</v>
      </c>
    </row>
    <row r="20" spans="1:11" x14ac:dyDescent="0.25">
      <c r="A20">
        <v>19</v>
      </c>
      <c r="B20">
        <v>16.899999999999999</v>
      </c>
      <c r="C20">
        <v>1</v>
      </c>
      <c r="D20" t="s">
        <v>6</v>
      </c>
      <c r="E20" cm="1">
        <f t="array" ref="E20">_xlfn.IFS(E19=0,1,AND(E19=1,E18=1,E17=1),2,AND(E19=2,E18=2,E17=2),3,AND(E19=3,E18=3,E17=3),4,AND(E19=5,C19&gt;=20),0,AND(OR(E19=4,E19=5),OR(E18=4,E18=5),OR(E17=4,E17=5)), 5, TRUE,E19)</f>
        <v>1</v>
      </c>
      <c r="F20">
        <v>1</v>
      </c>
      <c r="H20" t="str">
        <f>IF(E20=F20,"TAK","NIE")</f>
        <v>TAK</v>
      </c>
      <c r="I20" s="5" t="str" cm="1">
        <f t="array" ref="I20">_xlfn.IFS(I19=0,IF(B20&gt;=10,"C","S"),F20=0,0,TRUE,I19)</f>
        <v>C</v>
      </c>
      <c r="J20" t="str">
        <f>IF(I20=D20,"TAK","NIE")</f>
        <v>TAK</v>
      </c>
      <c r="K20" t="str">
        <f>D20</f>
        <v>C</v>
      </c>
    </row>
    <row r="21" spans="1:11" x14ac:dyDescent="0.25">
      <c r="A21">
        <v>20</v>
      </c>
      <c r="B21">
        <v>16.3</v>
      </c>
      <c r="C21">
        <v>12</v>
      </c>
      <c r="D21" t="s">
        <v>6</v>
      </c>
      <c r="E21" cm="1">
        <f t="array" ref="E21">_xlfn.IFS(E20=0,1,AND(E20=1,E19=1,E18=1),2,AND(E20=2,E19=2,E18=2),3,AND(E20=3,E19=3,E18=3),4,AND(E20=5,C20&gt;=20),0,AND(OR(E20=4,E20=5),OR(E19=4,E19=5),OR(E18=4,E18=5)), 5, TRUE,E20)</f>
        <v>2</v>
      </c>
      <c r="F21">
        <v>2</v>
      </c>
      <c r="H21" t="str">
        <f t="shared" si="0"/>
        <v>TAK</v>
      </c>
      <c r="I21" s="5" t="str" cm="1">
        <f t="array" ref="I21">_xlfn.IFS(I20=0,IF(B21&gt;=10,"C","S"),F21=0,0,TRUE,I20)</f>
        <v>C</v>
      </c>
      <c r="J21" t="str">
        <f t="shared" si="1"/>
        <v>TAK</v>
      </c>
      <c r="K21" t="str">
        <f t="shared" si="2"/>
        <v>C</v>
      </c>
    </row>
    <row r="22" spans="1:11" x14ac:dyDescent="0.25">
      <c r="A22">
        <v>21</v>
      </c>
      <c r="B22">
        <v>17.100000000000001</v>
      </c>
      <c r="C22">
        <v>11</v>
      </c>
      <c r="D22" t="s">
        <v>6</v>
      </c>
      <c r="E22" cm="1">
        <f t="array" ref="E22">_xlfn.IFS(E21=0,1,AND(E21=1,E20=1,E19=1),2,AND(E21=2,E20=2,E19=2),3,AND(E21=3,E20=3,E19=3),4,AND(E21=5,C21&gt;=20),0,AND(OR(E21=4,E21=5),OR(E20=4,E20=5),OR(E19=4,E19=5)), 5, TRUE,E21)</f>
        <v>2</v>
      </c>
      <c r="F22">
        <v>2</v>
      </c>
      <c r="H22" t="str">
        <f t="shared" si="0"/>
        <v>TAK</v>
      </c>
      <c r="I22" s="5" t="str" cm="1">
        <f t="array" ref="I22">_xlfn.IFS(I21=0,IF(B22&gt;=10,"C","S"),F22=0,0,TRUE,I21)</f>
        <v>C</v>
      </c>
      <c r="J22" t="str">
        <f t="shared" si="1"/>
        <v>TAK</v>
      </c>
      <c r="K22" t="str">
        <f t="shared" si="2"/>
        <v>C</v>
      </c>
    </row>
    <row r="23" spans="1:11" x14ac:dyDescent="0.25">
      <c r="A23">
        <v>22</v>
      </c>
      <c r="B23">
        <v>18.7</v>
      </c>
      <c r="C23">
        <v>6</v>
      </c>
      <c r="D23" t="s">
        <v>6</v>
      </c>
      <c r="E23" cm="1">
        <f t="array" ref="E23">_xlfn.IFS(E22=0,1,AND(E22=1,E21=1,E20=1),2,AND(E22=2,E21=2,E20=2),3,AND(E22=3,E21=3,E20=3),4,AND(E22=5,C22&gt;=20),0,AND(OR(E22=4,E22=5),OR(E21=4,E21=5),OR(E20=4,E20=5)), 5, TRUE,E22)</f>
        <v>2</v>
      </c>
      <c r="F23">
        <v>2</v>
      </c>
      <c r="H23" t="str">
        <f t="shared" si="0"/>
        <v>TAK</v>
      </c>
      <c r="I23" s="5" t="str" cm="1">
        <f t="array" ref="I23">_xlfn.IFS(I22=0,IF(B23&gt;=10,"C","S"),F23=0,0,TRUE,I22)</f>
        <v>C</v>
      </c>
      <c r="J23" t="str">
        <f t="shared" si="1"/>
        <v>TAK</v>
      </c>
      <c r="K23" t="str">
        <f t="shared" si="2"/>
        <v>C</v>
      </c>
    </row>
    <row r="24" spans="1:11" x14ac:dyDescent="0.25">
      <c r="A24">
        <v>23</v>
      </c>
      <c r="B24">
        <v>20.2</v>
      </c>
      <c r="C24">
        <v>18</v>
      </c>
      <c r="D24" t="s">
        <v>6</v>
      </c>
      <c r="E24" cm="1">
        <f t="array" ref="E24">_xlfn.IFS(E23=0,1,AND(E23=1,E22=1,E21=1),2,AND(E23=2,E22=2,E21=2),3,AND(E23=3,E22=3,E21=3),4,AND(E23=5,C23&gt;=20),0,AND(OR(E23=4,E23=5),OR(E22=4,E22=5),OR(E21=4,E21=5)), 5, TRUE,E23)</f>
        <v>3</v>
      </c>
      <c r="F24">
        <v>2</v>
      </c>
      <c r="H24" t="str">
        <f t="shared" si="0"/>
        <v>NIE</v>
      </c>
      <c r="I24" s="5" t="str" cm="1">
        <f t="array" ref="I24">_xlfn.IFS(I23=0,IF(B24&gt;=10,"C","S"),F24=0,0,TRUE,I23)</f>
        <v>C</v>
      </c>
      <c r="J24" t="str">
        <f t="shared" si="1"/>
        <v>TAK</v>
      </c>
      <c r="K24" t="str">
        <f t="shared" si="2"/>
        <v>C</v>
      </c>
    </row>
    <row r="25" spans="1:11" x14ac:dyDescent="0.25">
      <c r="A25">
        <v>24</v>
      </c>
      <c r="B25">
        <v>20.8</v>
      </c>
      <c r="C25">
        <v>15</v>
      </c>
      <c r="D25" t="s">
        <v>6</v>
      </c>
      <c r="E25" cm="1">
        <f t="array" ref="E25">_xlfn.IFS(E24=0,1,AND(E24=1,E23=1,E22=1),2,AND(E24=2,E23=2,E22=2),3,AND(E24=3,E23=3,E22=3),4,AND(E24=5,C24&gt;=20),0,AND(OR(E24=4,E24=5),OR(E23=4,E23=5),OR(E22=4,E22=5)), 5, TRUE,E24)</f>
        <v>3</v>
      </c>
      <c r="F25">
        <v>3</v>
      </c>
      <c r="H25" t="str">
        <f t="shared" si="0"/>
        <v>TAK</v>
      </c>
      <c r="I25" s="5" t="str" cm="1">
        <f t="array" ref="I25">_xlfn.IFS(I24=0,IF(B25&gt;=10,"C","S"),F25=0,0,TRUE,I24)</f>
        <v>C</v>
      </c>
      <c r="J25" t="str">
        <f t="shared" si="1"/>
        <v>TAK</v>
      </c>
      <c r="K25" t="str">
        <f t="shared" si="2"/>
        <v>C</v>
      </c>
    </row>
    <row r="26" spans="1:11" x14ac:dyDescent="0.25">
      <c r="A26">
        <v>25</v>
      </c>
      <c r="B26">
        <v>19.899999999999999</v>
      </c>
      <c r="C26">
        <v>5</v>
      </c>
      <c r="D26" t="s">
        <v>6</v>
      </c>
      <c r="E26" cm="1">
        <f t="array" ref="E26">_xlfn.IFS(E25=0,1,AND(E25=1,E24=1,E23=1),2,AND(E25=2,E24=2,E23=2),3,AND(E25=3,E24=3,E23=3),4,AND(E25=5,C25&gt;=20),0,AND(OR(E25=4,E25=5),OR(E24=4,E24=5),OR(E23=4,E23=5)), 5, TRUE,E25)</f>
        <v>3</v>
      </c>
      <c r="F26">
        <v>3</v>
      </c>
      <c r="H26" t="str">
        <f t="shared" si="0"/>
        <v>TAK</v>
      </c>
      <c r="I26" s="5" t="str" cm="1">
        <f t="array" ref="I26">_xlfn.IFS(I25=0,IF(B26&gt;=10,"C","S"),F26=0,0,TRUE,I25)</f>
        <v>C</v>
      </c>
      <c r="J26" t="str">
        <f t="shared" si="1"/>
        <v>TAK</v>
      </c>
      <c r="K26" t="str">
        <f t="shared" si="2"/>
        <v>C</v>
      </c>
    </row>
    <row r="27" spans="1:11" x14ac:dyDescent="0.25">
      <c r="A27">
        <v>26</v>
      </c>
      <c r="B27">
        <v>17.5</v>
      </c>
      <c r="C27">
        <v>19</v>
      </c>
      <c r="D27" t="s">
        <v>6</v>
      </c>
      <c r="E27" cm="1">
        <f t="array" ref="E27">_xlfn.IFS(E26=0,1,AND(E26=1,E25=1,E24=1),2,AND(E26=2,E25=2,E24=2),3,AND(E26=3,E25=3,E24=3),4,AND(E26=5,C26&gt;=20),0,AND(OR(E26=4,E26=5),OR(E25=4,E25=5),OR(E24=4,E24=5)), 5, TRUE,E26)</f>
        <v>4</v>
      </c>
      <c r="F27">
        <v>4</v>
      </c>
      <c r="H27" t="str">
        <f t="shared" si="0"/>
        <v>TAK</v>
      </c>
      <c r="I27" s="5" t="str" cm="1">
        <f t="array" ref="I27">_xlfn.IFS(I26=0,IF(B27&gt;=10,"C","S"),F27=0,0,TRUE,I26)</f>
        <v>C</v>
      </c>
      <c r="J27" t="str">
        <f t="shared" si="1"/>
        <v>TAK</v>
      </c>
      <c r="K27" t="str">
        <f t="shared" si="2"/>
        <v>C</v>
      </c>
    </row>
    <row r="28" spans="1:11" x14ac:dyDescent="0.25">
      <c r="A28">
        <v>27</v>
      </c>
      <c r="B28">
        <v>13.9</v>
      </c>
      <c r="C28">
        <v>18</v>
      </c>
      <c r="D28" t="s">
        <v>6</v>
      </c>
      <c r="E28" cm="1">
        <f t="array" ref="E28">_xlfn.IFS(E27=0,1,AND(E27=1,E26=1,E25=1),2,AND(E27=2,E26=2,E25=2),3,AND(E27=3,E26=3,E25=3),4,AND(E27=5,C27&gt;=20),0,AND(OR(E27=4,E27=5),OR(E26=4,E26=5),OR(E25=4,E25=5)), 5, TRUE,E27)</f>
        <v>4</v>
      </c>
      <c r="F28">
        <v>4</v>
      </c>
      <c r="H28" t="str">
        <f t="shared" si="0"/>
        <v>TAK</v>
      </c>
      <c r="I28" s="5" t="str" cm="1">
        <f t="array" ref="I28">_xlfn.IFS(I27=0,IF(B28&gt;=10,"C","S"),F28=0,0,TRUE,I27)</f>
        <v>C</v>
      </c>
      <c r="J28" t="str">
        <f t="shared" si="1"/>
        <v>TAK</v>
      </c>
      <c r="K28" t="str">
        <f t="shared" si="2"/>
        <v>C</v>
      </c>
    </row>
    <row r="29" spans="1:11" x14ac:dyDescent="0.25">
      <c r="A29">
        <v>28</v>
      </c>
      <c r="B29">
        <v>9.9</v>
      </c>
      <c r="C29">
        <v>4</v>
      </c>
      <c r="D29" t="s">
        <v>6</v>
      </c>
      <c r="E29" cm="1">
        <f t="array" ref="E29">_xlfn.IFS(E28=0,1,AND(E28=1,E27=1,E26=1),2,AND(E28=2,E27=2,E26=2),3,AND(E28=3,E27=3,E26=3),4,AND(E28=5,C28&gt;=20),0,AND(OR(E28=4,E28=5),OR(E27=4,E27=5),OR(E26=4,E26=5)), 5, TRUE,E28)</f>
        <v>4</v>
      </c>
      <c r="F29">
        <v>4</v>
      </c>
      <c r="H29" t="str">
        <f t="shared" si="0"/>
        <v>TAK</v>
      </c>
      <c r="I29" s="5" t="str" cm="1">
        <f t="array" ref="I29">_xlfn.IFS(I28=0,IF(B29&gt;=10,"C","S"),F29=0,0,TRUE,I28)</f>
        <v>C</v>
      </c>
      <c r="J29" t="str">
        <f t="shared" si="1"/>
        <v>TAK</v>
      </c>
      <c r="K29" t="str">
        <f t="shared" si="2"/>
        <v>C</v>
      </c>
    </row>
    <row r="30" spans="1:11" x14ac:dyDescent="0.25">
      <c r="A30">
        <v>29</v>
      </c>
      <c r="B30">
        <v>6.4</v>
      </c>
      <c r="C30">
        <v>17</v>
      </c>
      <c r="D30" t="s">
        <v>6</v>
      </c>
      <c r="E30" cm="1">
        <f t="array" ref="E30">_xlfn.IFS(E29=0,1,AND(E29=1,E28=1,E27=1),2,AND(E29=2,E28=2,E27=2),3,AND(E29=3,E28=3,E27=3),4,AND(E29=5,C29&gt;=20),0,AND(OR(E29=4,E29=5),OR(E28=4,E28=5),OR(E27=4,E27=5)), 5, TRUE,E29)</f>
        <v>5</v>
      </c>
      <c r="F30">
        <v>5</v>
      </c>
      <c r="H30" t="str">
        <f>IF(E30=F30,"TAK","NIE")</f>
        <v>TAK</v>
      </c>
      <c r="I30" s="5" t="str" cm="1">
        <f t="array" ref="I30">_xlfn.IFS(I29=0,IF(B30&gt;=10,"C","S"),F30=0,0,TRUE,I29)</f>
        <v>C</v>
      </c>
      <c r="J30" t="str">
        <f>IF(I30=D30,"TAK","NIE")</f>
        <v>TAK</v>
      </c>
      <c r="K30" t="str">
        <f>D30</f>
        <v>C</v>
      </c>
    </row>
    <row r="31" spans="1:11" x14ac:dyDescent="0.25">
      <c r="A31">
        <v>30</v>
      </c>
      <c r="B31">
        <v>4.2</v>
      </c>
      <c r="C31">
        <v>14</v>
      </c>
      <c r="D31" t="s">
        <v>6</v>
      </c>
      <c r="E31" cm="1">
        <f t="array" ref="E31">_xlfn.IFS(E30=0,1,AND(E30=1,E29=1,E28=1),2,AND(E30=2,E29=2,E28=2),3,AND(E30=3,E29=3,E28=3),4,AND(E30=5,C30&gt;=20),0,AND(OR(E30=4,E30=5),OR(E29=4,E29=5),OR(E28=4,E28=5)), 5, TRUE,E30)</f>
        <v>5</v>
      </c>
      <c r="F31">
        <v>5</v>
      </c>
      <c r="H31" t="str">
        <f t="shared" si="0"/>
        <v>TAK</v>
      </c>
      <c r="I31" s="5" t="str" cm="1">
        <f t="array" ref="I31">_xlfn.IFS(I30=0,IF(B31&gt;=10,"C","S"),F31=0,0,TRUE,I30)</f>
        <v>C</v>
      </c>
      <c r="J31" t="str">
        <f t="shared" si="1"/>
        <v>TAK</v>
      </c>
      <c r="K31" t="str">
        <f t="shared" si="2"/>
        <v>C</v>
      </c>
    </row>
    <row r="32" spans="1:11" x14ac:dyDescent="0.25">
      <c r="A32">
        <v>31</v>
      </c>
      <c r="B32">
        <v>3.6</v>
      </c>
      <c r="C32">
        <v>12</v>
      </c>
      <c r="D32" t="s">
        <v>6</v>
      </c>
      <c r="E32" cm="1">
        <f t="array" ref="E32">_xlfn.IFS(E31=0,1,AND(E31=1,E30=1,E29=1),2,AND(E31=2,E30=2,E29=2),3,AND(E31=3,E30=3,E29=3),4,AND(E31=5,C31&gt;=20),0,AND(OR(E31=4,E31=5),OR(E30=4,E30=5),OR(E29=4,E29=5)), 5, TRUE,E31)</f>
        <v>5</v>
      </c>
      <c r="F32">
        <v>5</v>
      </c>
      <c r="H32" t="str">
        <f t="shared" si="0"/>
        <v>TAK</v>
      </c>
      <c r="I32" s="5" t="str" cm="1">
        <f t="array" ref="I32">_xlfn.IFS(I31=0,IF(B32&gt;=10,"C","S"),F32=0,0,TRUE,I31)</f>
        <v>C</v>
      </c>
      <c r="J32" t="str">
        <f t="shared" si="1"/>
        <v>TAK</v>
      </c>
      <c r="K32" t="str">
        <f t="shared" si="2"/>
        <v>C</v>
      </c>
    </row>
    <row r="33" spans="1:11" x14ac:dyDescent="0.25">
      <c r="A33">
        <v>32</v>
      </c>
      <c r="B33">
        <v>4.5999999999999996</v>
      </c>
      <c r="C33">
        <v>11</v>
      </c>
      <c r="D33" t="s">
        <v>6</v>
      </c>
      <c r="E33" cm="1">
        <f t="array" ref="E33">_xlfn.IFS(E32=0,1,AND(E32=1,E31=1,E30=1),2,AND(E32=2,E31=2,E30=2),3,AND(E32=3,E31=3,E30=3),4,AND(E32=5,C32&gt;=20),0,AND(OR(E32=4,E32=5),OR(E31=4,E31=5),OR(E30=4,E30=5)), 5, TRUE,E32)</f>
        <v>5</v>
      </c>
      <c r="F33">
        <v>5</v>
      </c>
      <c r="H33" t="str">
        <f t="shared" si="0"/>
        <v>TAK</v>
      </c>
      <c r="I33" s="5" t="str" cm="1">
        <f t="array" ref="I33">_xlfn.IFS(I32=0,IF(B33&gt;=10,"C","S"),F33=0,0,TRUE,I32)</f>
        <v>C</v>
      </c>
      <c r="J33" t="str">
        <f t="shared" si="1"/>
        <v>TAK</v>
      </c>
      <c r="K33" t="str">
        <f t="shared" si="2"/>
        <v>C</v>
      </c>
    </row>
    <row r="34" spans="1:11" x14ac:dyDescent="0.25">
      <c r="A34">
        <v>33</v>
      </c>
      <c r="B34">
        <v>6.6</v>
      </c>
      <c r="C34">
        <v>17</v>
      </c>
      <c r="D34" t="s">
        <v>6</v>
      </c>
      <c r="E34" cm="1">
        <f t="array" ref="E34">_xlfn.IFS(E33=0,1,AND(E33=1,E32=1,E31=1),2,AND(E33=2,E32=2,E31=2),3,AND(E33=3,E32=3,E31=3),4,AND(E33=5,C33&gt;=20),0,AND(OR(E33=4,E33=5),OR(E32=4,E32=5),OR(E31=4,E31=5)), 5, TRUE,E33)</f>
        <v>5</v>
      </c>
      <c r="F34">
        <v>5</v>
      </c>
      <c r="H34" t="str">
        <f t="shared" si="0"/>
        <v>TAK</v>
      </c>
      <c r="I34" s="5" t="str" cm="1">
        <f t="array" ref="I34">_xlfn.IFS(I33=0,IF(B34&gt;=10,"C","S"),F34=0,0,TRUE,I33)</f>
        <v>C</v>
      </c>
      <c r="J34" t="str">
        <f t="shared" si="1"/>
        <v>TAK</v>
      </c>
      <c r="K34" t="str">
        <f t="shared" si="2"/>
        <v>C</v>
      </c>
    </row>
    <row r="35" spans="1:11" x14ac:dyDescent="0.25">
      <c r="A35">
        <v>34</v>
      </c>
      <c r="B35">
        <v>8.6999999999999993</v>
      </c>
      <c r="C35">
        <v>26</v>
      </c>
      <c r="D35" t="s">
        <v>6</v>
      </c>
      <c r="E35" cm="1">
        <f t="array" ref="E35">_xlfn.IFS(E34=0,1,AND(E34=1,E33=1,E32=1),2,AND(E34=2,E33=2,E32=2),3,AND(E34=3,E33=3,E32=3),4,AND(E34=5,C34&gt;=20),0,AND(OR(E34=4,E34=5),OR(E33=4,E33=5),OR(E32=4,E32=5)), 5, TRUE,E34)</f>
        <v>5</v>
      </c>
      <c r="F35">
        <v>5</v>
      </c>
      <c r="H35" t="str">
        <f t="shared" si="0"/>
        <v>TAK</v>
      </c>
      <c r="I35" s="5" t="str" cm="1">
        <f t="array" ref="I35">_xlfn.IFS(I34=0,IF(B35&gt;=10,"C","S"),F35=0,0,TRUE,I34)</f>
        <v>C</v>
      </c>
      <c r="J35" t="str">
        <f t="shared" si="1"/>
        <v>TAK</v>
      </c>
      <c r="K35" t="str">
        <f t="shared" si="2"/>
        <v>C</v>
      </c>
    </row>
    <row r="36" spans="1:11" x14ac:dyDescent="0.25">
      <c r="A36">
        <v>35</v>
      </c>
      <c r="B36">
        <v>10</v>
      </c>
      <c r="C36">
        <v>0</v>
      </c>
      <c r="D36">
        <v>0</v>
      </c>
      <c r="E36" cm="1">
        <f t="array" ref="E36">_xlfn.IFS(E35=0,1,AND(E35=1,E34=1,E33=1),2,AND(E35=2,E34=2,E33=2),3,AND(E35=3,E34=3,E33=3),4,AND(E35=5,C35&gt;=20),0,AND(OR(E35=4,E35=5),OR(E34=4,E34=5),OR(E33=4,E33=5)), 5, TRUE,E35)</f>
        <v>0</v>
      </c>
      <c r="F36">
        <v>0</v>
      </c>
      <c r="H36" t="str">
        <f t="shared" si="0"/>
        <v>TAK</v>
      </c>
      <c r="I36" s="5" cm="1">
        <f t="array" ref="I36">_xlfn.IFS(I35=0,IF(B36&gt;=10,"C","S"),F36=0,0,TRUE,I35)</f>
        <v>0</v>
      </c>
      <c r="J36" t="str">
        <f t="shared" si="1"/>
        <v>TAK</v>
      </c>
      <c r="K36">
        <f t="shared" si="2"/>
        <v>0</v>
      </c>
    </row>
    <row r="37" spans="1:11" x14ac:dyDescent="0.25">
      <c r="A37">
        <v>36</v>
      </c>
      <c r="B37">
        <v>10.1</v>
      </c>
      <c r="C37">
        <v>3</v>
      </c>
      <c r="D37" t="s">
        <v>6</v>
      </c>
      <c r="E37" cm="1">
        <f t="array" ref="E37">_xlfn.IFS(E36=0,1,AND(E36=1,E35=1,E34=1),2,AND(E36=2,E35=2,E34=2),3,AND(E36=3,E35=3,E34=3),4,AND(E36=5,C36&gt;=20),0,AND(OR(E36=4,E36=5),OR(E35=4,E35=5),OR(E34=4,E34=5)), 5, TRUE,E36)</f>
        <v>1</v>
      </c>
      <c r="F37">
        <v>1</v>
      </c>
      <c r="H37" t="str">
        <f t="shared" si="0"/>
        <v>TAK</v>
      </c>
      <c r="I37" s="5" t="str" cm="1">
        <f t="array" ref="I37">_xlfn.IFS(I36=0,IF(B37&gt;=10,"C","S"),F37=0,0,TRUE,I36)</f>
        <v>C</v>
      </c>
      <c r="J37" t="str">
        <f t="shared" si="1"/>
        <v>TAK</v>
      </c>
      <c r="K37" t="str">
        <f t="shared" si="2"/>
        <v>C</v>
      </c>
    </row>
    <row r="38" spans="1:11" x14ac:dyDescent="0.25">
      <c r="A38">
        <v>37</v>
      </c>
      <c r="B38">
        <v>8.8000000000000007</v>
      </c>
      <c r="C38">
        <v>3</v>
      </c>
      <c r="D38" t="s">
        <v>6</v>
      </c>
      <c r="E38" cm="1">
        <f t="array" ref="E38">_xlfn.IFS(E37=0,1,AND(E37=1,E36=1,E35=1),2,AND(E37=2,E36=2,E35=2),3,AND(E37=3,E36=3,E35=3),4,AND(E37=5,C37&gt;=20),0,AND(OR(E37=4,E37=5),OR(E36=4,E36=5),OR(E35=4,E35=5)), 5, TRUE,E37)</f>
        <v>1</v>
      </c>
      <c r="F38">
        <v>1</v>
      </c>
      <c r="H38" t="str">
        <f t="shared" si="0"/>
        <v>TAK</v>
      </c>
      <c r="I38" s="5" t="str" cm="1">
        <f t="array" ref="I38">_xlfn.IFS(I37=0,IF(B38&gt;=10,"C","S"),F38=0,0,TRUE,I37)</f>
        <v>C</v>
      </c>
      <c r="J38" t="str">
        <f t="shared" si="1"/>
        <v>TAK</v>
      </c>
      <c r="K38" t="str">
        <f t="shared" si="2"/>
        <v>C</v>
      </c>
    </row>
    <row r="39" spans="1:11" x14ac:dyDescent="0.25">
      <c r="A39">
        <v>38</v>
      </c>
      <c r="B39">
        <v>6.4</v>
      </c>
      <c r="C39">
        <v>5</v>
      </c>
      <c r="D39" t="s">
        <v>6</v>
      </c>
      <c r="E39" cm="1">
        <f t="array" ref="E39">_xlfn.IFS(E38=0,1,AND(E38=1,E37=1,E36=1),2,AND(E38=2,E37=2,E36=2),3,AND(E38=3,E37=3,E36=3),4,AND(E38=5,C38&gt;=20),0,AND(OR(E38=4,E38=5),OR(E37=4,E37=5),OR(E36=4,E36=5)), 5, TRUE,E38)</f>
        <v>1</v>
      </c>
      <c r="F39">
        <v>1</v>
      </c>
      <c r="H39" t="str">
        <f t="shared" si="0"/>
        <v>TAK</v>
      </c>
      <c r="I39" s="5" t="str" cm="1">
        <f t="array" ref="I39">_xlfn.IFS(I38=0,IF(B39&gt;=10,"C","S"),F39=0,0,TRUE,I38)</f>
        <v>C</v>
      </c>
      <c r="J39" t="str">
        <f t="shared" si="1"/>
        <v>TAK</v>
      </c>
      <c r="K39" t="str">
        <f t="shared" si="2"/>
        <v>C</v>
      </c>
    </row>
    <row r="40" spans="1:11" x14ac:dyDescent="0.25">
      <c r="A40">
        <v>39</v>
      </c>
      <c r="B40">
        <v>3.8</v>
      </c>
      <c r="C40">
        <v>11</v>
      </c>
      <c r="D40" t="s">
        <v>6</v>
      </c>
      <c r="E40" cm="1">
        <f t="array" ref="E40">_xlfn.IFS(E39=0,1,AND(E39=1,E38=1,E37=1),2,AND(E39=2,E38=2,E37=2),3,AND(E39=3,E38=3,E37=3),4,AND(E39=5,C39&gt;=20),0,AND(OR(E39=4,E39=5),OR(E38=4,E38=5),OR(E37=4,E37=5)), 5, TRUE,E39)</f>
        <v>2</v>
      </c>
      <c r="F40">
        <v>2</v>
      </c>
      <c r="H40" t="str">
        <f>IF(E40=F40,"TAK","NIE")</f>
        <v>TAK</v>
      </c>
      <c r="I40" s="5" t="str" cm="1">
        <f t="array" ref="I40">_xlfn.IFS(I39=0,IF(B40&gt;=10,"C","S"),F40=0,0,TRUE,I39)</f>
        <v>C</v>
      </c>
      <c r="J40" t="str">
        <f>IF(I40=D40,"TAK","NIE")</f>
        <v>TAK</v>
      </c>
      <c r="K40" t="str">
        <f>D40</f>
        <v>C</v>
      </c>
    </row>
    <row r="41" spans="1:11" x14ac:dyDescent="0.25">
      <c r="A41">
        <v>40</v>
      </c>
      <c r="B41">
        <v>1.7</v>
      </c>
      <c r="C41">
        <v>6</v>
      </c>
      <c r="D41" t="s">
        <v>6</v>
      </c>
      <c r="E41" cm="1">
        <f t="array" ref="E41">_xlfn.IFS(E40=0,1,AND(E40=1,E39=1,E38=1),2,AND(E40=2,E39=2,E38=2),3,AND(E40=3,E39=3,E38=3),4,AND(E40=5,C40&gt;=20),0,AND(OR(E40=4,E40=5),OR(E39=4,E39=5),OR(E38=4,E38=5)), 5, TRUE,E40)</f>
        <v>2</v>
      </c>
      <c r="F41">
        <v>2</v>
      </c>
      <c r="H41" t="str">
        <f t="shared" si="0"/>
        <v>TAK</v>
      </c>
      <c r="I41" s="5" t="str" cm="1">
        <f t="array" ref="I41">_xlfn.IFS(I40=0,IF(B41&gt;=10,"C","S"),F41=0,0,TRUE,I40)</f>
        <v>C</v>
      </c>
      <c r="J41" t="str">
        <f t="shared" si="1"/>
        <v>TAK</v>
      </c>
      <c r="K41" t="str">
        <f t="shared" si="2"/>
        <v>C</v>
      </c>
    </row>
    <row r="42" spans="1:11" x14ac:dyDescent="0.25">
      <c r="A42">
        <v>41</v>
      </c>
      <c r="B42">
        <v>1</v>
      </c>
      <c r="C42">
        <v>3</v>
      </c>
      <c r="D42" t="s">
        <v>6</v>
      </c>
      <c r="E42" cm="1">
        <f t="array" ref="E42">_xlfn.IFS(E41=0,1,AND(E41=1,E40=1,E39=1),2,AND(E41=2,E40=2,E39=2),3,AND(E41=3,E40=3,E39=3),4,AND(E41=5,C41&gt;=20),0,AND(OR(E41=4,E41=5),OR(E40=4,E40=5),OR(E39=4,E39=5)), 5, TRUE,E41)</f>
        <v>2</v>
      </c>
      <c r="F42">
        <v>2</v>
      </c>
      <c r="H42" t="str">
        <f t="shared" si="0"/>
        <v>TAK</v>
      </c>
      <c r="I42" s="5" t="str" cm="1">
        <f t="array" ref="I42">_xlfn.IFS(I41=0,IF(B42&gt;=10,"C","S"),F42=0,0,TRUE,I41)</f>
        <v>C</v>
      </c>
      <c r="J42" t="str">
        <f t="shared" si="1"/>
        <v>TAK</v>
      </c>
      <c r="K42" t="str">
        <f t="shared" si="2"/>
        <v>C</v>
      </c>
    </row>
    <row r="43" spans="1:11" x14ac:dyDescent="0.25">
      <c r="A43">
        <v>42</v>
      </c>
      <c r="B43">
        <v>2</v>
      </c>
      <c r="C43">
        <v>17</v>
      </c>
      <c r="D43" t="s">
        <v>6</v>
      </c>
      <c r="E43" cm="1">
        <f t="array" ref="E43">_xlfn.IFS(E42=0,1,AND(E42=1,E41=1,E40=1),2,AND(E42=2,E41=2,E40=2),3,AND(E42=3,E41=3,E40=3),4,AND(E42=5,C42&gt;=20),0,AND(OR(E42=4,E42=5),OR(E41=4,E41=5),OR(E40=4,E40=5)), 5, TRUE,E42)</f>
        <v>3</v>
      </c>
      <c r="F43">
        <v>3</v>
      </c>
      <c r="H43" t="str">
        <f t="shared" si="0"/>
        <v>TAK</v>
      </c>
      <c r="I43" s="5" t="str" cm="1">
        <f t="array" ref="I43">_xlfn.IFS(I42=0,IF(B43&gt;=10,"C","S"),F43=0,0,TRUE,I42)</f>
        <v>C</v>
      </c>
      <c r="J43" t="str">
        <f t="shared" si="1"/>
        <v>TAK</v>
      </c>
      <c r="K43" t="str">
        <f t="shared" si="2"/>
        <v>C</v>
      </c>
    </row>
    <row r="44" spans="1:11" x14ac:dyDescent="0.25">
      <c r="A44">
        <v>43</v>
      </c>
      <c r="B44">
        <v>4.5999999999999996</v>
      </c>
      <c r="C44">
        <v>5</v>
      </c>
      <c r="D44" t="s">
        <v>6</v>
      </c>
      <c r="E44" cm="1">
        <f t="array" ref="E44">_xlfn.IFS(E43=0,1,AND(E43=1,E42=1,E41=1),2,AND(E43=2,E42=2,E41=2),3,AND(E43=3,E42=3,E41=3),4,AND(E43=5,C43&gt;=20),0,AND(OR(E43=4,E43=5),OR(E42=4,E42=5),OR(E41=4,E41=5)), 5, TRUE,E43)</f>
        <v>3</v>
      </c>
      <c r="F44">
        <v>3</v>
      </c>
      <c r="H44" t="str">
        <f t="shared" si="0"/>
        <v>TAK</v>
      </c>
      <c r="I44" s="5" t="str" cm="1">
        <f t="array" ref="I44">_xlfn.IFS(I43=0,IF(B44&gt;=10,"C","S"),F44=0,0,TRUE,I43)</f>
        <v>C</v>
      </c>
      <c r="J44" t="str">
        <f t="shared" si="1"/>
        <v>TAK</v>
      </c>
      <c r="K44" t="str">
        <f t="shared" si="2"/>
        <v>C</v>
      </c>
    </row>
    <row r="45" spans="1:11" x14ac:dyDescent="0.25">
      <c r="A45">
        <v>44</v>
      </c>
      <c r="B45">
        <v>8.1999999999999993</v>
      </c>
      <c r="C45">
        <v>8</v>
      </c>
      <c r="D45" t="s">
        <v>6</v>
      </c>
      <c r="E45" cm="1">
        <f t="array" ref="E45">_xlfn.IFS(E44=0,1,AND(E44=1,E43=1,E42=1),2,AND(E44=2,E43=2,E42=2),3,AND(E44=3,E43=3,E42=3),4,AND(E44=5,C44&gt;=20),0,AND(OR(E44=4,E44=5),OR(E43=4,E43=5),OR(E42=4,E42=5)), 5, TRUE,E44)</f>
        <v>3</v>
      </c>
      <c r="F45">
        <v>3</v>
      </c>
      <c r="H45" t="str">
        <f t="shared" si="0"/>
        <v>TAK</v>
      </c>
      <c r="I45" s="5" t="str" cm="1">
        <f t="array" ref="I45">_xlfn.IFS(I44=0,IF(B45&gt;=10,"C","S"),F45=0,0,TRUE,I44)</f>
        <v>C</v>
      </c>
      <c r="J45" t="str">
        <f t="shared" si="1"/>
        <v>TAK</v>
      </c>
      <c r="K45" t="str">
        <f t="shared" si="2"/>
        <v>C</v>
      </c>
    </row>
    <row r="46" spans="1:11" x14ac:dyDescent="0.25">
      <c r="A46">
        <v>45</v>
      </c>
      <c r="B46">
        <v>11.8</v>
      </c>
      <c r="C46">
        <v>2</v>
      </c>
      <c r="D46" t="s">
        <v>6</v>
      </c>
      <c r="E46" cm="1">
        <f t="array" ref="E46">_xlfn.IFS(E45=0,1,AND(E45=1,E44=1,E43=1),2,AND(E45=2,E44=2,E43=2),3,AND(E45=3,E44=3,E43=3),4,AND(E45=5,C45&gt;=20),0,AND(OR(E45=4,E45=5),OR(E44=4,E44=5),OR(E43=4,E43=5)), 5, TRUE,E45)</f>
        <v>4</v>
      </c>
      <c r="F46">
        <v>4</v>
      </c>
      <c r="H46" t="str">
        <f t="shared" si="0"/>
        <v>TAK</v>
      </c>
      <c r="I46" s="5" t="str" cm="1">
        <f t="array" ref="I46">_xlfn.IFS(I45=0,IF(B46&gt;=10,"C","S"),F46=0,0,TRUE,I45)</f>
        <v>C</v>
      </c>
      <c r="J46" t="str">
        <f t="shared" si="1"/>
        <v>TAK</v>
      </c>
      <c r="K46" t="str">
        <f t="shared" si="2"/>
        <v>C</v>
      </c>
    </row>
    <row r="47" spans="1:11" x14ac:dyDescent="0.25">
      <c r="A47">
        <v>46</v>
      </c>
      <c r="B47">
        <v>14.7</v>
      </c>
      <c r="C47">
        <v>1</v>
      </c>
      <c r="D47" t="s">
        <v>6</v>
      </c>
      <c r="E47" cm="1">
        <f t="array" ref="E47">_xlfn.IFS(E46=0,1,AND(E46=1,E45=1,E44=1),2,AND(E46=2,E45=2,E44=2),3,AND(E46=3,E45=3,E44=3),4,AND(E46=5,C46&gt;=20),0,AND(OR(E46=4,E46=5),OR(E45=4,E45=5),OR(E44=4,E44=5)), 5, TRUE,E46)</f>
        <v>4</v>
      </c>
      <c r="F47">
        <v>4</v>
      </c>
      <c r="H47" t="str">
        <f t="shared" si="0"/>
        <v>TAK</v>
      </c>
      <c r="I47" s="5" t="str" cm="1">
        <f t="array" ref="I47">_xlfn.IFS(I46=0,IF(B47&gt;=10,"C","S"),F47=0,0,TRUE,I46)</f>
        <v>C</v>
      </c>
      <c r="J47" t="str">
        <f t="shared" si="1"/>
        <v>TAK</v>
      </c>
      <c r="K47" t="str">
        <f t="shared" si="2"/>
        <v>C</v>
      </c>
    </row>
    <row r="48" spans="1:11" x14ac:dyDescent="0.25">
      <c r="A48">
        <v>47</v>
      </c>
      <c r="B48">
        <v>16.3</v>
      </c>
      <c r="C48">
        <v>11</v>
      </c>
      <c r="D48" t="s">
        <v>6</v>
      </c>
      <c r="E48" cm="1">
        <f t="array" ref="E48">_xlfn.IFS(E47=0,1,AND(E47=1,E46=1,E45=1),2,AND(E47=2,E46=2,E45=2),3,AND(E47=3,E46=3,E45=3),4,AND(E47=5,C47&gt;=20),0,AND(OR(E47=4,E47=5),OR(E46=4,E46=5),OR(E45=4,E45=5)), 5, TRUE,E47)</f>
        <v>4</v>
      </c>
      <c r="F48">
        <v>4</v>
      </c>
      <c r="H48" t="str">
        <f t="shared" si="0"/>
        <v>TAK</v>
      </c>
      <c r="I48" s="5" t="str" cm="1">
        <f t="array" ref="I48">_xlfn.IFS(I47=0,IF(B48&gt;=10,"C","S"),F48=0,0,TRUE,I47)</f>
        <v>C</v>
      </c>
      <c r="J48" t="str">
        <f t="shared" si="1"/>
        <v>TAK</v>
      </c>
      <c r="K48" t="str">
        <f t="shared" si="2"/>
        <v>C</v>
      </c>
    </row>
    <row r="49" spans="1:11" x14ac:dyDescent="0.25">
      <c r="A49">
        <v>48</v>
      </c>
      <c r="B49">
        <v>16.3</v>
      </c>
      <c r="C49">
        <v>25</v>
      </c>
      <c r="D49" t="s">
        <v>6</v>
      </c>
      <c r="E49" cm="1">
        <f t="array" ref="E49">_xlfn.IFS(E48=0,1,AND(E48=1,E47=1,E46=1),2,AND(E48=2,E47=2,E46=2),3,AND(E48=3,E47=3,E46=3),4,AND(E48=5,C48&gt;=20),0,AND(OR(E48=4,E48=5),OR(E47=4,E47=5),OR(E46=4,E46=5)), 5, TRUE,E48)</f>
        <v>5</v>
      </c>
      <c r="F49">
        <v>5</v>
      </c>
      <c r="H49" t="str">
        <f t="shared" si="0"/>
        <v>TAK</v>
      </c>
      <c r="I49" s="5" t="str" cm="1">
        <f t="array" ref="I49">_xlfn.IFS(I48=0,IF(B49&gt;=10,"C","S"),F49=0,0,TRUE,I48)</f>
        <v>C</v>
      </c>
      <c r="J49" t="str">
        <f t="shared" si="1"/>
        <v>TAK</v>
      </c>
      <c r="K49" t="str">
        <f t="shared" si="2"/>
        <v>C</v>
      </c>
    </row>
    <row r="50" spans="1:11" x14ac:dyDescent="0.25">
      <c r="A50">
        <v>49</v>
      </c>
      <c r="B50">
        <v>15.2</v>
      </c>
      <c r="C50">
        <v>0</v>
      </c>
      <c r="D50">
        <v>0</v>
      </c>
      <c r="E50" cm="1">
        <f t="array" ref="E50">_xlfn.IFS(E49=0,1,AND(E49=1,E48=1,E47=1),2,AND(E49=2,E48=2,E47=2),3,AND(E49=3,E48=3,E47=3),4,AND(E49=5,C49&gt;=20),0,AND(OR(E49=4,E49=5),OR(E48=4,E48=5),OR(E47=4,E47=5)), 5, TRUE,E49)</f>
        <v>0</v>
      </c>
      <c r="F50">
        <v>0</v>
      </c>
      <c r="H50" t="str">
        <f>IF(E50=F50,"TAK","NIE")</f>
        <v>TAK</v>
      </c>
      <c r="I50" s="5" cm="1">
        <f t="array" ref="I50">_xlfn.IFS(I49=0,IF(B50&gt;=10,"C","S"),F50=0,0,TRUE,I49)</f>
        <v>0</v>
      </c>
      <c r="J50" t="str">
        <f>IF(I50=D50,"TAK","NIE")</f>
        <v>TAK</v>
      </c>
      <c r="K50">
        <f>D50</f>
        <v>0</v>
      </c>
    </row>
    <row r="51" spans="1:11" x14ac:dyDescent="0.25">
      <c r="A51">
        <v>50</v>
      </c>
      <c r="B51">
        <v>13.6</v>
      </c>
      <c r="C51">
        <v>2</v>
      </c>
      <c r="D51" t="s">
        <v>6</v>
      </c>
      <c r="E51" cm="1">
        <f t="array" ref="E51">_xlfn.IFS(E50=0,1,AND(E50=1,E49=1,E48=1),2,AND(E50=2,E49=2,E48=2),3,AND(E50=3,E49=3,E48=3),4,AND(E50=5,C50&gt;=20),0,AND(OR(E50=4,E50=5),OR(E49=4,E49=5),OR(E48=4,E48=5)), 5, TRUE,E50)</f>
        <v>1</v>
      </c>
      <c r="F51">
        <v>1</v>
      </c>
      <c r="H51" t="str">
        <f t="shared" si="0"/>
        <v>TAK</v>
      </c>
      <c r="I51" s="5" t="str" cm="1">
        <f t="array" ref="I51">_xlfn.IFS(I50=0,IF(B51&gt;=10,"C","S"),F51=0,0,TRUE,I50)</f>
        <v>C</v>
      </c>
      <c r="J51" t="str">
        <f t="shared" si="1"/>
        <v>TAK</v>
      </c>
      <c r="K51" t="str">
        <f t="shared" si="2"/>
        <v>C</v>
      </c>
    </row>
    <row r="52" spans="1:11" x14ac:dyDescent="0.25">
      <c r="A52">
        <v>51</v>
      </c>
      <c r="B52">
        <v>12.5</v>
      </c>
      <c r="C52">
        <v>3</v>
      </c>
      <c r="D52" t="s">
        <v>6</v>
      </c>
      <c r="E52" cm="1">
        <f t="array" ref="E52">_xlfn.IFS(E51=0,1,AND(E51=1,E50=1,E49=1),2,AND(E51=2,E50=2,E49=2),3,AND(E51=3,E50=3,E49=3),4,AND(E51=5,C51&gt;=20),0,AND(OR(E51=4,E51=5),OR(E50=4,E50=5),OR(E49=4,E49=5)), 5, TRUE,E51)</f>
        <v>1</v>
      </c>
      <c r="F52">
        <v>1</v>
      </c>
      <c r="H52" t="str">
        <f t="shared" si="0"/>
        <v>TAK</v>
      </c>
      <c r="I52" s="5" t="str" cm="1">
        <f t="array" ref="I52">_xlfn.IFS(I51=0,IF(B52&gt;=10,"C","S"),F52=0,0,TRUE,I51)</f>
        <v>C</v>
      </c>
      <c r="J52" t="str">
        <f t="shared" si="1"/>
        <v>TAK</v>
      </c>
      <c r="K52" t="str">
        <f t="shared" si="2"/>
        <v>C</v>
      </c>
    </row>
    <row r="53" spans="1:11" x14ac:dyDescent="0.25">
      <c r="A53">
        <v>52</v>
      </c>
      <c r="B53">
        <v>12.5</v>
      </c>
      <c r="C53">
        <v>2</v>
      </c>
      <c r="D53" t="s">
        <v>6</v>
      </c>
      <c r="E53" cm="1">
        <f t="array" ref="E53">_xlfn.IFS(E52=0,1,AND(E52=1,E51=1,E50=1),2,AND(E52=2,E51=2,E50=2),3,AND(E52=3,E51=3,E50=3),4,AND(E52=5,C52&gt;=20),0,AND(OR(E52=4,E52=5),OR(E51=4,E51=5),OR(E50=4,E50=5)), 5, TRUE,E52)</f>
        <v>1</v>
      </c>
      <c r="F53">
        <v>1</v>
      </c>
      <c r="H53" t="str">
        <f t="shared" si="0"/>
        <v>TAK</v>
      </c>
      <c r="I53" s="5" t="str" cm="1">
        <f t="array" ref="I53">_xlfn.IFS(I52=0,IF(B53&gt;=10,"C","S"),F53=0,0,TRUE,I52)</f>
        <v>C</v>
      </c>
      <c r="J53" t="str">
        <f t="shared" si="1"/>
        <v>TAK</v>
      </c>
      <c r="K53" t="str">
        <f t="shared" si="2"/>
        <v>C</v>
      </c>
    </row>
    <row r="54" spans="1:11" x14ac:dyDescent="0.25">
      <c r="A54">
        <v>53</v>
      </c>
      <c r="B54">
        <v>14.1</v>
      </c>
      <c r="C54">
        <v>4</v>
      </c>
      <c r="D54" t="s">
        <v>6</v>
      </c>
      <c r="E54" cm="1">
        <f t="array" ref="E54">_xlfn.IFS(E53=0,1,AND(E53=1,E52=1,E51=1),2,AND(E53=2,E52=2,E51=2),3,AND(E53=3,E52=3,E51=3),4,AND(E53=5,C53&gt;=20),0,AND(OR(E53=4,E53=5),OR(E52=4,E52=5),OR(E51=4,E51=5)), 5, TRUE,E53)</f>
        <v>2</v>
      </c>
      <c r="F54">
        <v>2</v>
      </c>
      <c r="H54" t="str">
        <f t="shared" si="0"/>
        <v>TAK</v>
      </c>
      <c r="I54" s="5" t="str" cm="1">
        <f t="array" ref="I54">_xlfn.IFS(I53=0,IF(B54&gt;=10,"C","S"),F54=0,0,TRUE,I53)</f>
        <v>C</v>
      </c>
      <c r="J54" t="str">
        <f t="shared" si="1"/>
        <v>TAK</v>
      </c>
      <c r="K54" t="str">
        <f t="shared" si="2"/>
        <v>C</v>
      </c>
    </row>
    <row r="55" spans="1:11" x14ac:dyDescent="0.25">
      <c r="A55">
        <v>54</v>
      </c>
      <c r="B55">
        <v>17.100000000000001</v>
      </c>
      <c r="C55">
        <v>5</v>
      </c>
      <c r="D55" t="s">
        <v>6</v>
      </c>
      <c r="E55" cm="1">
        <f t="array" ref="E55">_xlfn.IFS(E54=0,1,AND(E54=1,E53=1,E52=1),2,AND(E54=2,E53=2,E52=2),3,AND(E54=3,E53=3,E52=3),4,AND(E54=5,C54&gt;=20),0,AND(OR(E54=4,E54=5),OR(E53=4,E53=5),OR(E52=4,E52=5)), 5, TRUE,E54)</f>
        <v>2</v>
      </c>
      <c r="F55">
        <v>2</v>
      </c>
      <c r="H55" t="str">
        <f t="shared" si="0"/>
        <v>TAK</v>
      </c>
      <c r="I55" s="5" t="str" cm="1">
        <f t="array" ref="I55">_xlfn.IFS(I54=0,IF(B55&gt;=10,"C","S"),F55=0,0,TRUE,I54)</f>
        <v>C</v>
      </c>
      <c r="J55" t="str">
        <f t="shared" si="1"/>
        <v>TAK</v>
      </c>
      <c r="K55" t="str">
        <f t="shared" si="2"/>
        <v>C</v>
      </c>
    </row>
    <row r="56" spans="1:11" x14ac:dyDescent="0.25">
      <c r="A56">
        <v>55</v>
      </c>
      <c r="B56">
        <v>20.9</v>
      </c>
      <c r="C56">
        <v>9</v>
      </c>
      <c r="D56" t="s">
        <v>6</v>
      </c>
      <c r="E56" cm="1">
        <f t="array" ref="E56">_xlfn.IFS(E55=0,1,AND(E55=1,E54=1,E53=1),2,AND(E55=2,E54=2,E53=2),3,AND(E55=3,E54=3,E53=3),4,AND(E55=5,C55&gt;=20),0,AND(OR(E55=4,E55=5),OR(E54=4,E54=5),OR(E53=4,E53=5)), 5, TRUE,E55)</f>
        <v>2</v>
      </c>
      <c r="F56">
        <v>2</v>
      </c>
      <c r="H56" t="str">
        <f t="shared" si="0"/>
        <v>TAK</v>
      </c>
      <c r="I56" s="5" t="str" cm="1">
        <f t="array" ref="I56">_xlfn.IFS(I55=0,IF(B56&gt;=10,"C","S"),F56=0,0,TRUE,I55)</f>
        <v>C</v>
      </c>
      <c r="J56" t="str">
        <f t="shared" si="1"/>
        <v>TAK</v>
      </c>
      <c r="K56" t="str">
        <f t="shared" si="2"/>
        <v>C</v>
      </c>
    </row>
    <row r="57" spans="1:11" x14ac:dyDescent="0.25">
      <c r="A57">
        <v>56</v>
      </c>
      <c r="B57">
        <v>24.5</v>
      </c>
      <c r="C57">
        <v>2</v>
      </c>
      <c r="D57" t="s">
        <v>6</v>
      </c>
      <c r="E57" cm="1">
        <f t="array" ref="E57">_xlfn.IFS(E56=0,1,AND(E56=1,E55=1,E54=1),2,AND(E56=2,E55=2,E54=2),3,AND(E56=3,E55=3,E54=3),4,AND(E56=5,C56&gt;=20),0,AND(OR(E56=4,E56=5),OR(E55=4,E55=5),OR(E54=4,E54=5)), 5, TRUE,E56)</f>
        <v>3</v>
      </c>
      <c r="F57">
        <v>3</v>
      </c>
      <c r="H57" t="str">
        <f t="shared" si="0"/>
        <v>TAK</v>
      </c>
      <c r="I57" s="5" t="str" cm="1">
        <f t="array" ref="I57">_xlfn.IFS(I56=0,IF(B57&gt;=10,"C","S"),F57=0,0,TRUE,I56)</f>
        <v>C</v>
      </c>
      <c r="J57" t="str">
        <f t="shared" si="1"/>
        <v>TAK</v>
      </c>
      <c r="K57" t="str">
        <f t="shared" si="2"/>
        <v>C</v>
      </c>
    </row>
    <row r="58" spans="1:11" x14ac:dyDescent="0.25">
      <c r="A58">
        <v>57</v>
      </c>
      <c r="B58">
        <v>27.3</v>
      </c>
      <c r="C58">
        <v>16</v>
      </c>
      <c r="D58" t="s">
        <v>6</v>
      </c>
      <c r="E58" cm="1">
        <f t="array" ref="E58">_xlfn.IFS(E57=0,1,AND(E57=1,E56=1,E55=1),2,AND(E57=2,E56=2,E55=2),3,AND(E57=3,E56=3,E55=3),4,AND(E57=5,C57&gt;=20),0,AND(OR(E57=4,E57=5),OR(E56=4,E56=5),OR(E55=4,E55=5)), 5, TRUE,E57)</f>
        <v>3</v>
      </c>
      <c r="F58">
        <v>3</v>
      </c>
      <c r="H58" t="str">
        <f t="shared" si="0"/>
        <v>TAK</v>
      </c>
      <c r="I58" s="5" t="str" cm="1">
        <f t="array" ref="I58">_xlfn.IFS(I57=0,IF(B58&gt;=10,"C","S"),F58=0,0,TRUE,I57)</f>
        <v>C</v>
      </c>
      <c r="J58" t="str">
        <f t="shared" si="1"/>
        <v>TAK</v>
      </c>
      <c r="K58" t="str">
        <f t="shared" si="2"/>
        <v>C</v>
      </c>
    </row>
    <row r="59" spans="1:11" x14ac:dyDescent="0.25">
      <c r="A59">
        <v>58</v>
      </c>
      <c r="B59">
        <v>28.4</v>
      </c>
      <c r="C59">
        <v>14</v>
      </c>
      <c r="D59" t="s">
        <v>6</v>
      </c>
      <c r="E59" cm="1">
        <f t="array" ref="E59">_xlfn.IFS(E58=0,1,AND(E58=1,E57=1,E56=1),2,AND(E58=2,E57=2,E56=2),3,AND(E58=3,E57=3,E56=3),4,AND(E58=5,C58&gt;=20),0,AND(OR(E58=4,E58=5),OR(E57=4,E57=5),OR(E56=4,E56=5)), 5, TRUE,E58)</f>
        <v>3</v>
      </c>
      <c r="F59">
        <v>3</v>
      </c>
      <c r="H59" t="str">
        <f t="shared" si="0"/>
        <v>TAK</v>
      </c>
      <c r="I59" s="5" t="str" cm="1">
        <f t="array" ref="I59">_xlfn.IFS(I58=0,IF(B59&gt;=10,"C","S"),F59=0,0,TRUE,I58)</f>
        <v>C</v>
      </c>
      <c r="J59" t="str">
        <f t="shared" si="1"/>
        <v>TAK</v>
      </c>
      <c r="K59" t="str">
        <f t="shared" si="2"/>
        <v>C</v>
      </c>
    </row>
    <row r="60" spans="1:11" x14ac:dyDescent="0.25">
      <c r="A60">
        <v>59</v>
      </c>
      <c r="B60">
        <v>27.8</v>
      </c>
      <c r="C60">
        <v>14</v>
      </c>
      <c r="D60" t="s">
        <v>6</v>
      </c>
      <c r="E60" cm="1">
        <f t="array" ref="E60">_xlfn.IFS(E59=0,1,AND(E59=1,E58=1,E57=1),2,AND(E59=2,E58=2,E57=2),3,AND(E59=3,E58=3,E57=3),4,AND(E59=5,C59&gt;=20),0,AND(OR(E59=4,E59=5),OR(E58=4,E58=5),OR(E57=4,E57=5)), 5, TRUE,E59)</f>
        <v>4</v>
      </c>
      <c r="F60">
        <v>3</v>
      </c>
      <c r="H60" t="str">
        <f>IF(E60=F60,"TAK","NIE")</f>
        <v>NIE</v>
      </c>
      <c r="I60" s="5" t="str" cm="1">
        <f t="array" ref="I60">_xlfn.IFS(I59=0,IF(B60&gt;=10,"C","S"),F60=0,0,TRUE,I59)</f>
        <v>C</v>
      </c>
      <c r="J60" t="str">
        <f>IF(I60=D60,"TAK","NIE")</f>
        <v>TAK</v>
      </c>
      <c r="K60" t="str">
        <f>D60</f>
        <v>C</v>
      </c>
    </row>
    <row r="61" spans="1:11" x14ac:dyDescent="0.25">
      <c r="A61">
        <v>60</v>
      </c>
      <c r="B61">
        <v>25.9</v>
      </c>
      <c r="C61">
        <v>6</v>
      </c>
      <c r="D61" t="s">
        <v>6</v>
      </c>
      <c r="E61" cm="1">
        <f t="array" ref="E61">_xlfn.IFS(E60=0,1,AND(E60=1,E59=1,E58=1),2,AND(E60=2,E59=2,E58=2),3,AND(E60=3,E59=3,E58=3),4,AND(E60=5,C60&gt;=20),0,AND(OR(E60=4,E60=5),OR(E59=4,E59=5),OR(E58=4,E58=5)), 5, TRUE,E60)</f>
        <v>4</v>
      </c>
      <c r="F61">
        <v>4</v>
      </c>
      <c r="H61" t="str">
        <f t="shared" si="0"/>
        <v>TAK</v>
      </c>
      <c r="I61" s="5" t="str" cm="1">
        <f t="array" ref="I61">_xlfn.IFS(I60=0,IF(B61&gt;=10,"C","S"),F61=0,0,TRUE,I60)</f>
        <v>C</v>
      </c>
      <c r="J61" t="str">
        <f t="shared" si="1"/>
        <v>TAK</v>
      </c>
      <c r="K61" t="str">
        <f t="shared" si="2"/>
        <v>C</v>
      </c>
    </row>
    <row r="62" spans="1:11" x14ac:dyDescent="0.25">
      <c r="A62">
        <v>61</v>
      </c>
      <c r="B62">
        <v>23.4</v>
      </c>
      <c r="C62">
        <v>21</v>
      </c>
      <c r="D62" t="s">
        <v>6</v>
      </c>
      <c r="E62" cm="1">
        <f t="array" ref="E62">_xlfn.IFS(E61=0,1,AND(E61=1,E60=1,E59=1),2,AND(E61=2,E60=2,E59=2),3,AND(E61=3,E60=3,E59=3),4,AND(E61=5,C61&gt;=20),0,AND(OR(E61=4,E61=5),OR(E60=4,E60=5),OR(E59=4,E59=5)), 5, TRUE,E61)</f>
        <v>4</v>
      </c>
      <c r="F62">
        <v>4</v>
      </c>
      <c r="H62" t="str">
        <f t="shared" si="0"/>
        <v>TAK</v>
      </c>
      <c r="I62" s="5" t="str" cm="1">
        <f t="array" ref="I62">_xlfn.IFS(I61=0,IF(B62&gt;=10,"C","S"),F62=0,0,TRUE,I61)</f>
        <v>C</v>
      </c>
      <c r="J62" t="str">
        <f t="shared" si="1"/>
        <v>TAK</v>
      </c>
      <c r="K62" t="str">
        <f t="shared" si="2"/>
        <v>C</v>
      </c>
    </row>
    <row r="63" spans="1:11" x14ac:dyDescent="0.25">
      <c r="A63">
        <v>62</v>
      </c>
      <c r="B63">
        <v>21.2</v>
      </c>
      <c r="C63">
        <v>21</v>
      </c>
      <c r="D63" t="s">
        <v>6</v>
      </c>
      <c r="E63" cm="1">
        <f t="array" ref="E63">_xlfn.IFS(E62=0,1,AND(E62=1,E61=1,E60=1),2,AND(E62=2,E61=2,E60=2),3,AND(E62=3,E61=3,E60=3),4,AND(E62=5,C62&gt;=20),0,AND(OR(E62=4,E62=5),OR(E61=4,E61=5),OR(E60=4,E60=5)), 5, TRUE,E62)</f>
        <v>5</v>
      </c>
      <c r="F63">
        <v>5</v>
      </c>
      <c r="H63" t="str">
        <f t="shared" si="0"/>
        <v>TAK</v>
      </c>
      <c r="I63" s="5" t="str" cm="1">
        <f t="array" ref="I63">_xlfn.IFS(I62=0,IF(B63&gt;=10,"C","S"),F63=0,0,TRUE,I62)</f>
        <v>C</v>
      </c>
      <c r="J63" t="str">
        <f t="shared" si="1"/>
        <v>TAK</v>
      </c>
      <c r="K63" t="str">
        <f t="shared" si="2"/>
        <v>C</v>
      </c>
    </row>
    <row r="64" spans="1:11" x14ac:dyDescent="0.25">
      <c r="A64">
        <v>63</v>
      </c>
      <c r="B64">
        <v>20</v>
      </c>
      <c r="C64">
        <v>0</v>
      </c>
      <c r="D64">
        <v>0</v>
      </c>
      <c r="E64" cm="1">
        <f t="array" ref="E64">_xlfn.IFS(E63=0,1,AND(E63=1,E62=1,E61=1),2,AND(E63=2,E62=2,E61=2),3,AND(E63=3,E62=3,E61=3),4,AND(E63=5,C63&gt;=20),0,AND(OR(E63=4,E63=5),OR(E62=4,E62=5),OR(E61=4,E61=5)), 5, TRUE,E63)</f>
        <v>0</v>
      </c>
      <c r="F64">
        <v>0</v>
      </c>
      <c r="H64" t="str">
        <f t="shared" si="0"/>
        <v>TAK</v>
      </c>
      <c r="I64" s="5" cm="1">
        <f t="array" ref="I64">_xlfn.IFS(I63=0,IF(B64&gt;=10,"C","S"),F64=0,0,TRUE,I63)</f>
        <v>0</v>
      </c>
      <c r="J64" t="str">
        <f t="shared" si="1"/>
        <v>TAK</v>
      </c>
      <c r="K64">
        <f t="shared" si="2"/>
        <v>0</v>
      </c>
    </row>
    <row r="65" spans="1:11" x14ac:dyDescent="0.25">
      <c r="A65">
        <v>64</v>
      </c>
      <c r="B65">
        <v>20.3</v>
      </c>
      <c r="C65">
        <v>4</v>
      </c>
      <c r="D65" t="s">
        <v>6</v>
      </c>
      <c r="E65" cm="1">
        <f t="array" ref="E65">_xlfn.IFS(E64=0,1,AND(E64=1,E63=1,E62=1),2,AND(E64=2,E63=2,E62=2),3,AND(E64=3,E63=3,E62=3),4,AND(E64=5,C64&gt;=20),0,AND(OR(E64=4,E64=5),OR(E63=4,E63=5),OR(E62=4,E62=5)), 5, TRUE,E64)</f>
        <v>1</v>
      </c>
      <c r="F65">
        <v>1</v>
      </c>
      <c r="H65" t="str">
        <f t="shared" si="0"/>
        <v>TAK</v>
      </c>
      <c r="I65" s="5" t="str" cm="1">
        <f t="array" ref="I65">_xlfn.IFS(I64=0,IF(B65&gt;=10,"C","S"),F65=0,0,TRUE,I64)</f>
        <v>C</v>
      </c>
      <c r="J65" t="str">
        <f t="shared" si="1"/>
        <v>TAK</v>
      </c>
      <c r="K65" t="str">
        <f t="shared" si="2"/>
        <v>C</v>
      </c>
    </row>
    <row r="66" spans="1:11" x14ac:dyDescent="0.25">
      <c r="A66">
        <v>65</v>
      </c>
      <c r="B66">
        <v>21.8</v>
      </c>
      <c r="C66">
        <v>6</v>
      </c>
      <c r="D66" t="s">
        <v>6</v>
      </c>
      <c r="E66" cm="1">
        <f t="array" ref="E66">_xlfn.IFS(E65=0,1,AND(E65=1,E64=1,E63=1),2,AND(E65=2,E64=2,E63=2),3,AND(E65=3,E64=3,E63=3),4,AND(E65=5,C65&gt;=20),0,AND(OR(E65=4,E65=5),OR(E64=4,E64=5),OR(E63=4,E63=5)), 5, TRUE,E65)</f>
        <v>1</v>
      </c>
      <c r="F66">
        <v>1</v>
      </c>
      <c r="H66" t="str">
        <f t="shared" si="0"/>
        <v>TAK</v>
      </c>
      <c r="I66" s="5" t="str" cm="1">
        <f t="array" ref="I66">_xlfn.IFS(I65=0,IF(B66&gt;=10,"C","S"),F66=0,0,TRUE,I65)</f>
        <v>C</v>
      </c>
      <c r="J66" t="str">
        <f t="shared" si="1"/>
        <v>TAK</v>
      </c>
      <c r="K66" t="str">
        <f t="shared" si="2"/>
        <v>C</v>
      </c>
    </row>
    <row r="67" spans="1:11" x14ac:dyDescent="0.25">
      <c r="A67">
        <v>66</v>
      </c>
      <c r="B67">
        <v>24</v>
      </c>
      <c r="C67">
        <v>3</v>
      </c>
      <c r="D67" t="s">
        <v>6</v>
      </c>
      <c r="E67" cm="1">
        <f t="array" ref="E67">_xlfn.IFS(E66=0,1,AND(E66=1,E65=1,E64=1),2,AND(E66=2,E65=2,E64=2),3,AND(E66=3,E65=3,E64=3),4,AND(E66=5,C66&gt;=20),0,AND(OR(E66=4,E66=5),OR(E65=4,E65=5),OR(E64=4,E64=5)), 5, TRUE,E66)</f>
        <v>1</v>
      </c>
      <c r="F67">
        <v>1</v>
      </c>
      <c r="H67" t="str">
        <f t="shared" ref="H67:H129" si="3">IF(E67=F67,"TAK","NIE")</f>
        <v>TAK</v>
      </c>
      <c r="I67" s="5" t="str" cm="1">
        <f t="array" ref="I67">_xlfn.IFS(I66=0,IF(B67&gt;=10,"C","S"),F67=0,0,TRUE,I66)</f>
        <v>C</v>
      </c>
      <c r="J67" t="str">
        <f t="shared" ref="J67:J129" si="4">IF(I67=D67,"TAK","NIE")</f>
        <v>TAK</v>
      </c>
      <c r="K67" t="str">
        <f t="shared" ref="K67:K129" si="5">D67</f>
        <v>C</v>
      </c>
    </row>
    <row r="68" spans="1:11" x14ac:dyDescent="0.25">
      <c r="A68">
        <v>67</v>
      </c>
      <c r="B68">
        <v>26.1</v>
      </c>
      <c r="C68">
        <v>7</v>
      </c>
      <c r="D68" t="s">
        <v>6</v>
      </c>
      <c r="E68" cm="1">
        <f t="array" ref="E68">_xlfn.IFS(E67=0,1,AND(E67=1,E66=1,E65=1),2,AND(E67=2,E66=2,E65=2),3,AND(E67=3,E66=3,E65=3),4,AND(E67=5,C67&gt;=20),0,AND(OR(E67=4,E67=5),OR(E66=4,E66=5),OR(E65=4,E65=5)), 5, TRUE,E67)</f>
        <v>2</v>
      </c>
      <c r="F68">
        <v>2</v>
      </c>
      <c r="H68" t="str">
        <f t="shared" si="3"/>
        <v>TAK</v>
      </c>
      <c r="I68" s="5" t="str" cm="1">
        <f t="array" ref="I68">_xlfn.IFS(I67=0,IF(B68&gt;=10,"C","S"),F68=0,0,TRUE,I67)</f>
        <v>C</v>
      </c>
      <c r="J68" t="str">
        <f t="shared" si="4"/>
        <v>TAK</v>
      </c>
      <c r="K68" t="str">
        <f t="shared" si="5"/>
        <v>C</v>
      </c>
    </row>
    <row r="69" spans="1:11" x14ac:dyDescent="0.25">
      <c r="A69">
        <v>68</v>
      </c>
      <c r="B69">
        <v>27.3</v>
      </c>
      <c r="C69">
        <v>6</v>
      </c>
      <c r="D69" t="s">
        <v>6</v>
      </c>
      <c r="E69" cm="1">
        <f t="array" ref="E69">_xlfn.IFS(E68=0,1,AND(E68=1,E67=1,E66=1),2,AND(E68=2,E67=2,E66=2),3,AND(E68=3,E67=3,E66=3),4,AND(E68=5,C68&gt;=20),0,AND(OR(E68=4,E68=5),OR(E67=4,E67=5),OR(E66=4,E66=5)), 5, TRUE,E68)</f>
        <v>2</v>
      </c>
      <c r="F69">
        <v>2</v>
      </c>
      <c r="H69" t="str">
        <f t="shared" si="3"/>
        <v>TAK</v>
      </c>
      <c r="I69" s="5" t="str" cm="1">
        <f t="array" ref="I69">_xlfn.IFS(I68=0,IF(B69&gt;=10,"C","S"),F69=0,0,TRUE,I68)</f>
        <v>C</v>
      </c>
      <c r="J69" t="str">
        <f t="shared" si="4"/>
        <v>TAK</v>
      </c>
      <c r="K69" t="str">
        <f t="shared" si="5"/>
        <v>C</v>
      </c>
    </row>
    <row r="70" spans="1:11" x14ac:dyDescent="0.25">
      <c r="A70">
        <v>69</v>
      </c>
      <c r="B70">
        <v>26.8</v>
      </c>
      <c r="C70">
        <v>8</v>
      </c>
      <c r="D70" t="s">
        <v>6</v>
      </c>
      <c r="E70" cm="1">
        <f t="array" ref="E70">_xlfn.IFS(E69=0,1,AND(E69=1,E68=1,E67=1),2,AND(E69=2,E68=2,E67=2),3,AND(E69=3,E68=3,E67=3),4,AND(E69=5,C69&gt;=20),0,AND(OR(E69=4,E69=5),OR(E68=4,E68=5),OR(E67=4,E67=5)), 5, TRUE,E69)</f>
        <v>2</v>
      </c>
      <c r="F70">
        <v>2</v>
      </c>
      <c r="H70" t="str">
        <f>IF(E70=F70,"TAK","NIE")</f>
        <v>TAK</v>
      </c>
      <c r="I70" s="5" t="str" cm="1">
        <f t="array" ref="I70">_xlfn.IFS(I69=0,IF(B70&gt;=10,"C","S"),F70=0,0,TRUE,I69)</f>
        <v>C</v>
      </c>
      <c r="J70" t="str">
        <f>IF(I70=D70,"TAK","NIE")</f>
        <v>TAK</v>
      </c>
      <c r="K70" t="str">
        <f>D70</f>
        <v>C</v>
      </c>
    </row>
    <row r="71" spans="1:11" x14ac:dyDescent="0.25">
      <c r="A71">
        <v>70</v>
      </c>
      <c r="B71">
        <v>24.7</v>
      </c>
      <c r="C71">
        <v>3</v>
      </c>
      <c r="D71" t="s">
        <v>6</v>
      </c>
      <c r="E71" cm="1">
        <f t="array" ref="E71">_xlfn.IFS(E70=0,1,AND(E70=1,E69=1,E68=1),2,AND(E70=2,E69=2,E68=2),3,AND(E70=3,E69=3,E68=3),4,AND(E70=5,C70&gt;=20),0,AND(OR(E70=4,E70=5),OR(E69=4,E69=5),OR(E68=4,E68=5)), 5, TRUE,E70)</f>
        <v>3</v>
      </c>
      <c r="F71">
        <v>3</v>
      </c>
      <c r="H71" t="str">
        <f t="shared" si="3"/>
        <v>TAK</v>
      </c>
      <c r="I71" s="5" t="str" cm="1">
        <f t="array" ref="I71">_xlfn.IFS(I70=0,IF(B71&gt;=10,"C","S"),F71=0,0,TRUE,I70)</f>
        <v>C</v>
      </c>
      <c r="J71" t="str">
        <f t="shared" si="4"/>
        <v>TAK</v>
      </c>
      <c r="K71" t="str">
        <f t="shared" si="5"/>
        <v>C</v>
      </c>
    </row>
    <row r="72" spans="1:11" x14ac:dyDescent="0.25">
      <c r="A72">
        <v>71</v>
      </c>
      <c r="B72">
        <v>21.2</v>
      </c>
      <c r="C72">
        <v>16</v>
      </c>
      <c r="D72" t="s">
        <v>6</v>
      </c>
      <c r="E72" cm="1">
        <f t="array" ref="E72">_xlfn.IFS(E71=0,1,AND(E71=1,E70=1,E69=1),2,AND(E71=2,E70=2,E69=2),3,AND(E71=3,E70=3,E69=3),4,AND(E71=5,C71&gt;=20),0,AND(OR(E71=4,E71=5),OR(E70=4,E70=5),OR(E69=4,E69=5)), 5, TRUE,E71)</f>
        <v>3</v>
      </c>
      <c r="F72">
        <v>3</v>
      </c>
      <c r="H72" t="str">
        <f t="shared" si="3"/>
        <v>TAK</v>
      </c>
      <c r="I72" s="5" t="str" cm="1">
        <f t="array" ref="I72">_xlfn.IFS(I71=0,IF(B72&gt;=10,"C","S"),F72=0,0,TRUE,I71)</f>
        <v>C</v>
      </c>
      <c r="J72" t="str">
        <f t="shared" si="4"/>
        <v>TAK</v>
      </c>
      <c r="K72" t="str">
        <f t="shared" si="5"/>
        <v>C</v>
      </c>
    </row>
    <row r="73" spans="1:11" x14ac:dyDescent="0.25">
      <c r="A73">
        <v>72</v>
      </c>
      <c r="B73">
        <v>17.3</v>
      </c>
      <c r="C73">
        <v>8</v>
      </c>
      <c r="D73" t="s">
        <v>6</v>
      </c>
      <c r="E73" cm="1">
        <f t="array" ref="E73">_xlfn.IFS(E72=0,1,AND(E72=1,E71=1,E70=1),2,AND(E72=2,E71=2,E70=2),3,AND(E72=3,E71=3,E70=3),4,AND(E72=5,C72&gt;=20),0,AND(OR(E72=4,E72=5),OR(E71=4,E71=5),OR(E70=4,E70=5)), 5, TRUE,E72)</f>
        <v>3</v>
      </c>
      <c r="F73">
        <v>3</v>
      </c>
      <c r="H73" t="str">
        <f t="shared" si="3"/>
        <v>TAK</v>
      </c>
      <c r="I73" s="5" t="str" cm="1">
        <f t="array" ref="I73">_xlfn.IFS(I72=0,IF(B73&gt;=10,"C","S"),F73=0,0,TRUE,I72)</f>
        <v>C</v>
      </c>
      <c r="J73" t="str">
        <f t="shared" si="4"/>
        <v>TAK</v>
      </c>
      <c r="K73" t="str">
        <f t="shared" si="5"/>
        <v>C</v>
      </c>
    </row>
    <row r="74" spans="1:11" x14ac:dyDescent="0.25">
      <c r="A74">
        <v>73</v>
      </c>
      <c r="B74">
        <v>13.7</v>
      </c>
      <c r="C74">
        <v>19</v>
      </c>
      <c r="D74" t="s">
        <v>6</v>
      </c>
      <c r="E74" cm="1">
        <f t="array" ref="E74">_xlfn.IFS(E73=0,1,AND(E73=1,E72=1,E71=1),2,AND(E73=2,E72=2,E71=2),3,AND(E73=3,E72=3,E71=3),4,AND(E73=5,C73&gt;=20),0,AND(OR(E73=4,E73=5),OR(E72=4,E72=5),OR(E71=4,E71=5)), 5, TRUE,E73)</f>
        <v>4</v>
      </c>
      <c r="F74">
        <v>4</v>
      </c>
      <c r="H74" t="str">
        <f t="shared" si="3"/>
        <v>TAK</v>
      </c>
      <c r="I74" s="5" t="str" cm="1">
        <f t="array" ref="I74">_xlfn.IFS(I73=0,IF(B74&gt;=10,"C","S"),F74=0,0,TRUE,I73)</f>
        <v>C</v>
      </c>
      <c r="J74" t="str">
        <f t="shared" si="4"/>
        <v>TAK</v>
      </c>
      <c r="K74" t="str">
        <f t="shared" si="5"/>
        <v>C</v>
      </c>
    </row>
    <row r="75" spans="1:11" x14ac:dyDescent="0.25">
      <c r="A75">
        <v>74</v>
      </c>
      <c r="B75">
        <v>11.3</v>
      </c>
      <c r="C75">
        <v>5</v>
      </c>
      <c r="D75" t="s">
        <v>6</v>
      </c>
      <c r="E75" cm="1">
        <f t="array" ref="E75">_xlfn.IFS(E74=0,1,AND(E74=1,E73=1,E72=1),2,AND(E74=2,E73=2,E72=2),3,AND(E74=3,E73=3,E72=3),4,AND(E74=5,C74&gt;=20),0,AND(OR(E74=4,E74=5),OR(E73=4,E73=5),OR(E72=4,E72=5)), 5, TRUE,E74)</f>
        <v>4</v>
      </c>
      <c r="F75">
        <v>4</v>
      </c>
      <c r="H75" t="str">
        <f t="shared" si="3"/>
        <v>TAK</v>
      </c>
      <c r="I75" s="5" t="str" cm="1">
        <f t="array" ref="I75">_xlfn.IFS(I74=0,IF(B75&gt;=10,"C","S"),F75=0,0,TRUE,I74)</f>
        <v>C</v>
      </c>
      <c r="J75" t="str">
        <f t="shared" si="4"/>
        <v>TAK</v>
      </c>
      <c r="K75" t="str">
        <f t="shared" si="5"/>
        <v>C</v>
      </c>
    </row>
    <row r="76" spans="1:11" x14ac:dyDescent="0.25">
      <c r="A76">
        <v>75</v>
      </c>
      <c r="B76">
        <v>10.5</v>
      </c>
      <c r="C76">
        <v>2</v>
      </c>
      <c r="D76" t="s">
        <v>6</v>
      </c>
      <c r="E76" cm="1">
        <f t="array" ref="E76">_xlfn.IFS(E75=0,1,AND(E75=1,E74=1,E73=1),2,AND(E75=2,E74=2,E73=2),3,AND(E75=3,E74=3,E73=3),4,AND(E75=5,C75&gt;=20),0,AND(OR(E75=4,E75=5),OR(E74=4,E74=5),OR(E73=4,E73=5)), 5, TRUE,E75)</f>
        <v>4</v>
      </c>
      <c r="F76">
        <v>4</v>
      </c>
      <c r="H76" t="str">
        <f t="shared" si="3"/>
        <v>TAK</v>
      </c>
      <c r="I76" s="5" t="str" cm="1">
        <f t="array" ref="I76">_xlfn.IFS(I75=0,IF(B76&gt;=10,"C","S"),F76=0,0,TRUE,I75)</f>
        <v>C</v>
      </c>
      <c r="J76" t="str">
        <f t="shared" si="4"/>
        <v>TAK</v>
      </c>
      <c r="K76" t="str">
        <f t="shared" si="5"/>
        <v>C</v>
      </c>
    </row>
    <row r="77" spans="1:11" x14ac:dyDescent="0.25">
      <c r="A77">
        <v>76</v>
      </c>
      <c r="B77">
        <v>11</v>
      </c>
      <c r="C77">
        <v>22</v>
      </c>
      <c r="D77" t="s">
        <v>6</v>
      </c>
      <c r="E77" cm="1">
        <f t="array" ref="E77">_xlfn.IFS(E76=0,1,AND(E76=1,E75=1,E74=1),2,AND(E76=2,E75=2,E74=2),3,AND(E76=3,E75=3,E74=3),4,AND(E76=5,C76&gt;=20),0,AND(OR(E76=4,E76=5),OR(E75=4,E75=5),OR(E74=4,E74=5)), 5, TRUE,E76)</f>
        <v>5</v>
      </c>
      <c r="F77">
        <v>5</v>
      </c>
      <c r="H77" t="str">
        <f t="shared" si="3"/>
        <v>TAK</v>
      </c>
      <c r="I77" s="5" t="str" cm="1">
        <f t="array" ref="I77">_xlfn.IFS(I76=0,IF(B77&gt;=10,"C","S"),F77=0,0,TRUE,I76)</f>
        <v>C</v>
      </c>
      <c r="J77" t="str">
        <f t="shared" si="4"/>
        <v>TAK</v>
      </c>
      <c r="K77" t="str">
        <f t="shared" si="5"/>
        <v>C</v>
      </c>
    </row>
    <row r="78" spans="1:11" x14ac:dyDescent="0.25">
      <c r="A78">
        <v>77</v>
      </c>
      <c r="B78">
        <v>12.5</v>
      </c>
      <c r="C78">
        <v>0</v>
      </c>
      <c r="D78">
        <v>0</v>
      </c>
      <c r="E78" cm="1">
        <f t="array" ref="E78">_xlfn.IFS(E77=0,1,AND(E77=1,E76=1,E75=1),2,AND(E77=2,E76=2,E75=2),3,AND(E77=3,E76=3,E75=3),4,AND(E77=5,C77&gt;=20),0,AND(OR(E77=4,E77=5),OR(E76=4,E76=5),OR(E75=4,E75=5)), 5, TRUE,E77)</f>
        <v>0</v>
      </c>
      <c r="F78">
        <v>0</v>
      </c>
      <c r="H78" t="str">
        <f t="shared" si="3"/>
        <v>TAK</v>
      </c>
      <c r="I78" s="5" cm="1">
        <f t="array" ref="I78">_xlfn.IFS(I77=0,IF(B78&gt;=10,"C","S"),F78=0,0,TRUE,I77)</f>
        <v>0</v>
      </c>
      <c r="J78" t="str">
        <f t="shared" si="4"/>
        <v>TAK</v>
      </c>
      <c r="K78">
        <f t="shared" si="5"/>
        <v>0</v>
      </c>
    </row>
    <row r="79" spans="1:11" x14ac:dyDescent="0.25">
      <c r="A79">
        <v>78</v>
      </c>
      <c r="B79">
        <v>14</v>
      </c>
      <c r="C79">
        <v>2</v>
      </c>
      <c r="D79" t="s">
        <v>6</v>
      </c>
      <c r="E79" cm="1">
        <f t="array" ref="E79">_xlfn.IFS(E78=0,1,AND(E78=1,E77=1,E76=1),2,AND(E78=2,E77=2,E76=2),3,AND(E78=3,E77=3,E76=3),4,AND(E78=5,C78&gt;=20),0,AND(OR(E78=4,E78=5),OR(E77=4,E77=5),OR(E76=4,E76=5)), 5, TRUE,E78)</f>
        <v>1</v>
      </c>
      <c r="F79">
        <v>1</v>
      </c>
      <c r="H79" t="str">
        <f t="shared" si="3"/>
        <v>TAK</v>
      </c>
      <c r="I79" s="5" t="str" cm="1">
        <f t="array" ref="I79">_xlfn.IFS(I78=0,IF(B79&gt;=10,"C","S"),F79=0,0,TRUE,I78)</f>
        <v>C</v>
      </c>
      <c r="J79" t="str">
        <f t="shared" si="4"/>
        <v>TAK</v>
      </c>
      <c r="K79" t="str">
        <f t="shared" si="5"/>
        <v>C</v>
      </c>
    </row>
    <row r="80" spans="1:11" x14ac:dyDescent="0.25">
      <c r="A80">
        <v>79</v>
      </c>
      <c r="B80">
        <v>14.7</v>
      </c>
      <c r="C80">
        <v>4</v>
      </c>
      <c r="D80" t="s">
        <v>6</v>
      </c>
      <c r="E80" cm="1">
        <f t="array" ref="E80">_xlfn.IFS(E79=0,1,AND(E79=1,E78=1,E77=1),2,AND(E79=2,E78=2,E77=2),3,AND(E79=3,E78=3,E77=3),4,AND(E79=5,C79&gt;=20),0,AND(OR(E79=4,E79=5),OR(E78=4,E78=5),OR(E77=4,E77=5)), 5, TRUE,E79)</f>
        <v>1</v>
      </c>
      <c r="F80">
        <v>1</v>
      </c>
      <c r="H80" t="str">
        <f>IF(E80=F80,"TAK","NIE")</f>
        <v>TAK</v>
      </c>
      <c r="I80" s="5" t="str" cm="1">
        <f t="array" ref="I80">_xlfn.IFS(I79=0,IF(B80&gt;=10,"C","S"),F80=0,0,TRUE,I79)</f>
        <v>C</v>
      </c>
      <c r="J80" t="str">
        <f>IF(I80=D80,"TAK","NIE")</f>
        <v>TAK</v>
      </c>
      <c r="K80" t="str">
        <f>D80</f>
        <v>C</v>
      </c>
    </row>
    <row r="81" spans="1:11" x14ac:dyDescent="0.25">
      <c r="A81">
        <v>80</v>
      </c>
      <c r="B81">
        <v>14.1</v>
      </c>
      <c r="C81">
        <v>5</v>
      </c>
      <c r="D81" t="s">
        <v>7</v>
      </c>
      <c r="E81" cm="1">
        <f t="array" ref="E81">_xlfn.IFS(E80=0,1,AND(E80=1,E79=1,E78=1),2,AND(E80=2,E79=2,E78=2),3,AND(E80=3,E79=3,E78=3),4,AND(E80=5,C80&gt;=20),0,AND(OR(E80=4,E80=5),OR(E79=4,E79=5),OR(E78=4,E78=5)), 5, TRUE,E80)</f>
        <v>1</v>
      </c>
      <c r="F81">
        <v>1</v>
      </c>
      <c r="H81" t="str">
        <f t="shared" si="3"/>
        <v>TAK</v>
      </c>
      <c r="I81" s="5" t="str" cm="1">
        <f t="array" ref="I81">_xlfn.IFS(I80=0,IF(B81&gt;=10,"C","S"),F81=0,0,TRUE,I80)</f>
        <v>C</v>
      </c>
      <c r="J81" t="str">
        <f t="shared" si="4"/>
        <v>NIE</v>
      </c>
      <c r="K81" t="str">
        <f t="shared" si="5"/>
        <v>S</v>
      </c>
    </row>
    <row r="82" spans="1:11" x14ac:dyDescent="0.25">
      <c r="A82">
        <v>81</v>
      </c>
      <c r="B82">
        <v>11.9</v>
      </c>
      <c r="C82">
        <v>8</v>
      </c>
      <c r="D82" t="s">
        <v>6</v>
      </c>
      <c r="E82" cm="1">
        <f t="array" ref="E82">_xlfn.IFS(E81=0,1,AND(E81=1,E80=1,E79=1),2,AND(E81=2,E80=2,E79=2),3,AND(E81=3,E80=3,E79=3),4,AND(E81=5,C81&gt;=20),0,AND(OR(E81=4,E81=5),OR(E80=4,E80=5),OR(E79=4,E79=5)), 5, TRUE,E81)</f>
        <v>2</v>
      </c>
      <c r="F82">
        <v>2</v>
      </c>
      <c r="H82" t="str">
        <f t="shared" si="3"/>
        <v>TAK</v>
      </c>
      <c r="I82" s="5" t="str" cm="1">
        <f t="array" ref="I82">_xlfn.IFS(I81=0,IF(B82&gt;=10,"C","S"),F82=0,0,TRUE,I81)</f>
        <v>C</v>
      </c>
      <c r="J82" t="str">
        <f t="shared" si="4"/>
        <v>TAK</v>
      </c>
      <c r="K82" t="str">
        <f t="shared" si="5"/>
        <v>C</v>
      </c>
    </row>
    <row r="83" spans="1:11" x14ac:dyDescent="0.25">
      <c r="A83">
        <v>82</v>
      </c>
      <c r="B83">
        <v>8.6999999999999993</v>
      </c>
      <c r="C83">
        <v>6</v>
      </c>
      <c r="D83" t="s">
        <v>6</v>
      </c>
      <c r="E83" cm="1">
        <f t="array" ref="E83">_xlfn.IFS(E82=0,1,AND(E82=1,E81=1,E80=1),2,AND(E82=2,E81=2,E80=2),3,AND(E82=3,E81=3,E80=3),4,AND(E82=5,C82&gt;=20),0,AND(OR(E82=4,E82=5),OR(E81=4,E81=5),OR(E80=4,E80=5)), 5, TRUE,E82)</f>
        <v>2</v>
      </c>
      <c r="F83">
        <v>2</v>
      </c>
      <c r="H83" t="str">
        <f t="shared" si="3"/>
        <v>TAK</v>
      </c>
      <c r="I83" s="5" t="str" cm="1">
        <f t="array" ref="I83">_xlfn.IFS(I82=0,IF(B83&gt;=10,"C","S"),F83=0,0,TRUE,I82)</f>
        <v>C</v>
      </c>
      <c r="J83" t="str">
        <f t="shared" si="4"/>
        <v>TAK</v>
      </c>
      <c r="K83" t="str">
        <f t="shared" si="5"/>
        <v>C</v>
      </c>
    </row>
    <row r="84" spans="1:11" x14ac:dyDescent="0.25">
      <c r="A84">
        <v>83</v>
      </c>
      <c r="B84">
        <v>5.0999999999999996</v>
      </c>
      <c r="C84">
        <v>3</v>
      </c>
      <c r="D84" t="s">
        <v>6</v>
      </c>
      <c r="E84" cm="1">
        <f t="array" ref="E84">_xlfn.IFS(E83=0,1,AND(E83=1,E82=1,E81=1),2,AND(E83=2,E82=2,E81=2),3,AND(E83=3,E82=3,E81=3),4,AND(E83=5,C83&gt;=20),0,AND(OR(E83=4,E83=5),OR(E82=4,E82=5),OR(E81=4,E81=5)), 5, TRUE,E83)</f>
        <v>2</v>
      </c>
      <c r="F84">
        <v>2</v>
      </c>
      <c r="H84" t="str">
        <f t="shared" si="3"/>
        <v>TAK</v>
      </c>
      <c r="I84" s="5" t="str" cm="1">
        <f t="array" ref="I84">_xlfn.IFS(I83=0,IF(B84&gt;=10,"C","S"),F84=0,0,TRUE,I83)</f>
        <v>C</v>
      </c>
      <c r="J84" t="str">
        <f t="shared" si="4"/>
        <v>TAK</v>
      </c>
      <c r="K84" t="str">
        <f t="shared" si="5"/>
        <v>C</v>
      </c>
    </row>
    <row r="85" spans="1:11" x14ac:dyDescent="0.25">
      <c r="A85">
        <v>84</v>
      </c>
      <c r="B85">
        <v>2.2000000000000002</v>
      </c>
      <c r="C85">
        <v>1</v>
      </c>
      <c r="D85" t="s">
        <v>6</v>
      </c>
      <c r="E85" cm="1">
        <f t="array" ref="E85">_xlfn.IFS(E84=0,1,AND(E84=1,E83=1,E82=1),2,AND(E84=2,E83=2,E82=2),3,AND(E84=3,E83=3,E82=3),4,AND(E84=5,C84&gt;=20),0,AND(OR(E84=4,E84=5),OR(E83=4,E83=5),OR(E82=4,E82=5)), 5, TRUE,E84)</f>
        <v>3</v>
      </c>
      <c r="F85">
        <v>3</v>
      </c>
      <c r="H85" t="str">
        <f t="shared" si="3"/>
        <v>TAK</v>
      </c>
      <c r="I85" s="5" t="str" cm="1">
        <f t="array" ref="I85">_xlfn.IFS(I84=0,IF(B85&gt;=10,"C","S"),F85=0,0,TRUE,I84)</f>
        <v>C</v>
      </c>
      <c r="J85" t="str">
        <f t="shared" si="4"/>
        <v>TAK</v>
      </c>
      <c r="K85" t="str">
        <f t="shared" si="5"/>
        <v>C</v>
      </c>
    </row>
    <row r="86" spans="1:11" x14ac:dyDescent="0.25">
      <c r="A86">
        <v>85</v>
      </c>
      <c r="B86">
        <v>0.5</v>
      </c>
      <c r="C86">
        <v>5</v>
      </c>
      <c r="D86" t="s">
        <v>6</v>
      </c>
      <c r="E86" cm="1">
        <f t="array" ref="E86">_xlfn.IFS(E85=0,1,AND(E85=1,E84=1,E83=1),2,AND(E85=2,E84=2,E83=2),3,AND(E85=3,E84=3,E83=3),4,AND(E85=5,C85&gt;=20),0,AND(OR(E85=4,E85=5),OR(E84=4,E84=5),OR(E83=4,E83=5)), 5, TRUE,E85)</f>
        <v>3</v>
      </c>
      <c r="F86">
        <v>3</v>
      </c>
      <c r="H86" t="str">
        <f t="shared" si="3"/>
        <v>TAK</v>
      </c>
      <c r="I86" s="5" t="str" cm="1">
        <f t="array" ref="I86">_xlfn.IFS(I85=0,IF(B86&gt;=10,"C","S"),F86=0,0,TRUE,I85)</f>
        <v>C</v>
      </c>
      <c r="J86" t="str">
        <f t="shared" si="4"/>
        <v>TAK</v>
      </c>
      <c r="K86" t="str">
        <f t="shared" si="5"/>
        <v>C</v>
      </c>
    </row>
    <row r="87" spans="1:11" x14ac:dyDescent="0.25">
      <c r="A87">
        <v>86</v>
      </c>
      <c r="B87">
        <v>0.6</v>
      </c>
      <c r="C87">
        <v>13</v>
      </c>
      <c r="D87" t="s">
        <v>6</v>
      </c>
      <c r="E87" cm="1">
        <f t="array" ref="E87">_xlfn.IFS(E86=0,1,AND(E86=1,E85=1,E84=1),2,AND(E86=2,E85=2,E84=2),3,AND(E86=3,E85=3,E84=3),4,AND(E86=5,C86&gt;=20),0,AND(OR(E86=4,E86=5),OR(E85=4,E85=5),OR(E84=4,E84=5)), 5, TRUE,E86)</f>
        <v>3</v>
      </c>
      <c r="F87">
        <v>3</v>
      </c>
      <c r="H87" t="str">
        <f t="shared" si="3"/>
        <v>TAK</v>
      </c>
      <c r="I87" s="5" t="str" cm="1">
        <f t="array" ref="I87">_xlfn.IFS(I86=0,IF(B87&gt;=10,"C","S"),F87=0,0,TRUE,I86)</f>
        <v>C</v>
      </c>
      <c r="J87" t="str">
        <f t="shared" si="4"/>
        <v>TAK</v>
      </c>
      <c r="K87" t="str">
        <f t="shared" si="5"/>
        <v>C</v>
      </c>
    </row>
    <row r="88" spans="1:11" x14ac:dyDescent="0.25">
      <c r="A88">
        <v>87</v>
      </c>
      <c r="B88">
        <v>2.2999999999999998</v>
      </c>
      <c r="C88">
        <v>4</v>
      </c>
      <c r="D88" t="s">
        <v>6</v>
      </c>
      <c r="E88" cm="1">
        <f t="array" ref="E88">_xlfn.IFS(E87=0,1,AND(E87=1,E86=1,E85=1),2,AND(E87=2,E86=2,E85=2),3,AND(E87=3,E86=3,E85=3),4,AND(E87=5,C87&gt;=20),0,AND(OR(E87=4,E87=5),OR(E86=4,E86=5),OR(E85=4,E85=5)), 5, TRUE,E87)</f>
        <v>4</v>
      </c>
      <c r="F88">
        <v>4</v>
      </c>
      <c r="H88" t="str">
        <f t="shared" si="3"/>
        <v>TAK</v>
      </c>
      <c r="I88" s="5" t="str" cm="1">
        <f t="array" ref="I88">_xlfn.IFS(I87=0,IF(B88&gt;=10,"C","S"),F88=0,0,TRUE,I87)</f>
        <v>C</v>
      </c>
      <c r="J88" t="str">
        <f t="shared" si="4"/>
        <v>TAK</v>
      </c>
      <c r="K88" t="str">
        <f t="shared" si="5"/>
        <v>C</v>
      </c>
    </row>
    <row r="89" spans="1:11" x14ac:dyDescent="0.25">
      <c r="A89">
        <v>88</v>
      </c>
      <c r="B89">
        <v>5</v>
      </c>
      <c r="C89">
        <v>9</v>
      </c>
      <c r="D89" t="s">
        <v>6</v>
      </c>
      <c r="E89" cm="1">
        <f t="array" ref="E89">_xlfn.IFS(E88=0,1,AND(E88=1,E87=1,E86=1),2,AND(E88=2,E87=2,E86=2),3,AND(E88=3,E87=3,E86=3),4,AND(E88=5,C88&gt;=20),0,AND(OR(E88=4,E88=5),OR(E87=4,E87=5),OR(E86=4,E86=5)), 5, TRUE,E88)</f>
        <v>4</v>
      </c>
      <c r="F89">
        <v>4</v>
      </c>
      <c r="H89" t="str">
        <f t="shared" si="3"/>
        <v>TAK</v>
      </c>
      <c r="I89" s="5" t="str" cm="1">
        <f t="array" ref="I89">_xlfn.IFS(I88=0,IF(B89&gt;=10,"C","S"),F89=0,0,TRUE,I88)</f>
        <v>C</v>
      </c>
      <c r="J89" t="str">
        <f t="shared" si="4"/>
        <v>TAK</v>
      </c>
      <c r="K89" t="str">
        <f t="shared" si="5"/>
        <v>C</v>
      </c>
    </row>
    <row r="90" spans="1:11" x14ac:dyDescent="0.25">
      <c r="A90">
        <v>89</v>
      </c>
      <c r="B90">
        <v>7.9</v>
      </c>
      <c r="C90">
        <v>24</v>
      </c>
      <c r="D90" t="s">
        <v>6</v>
      </c>
      <c r="E90" cm="1">
        <f t="array" ref="E90">_xlfn.IFS(E89=0,1,AND(E89=1,E88=1,E87=1),2,AND(E89=2,E88=2,E87=2),3,AND(E89=3,E88=3,E87=3),4,AND(E89=5,C89&gt;=20),0,AND(OR(E89=4,E89=5),OR(E88=4,E88=5),OR(E87=4,E87=5)), 5, TRUE,E89)</f>
        <v>4</v>
      </c>
      <c r="F90">
        <v>4</v>
      </c>
      <c r="H90" t="str">
        <f>IF(E90=F90,"TAK","NIE")</f>
        <v>TAK</v>
      </c>
      <c r="I90" s="5" t="str" cm="1">
        <f t="array" ref="I90">_xlfn.IFS(I89=0,IF(B90&gt;=10,"C","S"),F90=0,0,TRUE,I89)</f>
        <v>C</v>
      </c>
      <c r="J90" t="str">
        <f>IF(I90=D90,"TAK","NIE")</f>
        <v>TAK</v>
      </c>
      <c r="K90" t="str">
        <f>D90</f>
        <v>C</v>
      </c>
    </row>
    <row r="91" spans="1:11" x14ac:dyDescent="0.25">
      <c r="A91">
        <v>90</v>
      </c>
      <c r="B91">
        <v>10</v>
      </c>
      <c r="C91">
        <v>15</v>
      </c>
      <c r="D91" t="s">
        <v>6</v>
      </c>
      <c r="E91" cm="1">
        <f t="array" ref="E91">_xlfn.IFS(E90=0,1,AND(E90=1,E89=1,E88=1),2,AND(E90=2,E89=2,E88=2),3,AND(E90=3,E89=3,E88=3),4,AND(E90=5,C90&gt;=20),0,AND(OR(E90=4,E90=5),OR(E89=4,E89=5),OR(E88=4,E88=5)), 5, TRUE,E90)</f>
        <v>5</v>
      </c>
      <c r="F91">
        <v>5</v>
      </c>
      <c r="H91" t="str">
        <f t="shared" si="3"/>
        <v>TAK</v>
      </c>
      <c r="I91" s="5" t="str" cm="1">
        <f t="array" ref="I91">_xlfn.IFS(I90=0,IF(B91&gt;=10,"C","S"),F91=0,0,TRUE,I90)</f>
        <v>C</v>
      </c>
      <c r="J91" t="str">
        <f t="shared" si="4"/>
        <v>TAK</v>
      </c>
      <c r="K91" t="str">
        <f t="shared" si="5"/>
        <v>C</v>
      </c>
    </row>
    <row r="92" spans="1:11" x14ac:dyDescent="0.25">
      <c r="A92">
        <v>91</v>
      </c>
      <c r="B92">
        <v>10.9</v>
      </c>
      <c r="C92">
        <v>29</v>
      </c>
      <c r="D92" t="s">
        <v>6</v>
      </c>
      <c r="E92" cm="1">
        <f t="array" ref="E92">_xlfn.IFS(E91=0,1,AND(E91=1,E90=1,E89=1),2,AND(E91=2,E90=2,E89=2),3,AND(E91=3,E90=3,E89=3),4,AND(E91=5,C91&gt;=20),0,AND(OR(E91=4,E91=5),OR(E90=4,E90=5),OR(E89=4,E89=5)), 5, TRUE,E91)</f>
        <v>5</v>
      </c>
      <c r="F92">
        <v>5</v>
      </c>
      <c r="H92" t="str">
        <f t="shared" si="3"/>
        <v>TAK</v>
      </c>
      <c r="I92" s="5" t="str" cm="1">
        <f t="array" ref="I92">_xlfn.IFS(I91=0,IF(B92&gt;=10,"C","S"),F92=0,0,TRUE,I91)</f>
        <v>C</v>
      </c>
      <c r="J92" t="str">
        <f t="shared" si="4"/>
        <v>TAK</v>
      </c>
      <c r="K92" t="str">
        <f t="shared" si="5"/>
        <v>C</v>
      </c>
    </row>
    <row r="93" spans="1:11" x14ac:dyDescent="0.25">
      <c r="A93">
        <v>92</v>
      </c>
      <c r="B93">
        <v>10.3</v>
      </c>
      <c r="C93">
        <v>0</v>
      </c>
      <c r="D93">
        <v>0</v>
      </c>
      <c r="E93" cm="1">
        <f t="array" ref="E93">_xlfn.IFS(E92=0,1,AND(E92=1,E91=1,E90=1),2,AND(E92=2,E91=2,E90=2),3,AND(E92=3,E91=3,E90=3),4,AND(E92=5,C92&gt;=20),0,AND(OR(E92=4,E92=5),OR(E91=4,E91=5),OR(E90=4,E90=5)), 5, TRUE,E92)</f>
        <v>0</v>
      </c>
      <c r="F93">
        <v>0</v>
      </c>
      <c r="H93" t="str">
        <f t="shared" si="3"/>
        <v>TAK</v>
      </c>
      <c r="I93" s="5" cm="1">
        <f t="array" ref="I93">_xlfn.IFS(I92=0,IF(B93&gt;=10,"C","S"),F93=0,0,TRUE,I92)</f>
        <v>0</v>
      </c>
      <c r="J93" t="str">
        <f t="shared" si="4"/>
        <v>TAK</v>
      </c>
      <c r="K93">
        <f t="shared" si="5"/>
        <v>0</v>
      </c>
    </row>
    <row r="94" spans="1:11" x14ac:dyDescent="0.25">
      <c r="A94">
        <v>93</v>
      </c>
      <c r="B94">
        <v>8.6999999999999993</v>
      </c>
      <c r="C94">
        <v>1</v>
      </c>
      <c r="D94" t="s">
        <v>7</v>
      </c>
      <c r="E94" cm="1">
        <f t="array" ref="E94">_xlfn.IFS(E93=0,1,AND(E93=1,E92=1,E91=1),2,AND(E93=2,E92=2,E91=2),3,AND(E93=3,E92=3,E91=3),4,AND(E93=5,C93&gt;=20),0,AND(OR(E93=4,E93=5),OR(E92=4,E92=5),OR(E91=4,E91=5)), 5, TRUE,E93)</f>
        <v>1</v>
      </c>
      <c r="F94">
        <v>1</v>
      </c>
      <c r="H94" t="str">
        <f t="shared" si="3"/>
        <v>TAK</v>
      </c>
      <c r="I94" s="5" t="str" cm="1">
        <f t="array" ref="I94">_xlfn.IFS(I93=0,IF(B94&gt;=10,"C","S"),F94=0,0,TRUE,I93)</f>
        <v>S</v>
      </c>
      <c r="J94" t="str">
        <f t="shared" si="4"/>
        <v>TAK</v>
      </c>
      <c r="K94" t="str">
        <f t="shared" si="5"/>
        <v>S</v>
      </c>
    </row>
    <row r="95" spans="1:11" x14ac:dyDescent="0.25">
      <c r="A95">
        <v>94</v>
      </c>
      <c r="B95">
        <v>6.7</v>
      </c>
      <c r="C95">
        <v>3</v>
      </c>
      <c r="D95" t="s">
        <v>7</v>
      </c>
      <c r="E95" cm="1">
        <f t="array" ref="E95">_xlfn.IFS(E94=0,1,AND(E94=1,E93=1,E92=1),2,AND(E94=2,E93=2,E92=2),3,AND(E94=3,E93=3,E92=3),4,AND(E94=5,C94&gt;=20),0,AND(OR(E94=4,E94=5),OR(E93=4,E93=5),OR(E92=4,E92=5)), 5, TRUE,E94)</f>
        <v>1</v>
      </c>
      <c r="F95">
        <v>1</v>
      </c>
      <c r="H95" t="str">
        <f t="shared" si="3"/>
        <v>TAK</v>
      </c>
      <c r="I95" s="5" t="str" cm="1">
        <f t="array" ref="I95">_xlfn.IFS(I94=0,IF(B95&gt;=10,"C","S"),F95=0,0,TRUE,I94)</f>
        <v>S</v>
      </c>
      <c r="J95" t="str">
        <f t="shared" si="4"/>
        <v>TAK</v>
      </c>
      <c r="K95" t="str">
        <f t="shared" si="5"/>
        <v>S</v>
      </c>
    </row>
    <row r="96" spans="1:11" x14ac:dyDescent="0.25">
      <c r="A96">
        <v>95</v>
      </c>
      <c r="B96">
        <v>5.3</v>
      </c>
      <c r="C96">
        <v>6</v>
      </c>
      <c r="D96" t="s">
        <v>7</v>
      </c>
      <c r="E96" cm="1">
        <f t="array" ref="E96">_xlfn.IFS(E95=0,1,AND(E95=1,E94=1,E93=1),2,AND(E95=2,E94=2,E93=2),3,AND(E95=3,E94=3,E93=3),4,AND(E95=5,C95&gt;=20),0,AND(OR(E95=4,E95=5),OR(E94=4,E94=5),OR(E93=4,E93=5)), 5, TRUE,E95)</f>
        <v>1</v>
      </c>
      <c r="F96">
        <v>1</v>
      </c>
      <c r="H96" t="str">
        <f t="shared" si="3"/>
        <v>TAK</v>
      </c>
      <c r="I96" s="5" t="str" cm="1">
        <f t="array" ref="I96">_xlfn.IFS(I95=0,IF(B96&gt;=10,"C","S"),F96=0,0,TRUE,I95)</f>
        <v>S</v>
      </c>
      <c r="J96" t="str">
        <f t="shared" si="4"/>
        <v>TAK</v>
      </c>
      <c r="K96" t="str">
        <f t="shared" si="5"/>
        <v>S</v>
      </c>
    </row>
    <row r="97" spans="1:11" x14ac:dyDescent="0.25">
      <c r="A97">
        <v>96</v>
      </c>
      <c r="B97">
        <v>5.2</v>
      </c>
      <c r="C97">
        <v>3</v>
      </c>
      <c r="D97" t="s">
        <v>7</v>
      </c>
      <c r="E97" cm="1">
        <f t="array" ref="E97">_xlfn.IFS(E96=0,1,AND(E96=1,E95=1,E94=1),2,AND(E96=2,E95=2,E94=2),3,AND(E96=3,E95=3,E94=3),4,AND(E96=5,C96&gt;=20),0,AND(OR(E96=4,E96=5),OR(E95=4,E95=5),OR(E94=4,E94=5)), 5, TRUE,E96)</f>
        <v>2</v>
      </c>
      <c r="F97">
        <v>2</v>
      </c>
      <c r="H97" t="str">
        <f t="shared" si="3"/>
        <v>TAK</v>
      </c>
      <c r="I97" s="5" t="str" cm="1">
        <f t="array" ref="I97">_xlfn.IFS(I96=0,IF(B97&gt;=10,"C","S"),F97=0,0,TRUE,I96)</f>
        <v>S</v>
      </c>
      <c r="J97" t="str">
        <f t="shared" si="4"/>
        <v>TAK</v>
      </c>
      <c r="K97" t="str">
        <f t="shared" si="5"/>
        <v>S</v>
      </c>
    </row>
    <row r="98" spans="1:11" x14ac:dyDescent="0.25">
      <c r="A98">
        <v>97</v>
      </c>
      <c r="B98">
        <v>6.8</v>
      </c>
      <c r="C98">
        <v>2</v>
      </c>
      <c r="D98" t="s">
        <v>7</v>
      </c>
      <c r="E98" cm="1">
        <f t="array" ref="E98">_xlfn.IFS(E97=0,1,AND(E97=1,E96=1,E95=1),2,AND(E97=2,E96=2,E95=2),3,AND(E97=3,E96=3,E95=3),4,AND(E97=5,C97&gt;=20),0,AND(OR(E97=4,E97=5),OR(E96=4,E96=5),OR(E95=4,E95=5)), 5, TRUE,E97)</f>
        <v>2</v>
      </c>
      <c r="F98">
        <v>2</v>
      </c>
      <c r="H98" t="str">
        <f t="shared" si="3"/>
        <v>TAK</v>
      </c>
      <c r="I98" s="5" t="str" cm="1">
        <f t="array" ref="I98">_xlfn.IFS(I97=0,IF(B98&gt;=10,"C","S"),F98=0,0,TRUE,I97)</f>
        <v>S</v>
      </c>
      <c r="J98" t="str">
        <f t="shared" si="4"/>
        <v>TAK</v>
      </c>
      <c r="K98" t="str">
        <f t="shared" si="5"/>
        <v>S</v>
      </c>
    </row>
    <row r="99" spans="1:11" x14ac:dyDescent="0.25">
      <c r="A99">
        <v>98</v>
      </c>
      <c r="B99">
        <v>9.8000000000000007</v>
      </c>
      <c r="C99">
        <v>11</v>
      </c>
      <c r="D99" t="s">
        <v>7</v>
      </c>
      <c r="E99" cm="1">
        <f t="array" ref="E99">_xlfn.IFS(E98=0,1,AND(E98=1,E97=1,E96=1),2,AND(E98=2,E97=2,E96=2),3,AND(E98=3,E97=3,E96=3),4,AND(E98=5,C98&gt;=20),0,AND(OR(E98=4,E98=5),OR(E97=4,E97=5),OR(E96=4,E96=5)), 5, TRUE,E98)</f>
        <v>2</v>
      </c>
      <c r="F99">
        <v>2</v>
      </c>
      <c r="H99" t="str">
        <f t="shared" si="3"/>
        <v>TAK</v>
      </c>
      <c r="I99" s="5" t="str" cm="1">
        <f t="array" ref="I99">_xlfn.IFS(I98=0,IF(B99&gt;=10,"C","S"),F99=0,0,TRUE,I98)</f>
        <v>S</v>
      </c>
      <c r="J99" t="str">
        <f t="shared" si="4"/>
        <v>TAK</v>
      </c>
      <c r="K99" t="str">
        <f t="shared" si="5"/>
        <v>S</v>
      </c>
    </row>
    <row r="100" spans="1:11" x14ac:dyDescent="0.25">
      <c r="A100">
        <v>99</v>
      </c>
      <c r="B100">
        <v>13.7</v>
      </c>
      <c r="C100">
        <v>8</v>
      </c>
      <c r="D100" t="s">
        <v>7</v>
      </c>
      <c r="E100" cm="1">
        <f t="array" ref="E100">_xlfn.IFS(E99=0,1,AND(E99=1,E98=1,E97=1),2,AND(E99=2,E98=2,E97=2),3,AND(E99=3,E98=3,E97=3),4,AND(E99=5,C99&gt;=20),0,AND(OR(E99=4,E99=5),OR(E98=4,E98=5),OR(E97=4,E97=5)), 5, TRUE,E99)</f>
        <v>3</v>
      </c>
      <c r="F100">
        <v>3</v>
      </c>
      <c r="H100" t="str">
        <f t="shared" ref="H100:H110" si="6">IF(E100=F100,"TAK","NIE")</f>
        <v>TAK</v>
      </c>
      <c r="I100" s="5" t="str" cm="1">
        <f t="array" ref="I100">_xlfn.IFS(I99=0,IF(B100&gt;=10,"C","S"),F100=0,0,TRUE,I99)</f>
        <v>S</v>
      </c>
      <c r="J100" t="str">
        <f t="shared" ref="J100:J110" si="7">IF(I100=D100,"TAK","NIE")</f>
        <v>TAK</v>
      </c>
      <c r="K100" t="str">
        <f t="shared" ref="K100:K110" si="8">D100</f>
        <v>S</v>
      </c>
    </row>
    <row r="101" spans="1:11" x14ac:dyDescent="0.25">
      <c r="A101">
        <v>100</v>
      </c>
      <c r="B101">
        <v>17.7</v>
      </c>
      <c r="C101">
        <v>6</v>
      </c>
      <c r="D101" t="s">
        <v>7</v>
      </c>
      <c r="E101" cm="1">
        <f t="array" ref="E101">_xlfn.IFS(E100=0,1,AND(E100=1,E99=1,E98=1),2,AND(E100=2,E99=2,E98=2),3,AND(E100=3,E99=3,E98=3),4,AND(E100=5,C100&gt;=20),0,AND(OR(E100=4,E100=5),OR(E99=4,E99=5),OR(E98=4,E98=5)), 5, TRUE,E100)</f>
        <v>3</v>
      </c>
      <c r="F101">
        <v>3</v>
      </c>
      <c r="H101" t="str">
        <f t="shared" si="6"/>
        <v>TAK</v>
      </c>
      <c r="I101" s="5" t="str" cm="1">
        <f t="array" ref="I101">_xlfn.IFS(I100=0,IF(B101&gt;=10,"C","S"),F101=0,0,TRUE,I100)</f>
        <v>S</v>
      </c>
      <c r="J101" t="str">
        <f t="shared" si="7"/>
        <v>TAK</v>
      </c>
      <c r="K101" t="str">
        <f t="shared" si="8"/>
        <v>S</v>
      </c>
    </row>
    <row r="102" spans="1:11" x14ac:dyDescent="0.25">
      <c r="A102">
        <v>101</v>
      </c>
      <c r="B102">
        <v>20.8</v>
      </c>
      <c r="C102">
        <v>5</v>
      </c>
      <c r="D102" t="s">
        <v>7</v>
      </c>
      <c r="E102" cm="1">
        <f t="array" ref="E102">_xlfn.IFS(E101=0,1,AND(E101=1,E100=1,E99=1),2,AND(E101=2,E100=2,E99=2),3,AND(E101=3,E100=3,E99=3),4,AND(E101=5,C101&gt;=20),0,AND(OR(E101=4,E101=5),OR(E100=4,E100=5),OR(E99=4,E99=5)), 5, TRUE,E101)</f>
        <v>3</v>
      </c>
      <c r="F102">
        <v>3</v>
      </c>
      <c r="H102" t="str">
        <f t="shared" si="6"/>
        <v>TAK</v>
      </c>
      <c r="I102" s="5" t="str" cm="1">
        <f t="array" ref="I102">_xlfn.IFS(I101=0,IF(B102&gt;=10,"C","S"),F102=0,0,TRUE,I101)</f>
        <v>S</v>
      </c>
      <c r="J102" t="str">
        <f t="shared" si="7"/>
        <v>TAK</v>
      </c>
      <c r="K102" t="str">
        <f t="shared" si="8"/>
        <v>S</v>
      </c>
    </row>
    <row r="103" spans="1:11" x14ac:dyDescent="0.25">
      <c r="A103">
        <v>102</v>
      </c>
      <c r="B103">
        <v>22.4</v>
      </c>
      <c r="C103">
        <v>20</v>
      </c>
      <c r="D103" t="s">
        <v>7</v>
      </c>
      <c r="E103" cm="1">
        <f t="array" ref="E103">_xlfn.IFS(E102=0,1,AND(E102=1,E101=1,E100=1),2,AND(E102=2,E101=2,E100=2),3,AND(E102=3,E101=3,E100=3),4,AND(E102=5,C102&gt;=20),0,AND(OR(E102=4,E102=5),OR(E101=4,E101=5),OR(E100=4,E100=5)), 5, TRUE,E102)</f>
        <v>4</v>
      </c>
      <c r="F103">
        <v>4</v>
      </c>
      <c r="H103" t="str">
        <f t="shared" si="6"/>
        <v>TAK</v>
      </c>
      <c r="I103" s="5" t="str" cm="1">
        <f t="array" ref="I103">_xlfn.IFS(I102=0,IF(B103&gt;=10,"C","S"),F103=0,0,TRUE,I102)</f>
        <v>S</v>
      </c>
      <c r="J103" t="str">
        <f t="shared" si="7"/>
        <v>TAK</v>
      </c>
      <c r="K103" t="str">
        <f t="shared" si="8"/>
        <v>S</v>
      </c>
    </row>
    <row r="104" spans="1:11" x14ac:dyDescent="0.25">
      <c r="A104">
        <v>103</v>
      </c>
      <c r="B104">
        <v>22.5</v>
      </c>
      <c r="C104">
        <v>17</v>
      </c>
      <c r="D104" t="s">
        <v>7</v>
      </c>
      <c r="E104" cm="1">
        <f t="array" ref="E104">_xlfn.IFS(E103=0,1,AND(E103=1,E102=1,E101=1),2,AND(E103=2,E102=2,E101=2),3,AND(E103=3,E102=3,E101=3),4,AND(E103=5,C103&gt;=20),0,AND(OR(E103=4,E103=5),OR(E102=4,E102=5),OR(E101=4,E101=5)), 5, TRUE,E103)</f>
        <v>4</v>
      </c>
      <c r="F104">
        <v>4</v>
      </c>
      <c r="H104" t="str">
        <f t="shared" si="6"/>
        <v>TAK</v>
      </c>
      <c r="I104" s="5" t="str" cm="1">
        <f t="array" ref="I104">_xlfn.IFS(I103=0,IF(B104&gt;=10,"C","S"),F104=0,0,TRUE,I103)</f>
        <v>S</v>
      </c>
      <c r="J104" t="str">
        <f t="shared" si="7"/>
        <v>TAK</v>
      </c>
      <c r="K104" t="str">
        <f t="shared" si="8"/>
        <v>S</v>
      </c>
    </row>
    <row r="105" spans="1:11" x14ac:dyDescent="0.25">
      <c r="A105">
        <v>104</v>
      </c>
      <c r="B105">
        <v>21.2</v>
      </c>
      <c r="C105">
        <v>11</v>
      </c>
      <c r="D105" t="s">
        <v>7</v>
      </c>
      <c r="E105" cm="1">
        <f t="array" ref="E105">_xlfn.IFS(E104=0,1,AND(E104=1,E103=1,E102=1),2,AND(E104=2,E103=2,E102=2),3,AND(E104=3,E103=3,E102=3),4,AND(E104=5,C104&gt;=20),0,AND(OR(E104=4,E104=5),OR(E103=4,E103=5),OR(E102=4,E102=5)), 5, TRUE,E104)</f>
        <v>4</v>
      </c>
      <c r="F105">
        <v>4</v>
      </c>
      <c r="H105" t="str">
        <f t="shared" si="6"/>
        <v>TAK</v>
      </c>
      <c r="I105" s="5" t="str" cm="1">
        <f t="array" ref="I105">_xlfn.IFS(I104=0,IF(B105&gt;=10,"C","S"),F105=0,0,TRUE,I104)</f>
        <v>S</v>
      </c>
      <c r="J105" t="str">
        <f t="shared" si="7"/>
        <v>TAK</v>
      </c>
      <c r="K105" t="str">
        <f t="shared" si="8"/>
        <v>S</v>
      </c>
    </row>
    <row r="106" spans="1:11" x14ac:dyDescent="0.25">
      <c r="A106">
        <v>105</v>
      </c>
      <c r="B106">
        <v>19.5</v>
      </c>
      <c r="C106">
        <v>27</v>
      </c>
      <c r="D106" t="s">
        <v>7</v>
      </c>
      <c r="E106" cm="1">
        <f t="array" ref="E106">_xlfn.IFS(E105=0,1,AND(E105=1,E104=1,E103=1),2,AND(E105=2,E104=2,E103=2),3,AND(E105=3,E104=3,E103=3),4,AND(E105=5,C105&gt;=20),0,AND(OR(E105=4,E105=5),OR(E104=4,E104=5),OR(E103=4,E103=5)), 5, TRUE,E105)</f>
        <v>5</v>
      </c>
      <c r="F106">
        <v>5</v>
      </c>
      <c r="H106" t="str">
        <f t="shared" si="6"/>
        <v>TAK</v>
      </c>
      <c r="I106" s="5" t="str" cm="1">
        <f t="array" ref="I106">_xlfn.IFS(I105=0,IF(B106&gt;=10,"C","S"),F106=0,0,TRUE,I105)</f>
        <v>S</v>
      </c>
      <c r="J106" t="str">
        <f t="shared" si="7"/>
        <v>TAK</v>
      </c>
      <c r="K106" t="str">
        <f t="shared" si="8"/>
        <v>S</v>
      </c>
    </row>
    <row r="107" spans="1:11" x14ac:dyDescent="0.25">
      <c r="A107">
        <v>106</v>
      </c>
      <c r="B107">
        <v>18.100000000000001</v>
      </c>
      <c r="C107">
        <v>0</v>
      </c>
      <c r="D107">
        <v>0</v>
      </c>
      <c r="E107" cm="1">
        <f t="array" ref="E107">_xlfn.IFS(E106=0,1,AND(E106=1,E105=1,E104=1),2,AND(E106=2,E105=2,E104=2),3,AND(E106=3,E105=3,E104=3),4,AND(E106=5,C106&gt;=20),0,AND(OR(E106=4,E106=5),OR(E105=4,E105=5),OR(E104=4,E104=5)), 5, TRUE,E106)</f>
        <v>0</v>
      </c>
      <c r="F107">
        <v>0</v>
      </c>
      <c r="H107" t="str">
        <f t="shared" si="6"/>
        <v>TAK</v>
      </c>
      <c r="I107" s="5" cm="1">
        <f t="array" ref="I107">_xlfn.IFS(I106=0,IF(B107&gt;=10,"C","S"),F107=0,0,TRUE,I106)</f>
        <v>0</v>
      </c>
      <c r="J107" t="str">
        <f t="shared" si="7"/>
        <v>TAK</v>
      </c>
      <c r="K107">
        <f t="shared" si="8"/>
        <v>0</v>
      </c>
    </row>
    <row r="108" spans="1:11" x14ac:dyDescent="0.25">
      <c r="A108">
        <v>107</v>
      </c>
      <c r="B108">
        <v>17.8</v>
      </c>
      <c r="C108">
        <v>5</v>
      </c>
      <c r="D108" t="s">
        <v>6</v>
      </c>
      <c r="E108" cm="1">
        <f t="array" ref="E108">_xlfn.IFS(E107=0,1,AND(E107=1,E106=1,E105=1),2,AND(E107=2,E106=2,E105=2),3,AND(E107=3,E106=3,E105=3),4,AND(E107=5,C107&gt;=20),0,AND(OR(E107=4,E107=5),OR(E106=4,E106=5),OR(E105=4,E105=5)), 5, TRUE,E107)</f>
        <v>1</v>
      </c>
      <c r="F108">
        <v>1</v>
      </c>
      <c r="H108" t="str">
        <f t="shared" si="6"/>
        <v>TAK</v>
      </c>
      <c r="I108" s="5" t="str" cm="1">
        <f t="array" ref="I108">_xlfn.IFS(I107=0,IF(B108&gt;=10,"C","S"),F108=0,0,TRUE,I107)</f>
        <v>C</v>
      </c>
      <c r="J108" t="str">
        <f t="shared" si="7"/>
        <v>TAK</v>
      </c>
      <c r="K108" t="str">
        <f t="shared" si="8"/>
        <v>C</v>
      </c>
    </row>
    <row r="109" spans="1:11" x14ac:dyDescent="0.25">
      <c r="A109">
        <v>108</v>
      </c>
      <c r="B109">
        <v>18.899999999999999</v>
      </c>
      <c r="C109">
        <v>3</v>
      </c>
      <c r="D109" t="s">
        <v>6</v>
      </c>
      <c r="E109" cm="1">
        <f t="array" ref="E109">_xlfn.IFS(E108=0,1,AND(E108=1,E107=1,E106=1),2,AND(E108=2,E107=2,E106=2),3,AND(E108=3,E107=3,E106=3),4,AND(E108=5,C108&gt;=20),0,AND(OR(E108=4,E108=5),OR(E107=4,E107=5),OR(E106=4,E106=5)), 5, TRUE,E108)</f>
        <v>1</v>
      </c>
      <c r="F109">
        <v>1</v>
      </c>
      <c r="H109" t="str">
        <f t="shared" si="6"/>
        <v>TAK</v>
      </c>
      <c r="I109" s="5" t="str" cm="1">
        <f t="array" ref="I109">_xlfn.IFS(I108=0,IF(B109&gt;=10,"C","S"),F109=0,0,TRUE,I108)</f>
        <v>C</v>
      </c>
      <c r="J109" t="str">
        <f t="shared" si="7"/>
        <v>TAK</v>
      </c>
      <c r="K109" t="str">
        <f t="shared" si="8"/>
        <v>C</v>
      </c>
    </row>
    <row r="110" spans="1:11" x14ac:dyDescent="0.25">
      <c r="A110">
        <v>109</v>
      </c>
      <c r="B110">
        <v>21.3</v>
      </c>
      <c r="C110">
        <v>1</v>
      </c>
      <c r="D110" t="s">
        <v>6</v>
      </c>
      <c r="E110" cm="1">
        <f t="array" ref="E110">_xlfn.IFS(E109=0,1,AND(E109=1,E108=1,E107=1),2,AND(E109=2,E108=2,E107=2),3,AND(E109=3,E108=3,E107=3),4,AND(E109=5,C109&gt;=20),0,AND(OR(E109=4,E109=5),OR(E108=4,E108=5),OR(E107=4,E107=5)), 5, TRUE,E109)</f>
        <v>1</v>
      </c>
      <c r="F110">
        <v>1</v>
      </c>
      <c r="H110" t="str">
        <f t="shared" si="6"/>
        <v>TAK</v>
      </c>
      <c r="I110" s="5" t="str" cm="1">
        <f t="array" ref="I110">_xlfn.IFS(I109=0,IF(B110&gt;=10,"C","S"),F110=0,0,TRUE,I109)</f>
        <v>C</v>
      </c>
      <c r="J110" t="str">
        <f t="shared" si="7"/>
        <v>TAK</v>
      </c>
      <c r="K110" t="str">
        <f t="shared" si="8"/>
        <v>C</v>
      </c>
    </row>
    <row r="111" spans="1:11" x14ac:dyDescent="0.25">
      <c r="A111">
        <v>110</v>
      </c>
      <c r="B111">
        <v>24.5</v>
      </c>
      <c r="C111">
        <v>7</v>
      </c>
      <c r="D111" t="s">
        <v>6</v>
      </c>
      <c r="E111" cm="1">
        <f t="array" ref="E111">_xlfn.IFS(E110=0,1,AND(E110=1,E109=1,E108=1),2,AND(E110=2,E109=2,E108=2),3,AND(E110=3,E109=3,E108=3),4,AND(E110=5,C110&gt;=20),0,AND(OR(E110=4,E110=5),OR(E109=4,E109=5),OR(E108=4,E108=5)), 5, TRUE,E110)</f>
        <v>2</v>
      </c>
      <c r="F111">
        <v>2</v>
      </c>
      <c r="H111" t="str">
        <f t="shared" si="3"/>
        <v>TAK</v>
      </c>
      <c r="I111" s="5" t="str" cm="1">
        <f t="array" ref="I111">_xlfn.IFS(I110=0,IF(B111&gt;=10,"C","S"),F111=0,0,TRUE,I110)</f>
        <v>C</v>
      </c>
      <c r="J111" t="str">
        <f t="shared" si="4"/>
        <v>TAK</v>
      </c>
      <c r="K111" t="str">
        <f t="shared" si="5"/>
        <v>C</v>
      </c>
    </row>
    <row r="112" spans="1:11" x14ac:dyDescent="0.25">
      <c r="A112">
        <v>111</v>
      </c>
      <c r="B112">
        <v>27.5</v>
      </c>
      <c r="C112">
        <v>12</v>
      </c>
      <c r="D112" t="s">
        <v>6</v>
      </c>
      <c r="E112" cm="1">
        <f t="array" ref="E112">_xlfn.IFS(E111=0,1,AND(E111=1,E110=1,E109=1),2,AND(E111=2,E110=2,E109=2),3,AND(E111=3,E110=3,E109=3),4,AND(E111=5,C111&gt;=20),0,AND(OR(E111=4,E111=5),OR(E110=4,E110=5),OR(E109=4,E109=5)), 5, TRUE,E111)</f>
        <v>2</v>
      </c>
      <c r="F112">
        <v>2</v>
      </c>
      <c r="H112" t="str">
        <f t="shared" si="3"/>
        <v>TAK</v>
      </c>
      <c r="I112" s="5" t="str" cm="1">
        <f t="array" ref="I112">_xlfn.IFS(I111=0,IF(B112&gt;=10,"C","S"),F112=0,0,TRUE,I111)</f>
        <v>C</v>
      </c>
      <c r="J112" t="str">
        <f t="shared" si="4"/>
        <v>TAK</v>
      </c>
      <c r="K112" t="str">
        <f t="shared" si="5"/>
        <v>C</v>
      </c>
    </row>
    <row r="113" spans="1:11" x14ac:dyDescent="0.25">
      <c r="A113">
        <v>112</v>
      </c>
      <c r="B113">
        <v>29.5</v>
      </c>
      <c r="C113">
        <v>6</v>
      </c>
      <c r="D113" t="s">
        <v>6</v>
      </c>
      <c r="E113" cm="1">
        <f t="array" ref="E113">_xlfn.IFS(E112=0,1,AND(E112=1,E111=1,E110=1),2,AND(E112=2,E111=2,E110=2),3,AND(E112=3,E111=3,E110=3),4,AND(E112=5,C112&gt;=20),0,AND(OR(E112=4,E112=5),OR(E111=4,E111=5),OR(E110=4,E110=5)), 5, TRUE,E112)</f>
        <v>2</v>
      </c>
      <c r="F113">
        <v>2</v>
      </c>
      <c r="H113" t="str">
        <f t="shared" si="3"/>
        <v>TAK</v>
      </c>
      <c r="I113" s="5" t="str" cm="1">
        <f t="array" ref="I113">_xlfn.IFS(I112=0,IF(B113&gt;=10,"C","S"),F113=0,0,TRUE,I112)</f>
        <v>C</v>
      </c>
      <c r="J113" t="str">
        <f t="shared" si="4"/>
        <v>TAK</v>
      </c>
      <c r="K113" t="str">
        <f t="shared" si="5"/>
        <v>C</v>
      </c>
    </row>
    <row r="114" spans="1:11" x14ac:dyDescent="0.25">
      <c r="A114">
        <v>113</v>
      </c>
      <c r="B114">
        <v>29.9</v>
      </c>
      <c r="C114">
        <v>5</v>
      </c>
      <c r="D114" t="s">
        <v>6</v>
      </c>
      <c r="E114" cm="1">
        <f t="array" ref="E114">_xlfn.IFS(E113=0,1,AND(E113=1,E112=1,E111=1),2,AND(E113=2,E112=2,E111=2),3,AND(E113=3,E112=3,E111=3),4,AND(E113=5,C113&gt;=20),0,AND(OR(E113=4,E113=5),OR(E112=4,E112=5),OR(E111=4,E111=5)), 5, TRUE,E113)</f>
        <v>3</v>
      </c>
      <c r="F114">
        <v>3</v>
      </c>
      <c r="H114" t="str">
        <f t="shared" si="3"/>
        <v>TAK</v>
      </c>
      <c r="I114" s="5" t="str" cm="1">
        <f t="array" ref="I114">_xlfn.IFS(I113=0,IF(B114&gt;=10,"C","S"),F114=0,0,TRUE,I113)</f>
        <v>C</v>
      </c>
      <c r="J114" t="str">
        <f t="shared" si="4"/>
        <v>TAK</v>
      </c>
      <c r="K114" t="str">
        <f t="shared" si="5"/>
        <v>C</v>
      </c>
    </row>
    <row r="115" spans="1:11" x14ac:dyDescent="0.25">
      <c r="A115">
        <v>114</v>
      </c>
      <c r="B115">
        <v>28.6</v>
      </c>
      <c r="C115">
        <v>6</v>
      </c>
      <c r="D115" t="s">
        <v>6</v>
      </c>
      <c r="E115" cm="1">
        <f t="array" ref="E115">_xlfn.IFS(E114=0,1,AND(E114=1,E113=1,E112=1),2,AND(E114=2,E113=2,E112=2),3,AND(E114=3,E113=3,E112=3),4,AND(E114=5,C114&gt;=20),0,AND(OR(E114=4,E114=5),OR(E113=4,E113=5),OR(E112=4,E112=5)), 5, TRUE,E114)</f>
        <v>3</v>
      </c>
      <c r="F115">
        <v>3</v>
      </c>
      <c r="H115" t="str">
        <f t="shared" si="3"/>
        <v>TAK</v>
      </c>
      <c r="I115" s="5" t="str" cm="1">
        <f t="array" ref="I115">_xlfn.IFS(I114=0,IF(B115&gt;=10,"C","S"),F115=0,0,TRUE,I114)</f>
        <v>C</v>
      </c>
      <c r="J115" t="str">
        <f t="shared" si="4"/>
        <v>TAK</v>
      </c>
      <c r="K115" t="str">
        <f t="shared" si="5"/>
        <v>C</v>
      </c>
    </row>
    <row r="116" spans="1:11" x14ac:dyDescent="0.25">
      <c r="A116">
        <v>115</v>
      </c>
      <c r="B116">
        <v>25.9</v>
      </c>
      <c r="C116">
        <v>6</v>
      </c>
      <c r="D116" t="s">
        <v>6</v>
      </c>
      <c r="E116" cm="1">
        <f t="array" ref="E116">_xlfn.IFS(E115=0,1,AND(E115=1,E114=1,E113=1),2,AND(E115=2,E114=2,E113=2),3,AND(E115=3,E114=3,E113=3),4,AND(E115=5,C115&gt;=20),0,AND(OR(E115=4,E115=5),OR(E114=4,E114=5),OR(E113=4,E113=5)), 5, TRUE,E115)</f>
        <v>3</v>
      </c>
      <c r="F116">
        <v>3</v>
      </c>
      <c r="H116" t="str">
        <f t="shared" si="3"/>
        <v>TAK</v>
      </c>
      <c r="I116" s="5" t="str" cm="1">
        <f t="array" ref="I116">_xlfn.IFS(I115=0,IF(B116&gt;=10,"C","S"),F116=0,0,TRUE,I115)</f>
        <v>C</v>
      </c>
      <c r="J116" t="str">
        <f t="shared" si="4"/>
        <v>TAK</v>
      </c>
      <c r="K116" t="str">
        <f t="shared" si="5"/>
        <v>C</v>
      </c>
    </row>
    <row r="117" spans="1:11" x14ac:dyDescent="0.25">
      <c r="A117">
        <v>116</v>
      </c>
      <c r="B117">
        <v>22.6</v>
      </c>
      <c r="C117">
        <v>23</v>
      </c>
      <c r="D117" t="s">
        <v>6</v>
      </c>
      <c r="E117" cm="1">
        <f t="array" ref="E117">_xlfn.IFS(E116=0,1,AND(E116=1,E115=1,E114=1),2,AND(E116=2,E115=2,E114=2),3,AND(E116=3,E115=3,E114=3),4,AND(E116=5,C116&gt;=20),0,AND(OR(E116=4,E116=5),OR(E115=4,E115=5),OR(E114=4,E114=5)), 5, TRUE,E116)</f>
        <v>4</v>
      </c>
      <c r="F117">
        <v>4</v>
      </c>
      <c r="H117" t="str">
        <f t="shared" si="3"/>
        <v>TAK</v>
      </c>
      <c r="I117" s="5" t="str" cm="1">
        <f t="array" ref="I117">_xlfn.IFS(I116=0,IF(B117&gt;=10,"C","S"),F117=0,0,TRUE,I116)</f>
        <v>C</v>
      </c>
      <c r="J117" t="str">
        <f t="shared" si="4"/>
        <v>TAK</v>
      </c>
      <c r="K117" t="str">
        <f t="shared" si="5"/>
        <v>C</v>
      </c>
    </row>
    <row r="118" spans="1:11" x14ac:dyDescent="0.25">
      <c r="A118">
        <v>117</v>
      </c>
      <c r="B118">
        <v>19.7</v>
      </c>
      <c r="C118">
        <v>16</v>
      </c>
      <c r="D118" t="s">
        <v>6</v>
      </c>
      <c r="E118" cm="1">
        <f t="array" ref="E118">_xlfn.IFS(E117=0,1,AND(E117=1,E116=1,E115=1),2,AND(E117=2,E116=2,E115=2),3,AND(E117=3,E116=3,E115=3),4,AND(E117=5,C117&gt;=20),0,AND(OR(E117=4,E117=5),OR(E116=4,E116=5),OR(E115=4,E115=5)), 5, TRUE,E117)</f>
        <v>4</v>
      </c>
      <c r="F118">
        <v>4</v>
      </c>
      <c r="H118" t="str">
        <f t="shared" si="3"/>
        <v>TAK</v>
      </c>
      <c r="I118" s="5" t="str" cm="1">
        <f t="array" ref="I118">_xlfn.IFS(I117=0,IF(B118&gt;=10,"C","S"),F118=0,0,TRUE,I117)</f>
        <v>C</v>
      </c>
      <c r="J118" t="str">
        <f t="shared" si="4"/>
        <v>TAK</v>
      </c>
      <c r="K118" t="str">
        <f t="shared" si="5"/>
        <v>C</v>
      </c>
    </row>
    <row r="119" spans="1:11" x14ac:dyDescent="0.25">
      <c r="A119">
        <v>118</v>
      </c>
      <c r="B119">
        <v>17.8</v>
      </c>
      <c r="C119">
        <v>1</v>
      </c>
      <c r="D119" t="s">
        <v>6</v>
      </c>
      <c r="E119" cm="1">
        <f t="array" ref="E119">_xlfn.IFS(E118=0,1,AND(E118=1,E117=1,E116=1),2,AND(E118=2,E117=2,E116=2),3,AND(E118=3,E117=3,E116=3),4,AND(E118=5,C118&gt;=20),0,AND(OR(E118=4,E118=5),OR(E117=4,E117=5),OR(E116=4,E116=5)), 5, TRUE,E118)</f>
        <v>4</v>
      </c>
      <c r="F119">
        <v>4</v>
      </c>
      <c r="H119" t="str">
        <f t="shared" si="3"/>
        <v>TAK</v>
      </c>
      <c r="I119" s="5" t="str" cm="1">
        <f t="array" ref="I119">_xlfn.IFS(I118=0,IF(B119&gt;=10,"C","S"),F119=0,0,TRUE,I118)</f>
        <v>C</v>
      </c>
      <c r="J119" t="str">
        <f t="shared" si="4"/>
        <v>TAK</v>
      </c>
      <c r="K119" t="str">
        <f t="shared" si="5"/>
        <v>C</v>
      </c>
    </row>
    <row r="120" spans="1:11" x14ac:dyDescent="0.25">
      <c r="A120">
        <v>119</v>
      </c>
      <c r="B120">
        <v>17.3</v>
      </c>
      <c r="C120">
        <v>27</v>
      </c>
      <c r="D120" t="s">
        <v>6</v>
      </c>
      <c r="E120" cm="1">
        <f t="array" ref="E120">_xlfn.IFS(E119=0,1,AND(E119=1,E118=1,E117=1),2,AND(E119=2,E118=2,E117=2),3,AND(E119=3,E118=3,E117=3),4,AND(E119=5,C119&gt;=20),0,AND(OR(E119=4,E119=5),OR(E118=4,E118=5),OR(E117=4,E117=5)), 5, TRUE,E119)</f>
        <v>5</v>
      </c>
      <c r="F120">
        <v>5</v>
      </c>
      <c r="H120" t="str">
        <f>IF(E120=F120,"TAK","NIE")</f>
        <v>TAK</v>
      </c>
      <c r="I120" s="5" t="str" cm="1">
        <f t="array" ref="I120">_xlfn.IFS(I119=0,IF(B120&gt;=10,"C","S"),F120=0,0,TRUE,I119)</f>
        <v>C</v>
      </c>
      <c r="J120" t="str">
        <f>IF(I120=D120,"TAK","NIE")</f>
        <v>TAK</v>
      </c>
      <c r="K120" t="str">
        <f>D120</f>
        <v>C</v>
      </c>
    </row>
    <row r="121" spans="1:11" x14ac:dyDescent="0.25">
      <c r="A121">
        <v>120</v>
      </c>
      <c r="B121">
        <v>18.2</v>
      </c>
      <c r="C121">
        <v>0</v>
      </c>
      <c r="D121">
        <v>0</v>
      </c>
      <c r="E121" cm="1">
        <f t="array" ref="E121">_xlfn.IFS(E120=0,1,AND(E120=1,E119=1,E118=1),2,AND(E120=2,E119=2,E118=2),3,AND(E120=3,E119=3,E118=3),4,AND(E120=5,C120&gt;=20),0,AND(OR(E120=4,E120=5),OR(E119=4,E119=5),OR(E118=4,E118=5)), 5, TRUE,E120)</f>
        <v>0</v>
      </c>
      <c r="F121">
        <v>0</v>
      </c>
      <c r="H121" t="str">
        <f t="shared" si="3"/>
        <v>TAK</v>
      </c>
      <c r="I121" s="5" cm="1">
        <f t="array" ref="I121">_xlfn.IFS(I120=0,IF(B121&gt;=10,"C","S"),F121=0,0,TRUE,I120)</f>
        <v>0</v>
      </c>
      <c r="J121" t="str">
        <f t="shared" si="4"/>
        <v>TAK</v>
      </c>
      <c r="K121">
        <f t="shared" si="5"/>
        <v>0</v>
      </c>
    </row>
    <row r="122" spans="1:11" x14ac:dyDescent="0.25">
      <c r="A122">
        <v>121</v>
      </c>
      <c r="B122">
        <v>19.8</v>
      </c>
      <c r="C122">
        <v>1</v>
      </c>
      <c r="D122" t="s">
        <v>6</v>
      </c>
      <c r="E122" cm="1">
        <f t="array" ref="E122">_xlfn.IFS(E121=0,1,AND(E121=1,E120=1,E119=1),2,AND(E121=2,E120=2,E119=2),3,AND(E121=3,E120=3,E119=3),4,AND(E121=5,C121&gt;=20),0,AND(OR(E121=4,E121=5),OR(E120=4,E120=5),OR(E119=4,E119=5)), 5, TRUE,E121)</f>
        <v>1</v>
      </c>
      <c r="F122">
        <v>1</v>
      </c>
      <c r="H122" t="str">
        <f t="shared" si="3"/>
        <v>TAK</v>
      </c>
      <c r="I122" s="5" t="str" cm="1">
        <f t="array" ref="I122">_xlfn.IFS(I121=0,IF(B122&gt;=10,"C","S"),F122=0,0,TRUE,I121)</f>
        <v>C</v>
      </c>
      <c r="J122" t="str">
        <f t="shared" si="4"/>
        <v>TAK</v>
      </c>
      <c r="K122" t="str">
        <f t="shared" si="5"/>
        <v>C</v>
      </c>
    </row>
    <row r="123" spans="1:11" x14ac:dyDescent="0.25">
      <c r="A123">
        <v>122</v>
      </c>
      <c r="B123">
        <v>21.4</v>
      </c>
      <c r="C123">
        <v>1</v>
      </c>
      <c r="D123" t="s">
        <v>6</v>
      </c>
      <c r="E123" cm="1">
        <f t="array" ref="E123">_xlfn.IFS(E122=0,1,AND(E122=1,E121=1,E120=1),2,AND(E122=2,E121=2,E120=2),3,AND(E122=3,E121=3,E120=3),4,AND(E122=5,C122&gt;=20),0,AND(OR(E122=4,E122=5),OR(E121=4,E121=5),OR(E120=4,E120=5)), 5, TRUE,E122)</f>
        <v>1</v>
      </c>
      <c r="F123">
        <v>1</v>
      </c>
      <c r="H123" t="str">
        <f t="shared" si="3"/>
        <v>TAK</v>
      </c>
      <c r="I123" s="5" t="str" cm="1">
        <f t="array" ref="I123">_xlfn.IFS(I122=0,IF(B123&gt;=10,"C","S"),F123=0,0,TRUE,I122)</f>
        <v>C</v>
      </c>
      <c r="J123" t="str">
        <f t="shared" si="4"/>
        <v>TAK</v>
      </c>
      <c r="K123" t="str">
        <f t="shared" si="5"/>
        <v>C</v>
      </c>
    </row>
    <row r="124" spans="1:11" x14ac:dyDescent="0.25">
      <c r="A124">
        <v>123</v>
      </c>
      <c r="B124">
        <v>22</v>
      </c>
      <c r="C124">
        <v>6</v>
      </c>
      <c r="D124" t="s">
        <v>6</v>
      </c>
      <c r="E124" cm="1">
        <f t="array" ref="E124">_xlfn.IFS(E123=0,1,AND(E123=1,E122=1,E121=1),2,AND(E123=2,E122=2,E121=2),3,AND(E123=3,E122=3,E121=3),4,AND(E123=5,C123&gt;=20),0,AND(OR(E123=4,E123=5),OR(E122=4,E122=5),OR(E121=4,E121=5)), 5, TRUE,E123)</f>
        <v>1</v>
      </c>
      <c r="F124">
        <v>1</v>
      </c>
      <c r="H124" t="str">
        <f t="shared" si="3"/>
        <v>TAK</v>
      </c>
      <c r="I124" s="5" t="str" cm="1">
        <f t="array" ref="I124">_xlfn.IFS(I123=0,IF(B124&gt;=10,"C","S"),F124=0,0,TRUE,I123)</f>
        <v>C</v>
      </c>
      <c r="J124" t="str">
        <f t="shared" si="4"/>
        <v>TAK</v>
      </c>
      <c r="K124" t="str">
        <f t="shared" si="5"/>
        <v>C</v>
      </c>
    </row>
    <row r="125" spans="1:11" x14ac:dyDescent="0.25">
      <c r="A125">
        <v>124</v>
      </c>
      <c r="B125">
        <v>21.2</v>
      </c>
      <c r="C125">
        <v>9</v>
      </c>
      <c r="D125" t="s">
        <v>6</v>
      </c>
      <c r="E125" cm="1">
        <f t="array" ref="E125">_xlfn.IFS(E124=0,1,AND(E124=1,E123=1,E122=1),2,AND(E124=2,E123=2,E122=2),3,AND(E124=3,E123=3,E122=3),4,AND(E124=5,C124&gt;=20),0,AND(OR(E124=4,E124=5),OR(E123=4,E123=5),OR(E122=4,E122=5)), 5, TRUE,E124)</f>
        <v>2</v>
      </c>
      <c r="F125">
        <v>2</v>
      </c>
      <c r="H125" t="str">
        <f t="shared" si="3"/>
        <v>TAK</v>
      </c>
      <c r="I125" s="5" t="str" cm="1">
        <f t="array" ref="I125">_xlfn.IFS(I124=0,IF(B125&gt;=10,"C","S"),F125=0,0,TRUE,I124)</f>
        <v>C</v>
      </c>
      <c r="J125" t="str">
        <f t="shared" si="4"/>
        <v>TAK</v>
      </c>
      <c r="K125" t="str">
        <f t="shared" si="5"/>
        <v>C</v>
      </c>
    </row>
    <row r="126" spans="1:11" x14ac:dyDescent="0.25">
      <c r="A126">
        <v>125</v>
      </c>
      <c r="B126">
        <v>18.8</v>
      </c>
      <c r="C126">
        <v>7</v>
      </c>
      <c r="D126" t="s">
        <v>6</v>
      </c>
      <c r="E126" cm="1">
        <f t="array" ref="E126">_xlfn.IFS(E125=0,1,AND(E125=1,E124=1,E123=1),2,AND(E125=2,E124=2,E123=2),3,AND(E125=3,E124=3,E123=3),4,AND(E125=5,C125&gt;=20),0,AND(OR(E125=4,E125=5),OR(E124=4,E124=5),OR(E123=4,E123=5)), 5, TRUE,E125)</f>
        <v>2</v>
      </c>
      <c r="F126">
        <v>2</v>
      </c>
      <c r="H126" t="str">
        <f t="shared" si="3"/>
        <v>TAK</v>
      </c>
      <c r="I126" s="5" t="str" cm="1">
        <f t="array" ref="I126">_xlfn.IFS(I125=0,IF(B126&gt;=10,"C","S"),F126=0,0,TRUE,I125)</f>
        <v>C</v>
      </c>
      <c r="J126" t="str">
        <f t="shared" si="4"/>
        <v>TAK</v>
      </c>
      <c r="K126" t="str">
        <f t="shared" si="5"/>
        <v>C</v>
      </c>
    </row>
    <row r="127" spans="1:11" x14ac:dyDescent="0.25">
      <c r="A127">
        <v>126</v>
      </c>
      <c r="B127">
        <v>15.2</v>
      </c>
      <c r="C127">
        <v>12</v>
      </c>
      <c r="D127" t="s">
        <v>6</v>
      </c>
      <c r="E127" cm="1">
        <f t="array" ref="E127">_xlfn.IFS(E126=0,1,AND(E126=1,E125=1,E124=1),2,AND(E126=2,E125=2,E124=2),3,AND(E126=3,E125=3,E124=3),4,AND(E126=5,C126&gt;=20),0,AND(OR(E126=4,E126=5),OR(E125=4,E125=5),OR(E124=4,E124=5)), 5, TRUE,E126)</f>
        <v>2</v>
      </c>
      <c r="F127">
        <v>2</v>
      </c>
      <c r="H127" t="str">
        <f t="shared" si="3"/>
        <v>TAK</v>
      </c>
      <c r="I127" s="5" t="str" cm="1">
        <f t="array" ref="I127">_xlfn.IFS(I126=0,IF(B127&gt;=10,"C","S"),F127=0,0,TRUE,I126)</f>
        <v>C</v>
      </c>
      <c r="J127" t="str">
        <f t="shared" si="4"/>
        <v>TAK</v>
      </c>
      <c r="K127" t="str">
        <f t="shared" si="5"/>
        <v>C</v>
      </c>
    </row>
    <row r="128" spans="1:11" x14ac:dyDescent="0.25">
      <c r="A128">
        <v>127</v>
      </c>
      <c r="B128">
        <v>11.1</v>
      </c>
      <c r="C128">
        <v>15</v>
      </c>
      <c r="D128" t="s">
        <v>6</v>
      </c>
      <c r="E128" cm="1">
        <f t="array" ref="E128">_xlfn.IFS(E127=0,1,AND(E127=1,E126=1,E125=1),2,AND(E127=2,E126=2,E125=2),3,AND(E127=3,E126=3,E125=3),4,AND(E127=5,C127&gt;=20),0,AND(OR(E127=4,E127=5),OR(E126=4,E126=5),OR(E125=4,E125=5)), 5, TRUE,E127)</f>
        <v>3</v>
      </c>
      <c r="F128">
        <v>3</v>
      </c>
      <c r="H128" t="str">
        <f t="shared" si="3"/>
        <v>TAK</v>
      </c>
      <c r="I128" s="5" t="str" cm="1">
        <f t="array" ref="I128">_xlfn.IFS(I127=0,IF(B128&gt;=10,"C","S"),F128=0,0,TRUE,I127)</f>
        <v>C</v>
      </c>
      <c r="J128" t="str">
        <f t="shared" si="4"/>
        <v>TAK</v>
      </c>
      <c r="K128" t="str">
        <f t="shared" si="5"/>
        <v>C</v>
      </c>
    </row>
    <row r="129" spans="1:11" x14ac:dyDescent="0.25">
      <c r="A129">
        <v>128</v>
      </c>
      <c r="B129">
        <v>7.5</v>
      </c>
      <c r="C129">
        <v>10</v>
      </c>
      <c r="D129" t="s">
        <v>6</v>
      </c>
      <c r="E129" cm="1">
        <f t="array" ref="E129">_xlfn.IFS(E128=0,1,AND(E128=1,E127=1,E126=1),2,AND(E128=2,E127=2,E126=2),3,AND(E128=3,E127=3,E126=3),4,AND(E128=5,C128&gt;=20),0,AND(OR(E128=4,E128=5),OR(E127=4,E127=5),OR(E126=4,E126=5)), 5, TRUE,E128)</f>
        <v>3</v>
      </c>
      <c r="F129">
        <v>3</v>
      </c>
      <c r="H129" t="str">
        <f t="shared" si="3"/>
        <v>TAK</v>
      </c>
      <c r="I129" s="5" t="str" cm="1">
        <f t="array" ref="I129">_xlfn.IFS(I128=0,IF(B129&gt;=10,"C","S"),F129=0,0,TRUE,I128)</f>
        <v>C</v>
      </c>
      <c r="J129" t="str">
        <f t="shared" si="4"/>
        <v>TAK</v>
      </c>
      <c r="K129" t="str">
        <f t="shared" si="5"/>
        <v>C</v>
      </c>
    </row>
    <row r="130" spans="1:11" x14ac:dyDescent="0.25">
      <c r="A130">
        <v>129</v>
      </c>
      <c r="B130">
        <v>5.2</v>
      </c>
      <c r="C130">
        <v>5</v>
      </c>
      <c r="D130" t="s">
        <v>6</v>
      </c>
      <c r="E130" cm="1">
        <f t="array" ref="E130">_xlfn.IFS(E129=0,1,AND(E129=1,E128=1,E127=1),2,AND(E129=2,E128=2,E127=2),3,AND(E129=3,E128=3,E127=3),4,AND(E129=5,C129&gt;=20),0,AND(OR(E129=4,E129=5),OR(E128=4,E128=5),OR(E127=4,E127=5)), 5, TRUE,E129)</f>
        <v>3</v>
      </c>
      <c r="F130">
        <v>3</v>
      </c>
      <c r="H130" t="str">
        <f>IF(E130=F130,"TAK","NIE")</f>
        <v>TAK</v>
      </c>
      <c r="I130" s="5" t="str" cm="1">
        <f t="array" ref="I130">_xlfn.IFS(I129=0,IF(B130&gt;=10,"C","S"),F130=0,0,TRUE,I129)</f>
        <v>C</v>
      </c>
      <c r="J130" t="str">
        <f>IF(I130=D130,"TAK","NIE")</f>
        <v>TAK</v>
      </c>
      <c r="K130" t="str">
        <f>D130</f>
        <v>C</v>
      </c>
    </row>
    <row r="131" spans="1:11" x14ac:dyDescent="0.25">
      <c r="A131">
        <v>130</v>
      </c>
      <c r="B131">
        <v>4.5999999999999996</v>
      </c>
      <c r="C131">
        <v>23</v>
      </c>
      <c r="D131" t="s">
        <v>6</v>
      </c>
      <c r="E131" cm="1">
        <f t="array" ref="E131">_xlfn.IFS(E130=0,1,AND(E130=1,E129=1,E128=1),2,AND(E130=2,E129=2,E128=2),3,AND(E130=3,E129=3,E128=3),4,AND(E130=5,C130&gt;=20),0,AND(OR(E130=4,E130=5),OR(E129=4,E129=5),OR(E128=4,E128=5)), 5, TRUE,E130)</f>
        <v>4</v>
      </c>
      <c r="F131">
        <v>4</v>
      </c>
      <c r="H131" t="str">
        <f t="shared" ref="H131:H194" si="9">IF(E131=F131,"TAK","NIE")</f>
        <v>TAK</v>
      </c>
      <c r="I131" s="5" t="str" cm="1">
        <f t="array" ref="I131">_xlfn.IFS(I130=0,IF(B131&gt;=10,"C","S"),F131=0,0,TRUE,I130)</f>
        <v>C</v>
      </c>
      <c r="J131" t="str">
        <f t="shared" ref="J131:J194" si="10">IF(I131=D131,"TAK","NIE")</f>
        <v>TAK</v>
      </c>
      <c r="K131" t="str">
        <f t="shared" ref="K131:K194" si="11">D131</f>
        <v>C</v>
      </c>
    </row>
    <row r="132" spans="1:11" x14ac:dyDescent="0.25">
      <c r="A132">
        <v>131</v>
      </c>
      <c r="B132">
        <v>5.5</v>
      </c>
      <c r="C132">
        <v>11</v>
      </c>
      <c r="D132" t="s">
        <v>6</v>
      </c>
      <c r="E132" cm="1">
        <f t="array" ref="E132">_xlfn.IFS(E131=0,1,AND(E131=1,E130=1,E129=1),2,AND(E131=2,E130=2,E129=2),3,AND(E131=3,E130=3,E129=3),4,AND(E131=5,C131&gt;=20),0,AND(OR(E131=4,E131=5),OR(E130=4,E130=5),OR(E129=4,E129=5)), 5, TRUE,E131)</f>
        <v>4</v>
      </c>
      <c r="F132">
        <v>4</v>
      </c>
      <c r="H132" t="str">
        <f t="shared" si="9"/>
        <v>TAK</v>
      </c>
      <c r="I132" s="5" t="str" cm="1">
        <f t="array" ref="I132">_xlfn.IFS(I131=0,IF(B132&gt;=10,"C","S"),F132=0,0,TRUE,I131)</f>
        <v>C</v>
      </c>
      <c r="J132" t="str">
        <f t="shared" si="10"/>
        <v>TAK</v>
      </c>
      <c r="K132" t="str">
        <f t="shared" si="11"/>
        <v>C</v>
      </c>
    </row>
    <row r="133" spans="1:11" x14ac:dyDescent="0.25">
      <c r="A133">
        <v>132</v>
      </c>
      <c r="B133">
        <v>7.3</v>
      </c>
      <c r="C133">
        <v>23</v>
      </c>
      <c r="D133" t="s">
        <v>6</v>
      </c>
      <c r="E133" cm="1">
        <f t="array" ref="E133">_xlfn.IFS(E132=0,1,AND(E132=1,E131=1,E130=1),2,AND(E132=2,E131=2,E130=2),3,AND(E132=3,E131=3,E130=3),4,AND(E132=5,C132&gt;=20),0,AND(OR(E132=4,E132=5),OR(E131=4,E131=5),OR(E130=4,E130=5)), 5, TRUE,E132)</f>
        <v>4</v>
      </c>
      <c r="F133">
        <v>4</v>
      </c>
      <c r="H133" t="str">
        <f t="shared" si="9"/>
        <v>TAK</v>
      </c>
      <c r="I133" s="5" t="str" cm="1">
        <f t="array" ref="I133">_xlfn.IFS(I132=0,IF(B133&gt;=10,"C","S"),F133=0,0,TRUE,I132)</f>
        <v>C</v>
      </c>
      <c r="J133" t="str">
        <f t="shared" si="10"/>
        <v>TAK</v>
      </c>
      <c r="K133" t="str">
        <f t="shared" si="11"/>
        <v>C</v>
      </c>
    </row>
    <row r="134" spans="1:11" x14ac:dyDescent="0.25">
      <c r="A134">
        <v>133</v>
      </c>
      <c r="B134">
        <v>9.3000000000000007</v>
      </c>
      <c r="C134">
        <v>16</v>
      </c>
      <c r="D134" t="s">
        <v>6</v>
      </c>
      <c r="E134" cm="1">
        <f t="array" ref="E134">_xlfn.IFS(E133=0,1,AND(E133=1,E132=1,E131=1),2,AND(E133=2,E132=2,E131=2),3,AND(E133=3,E132=3,E131=3),4,AND(E133=5,C133&gt;=20),0,AND(OR(E133=4,E133=5),OR(E132=4,E132=5),OR(E131=4,E131=5)), 5, TRUE,E133)</f>
        <v>5</v>
      </c>
      <c r="F134">
        <v>5</v>
      </c>
      <c r="H134" t="str">
        <f t="shared" si="9"/>
        <v>TAK</v>
      </c>
      <c r="I134" s="5" t="str" cm="1">
        <f t="array" ref="I134">_xlfn.IFS(I133=0,IF(B134&gt;=10,"C","S"),F134=0,0,TRUE,I133)</f>
        <v>C</v>
      </c>
      <c r="J134" t="str">
        <f t="shared" si="10"/>
        <v>TAK</v>
      </c>
      <c r="K134" t="str">
        <f t="shared" si="11"/>
        <v>C</v>
      </c>
    </row>
    <row r="135" spans="1:11" x14ac:dyDescent="0.25">
      <c r="A135">
        <v>134</v>
      </c>
      <c r="B135">
        <v>10.5</v>
      </c>
      <c r="C135">
        <v>21</v>
      </c>
      <c r="D135" t="s">
        <v>6</v>
      </c>
      <c r="E135" cm="1">
        <f t="array" ref="E135">_xlfn.IFS(E134=0,1,AND(E134=1,E133=1,E132=1),2,AND(E134=2,E133=2,E132=2),3,AND(E134=3,E133=3,E132=3),4,AND(E134=5,C134&gt;=20),0,AND(OR(E134=4,E134=5),OR(E133=4,E133=5),OR(E132=4,E132=5)), 5, TRUE,E134)</f>
        <v>5</v>
      </c>
      <c r="F135">
        <v>5</v>
      </c>
      <c r="H135" t="str">
        <f t="shared" si="9"/>
        <v>TAK</v>
      </c>
      <c r="I135" s="5" t="str" cm="1">
        <f t="array" ref="I135">_xlfn.IFS(I134=0,IF(B135&gt;=10,"C","S"),F135=0,0,TRUE,I134)</f>
        <v>C</v>
      </c>
      <c r="J135" t="str">
        <f t="shared" si="10"/>
        <v>TAK</v>
      </c>
      <c r="K135" t="str">
        <f t="shared" si="11"/>
        <v>C</v>
      </c>
    </row>
    <row r="136" spans="1:11" x14ac:dyDescent="0.25">
      <c r="A136">
        <v>135</v>
      </c>
      <c r="B136">
        <v>10.4</v>
      </c>
      <c r="C136">
        <v>0</v>
      </c>
      <c r="D136">
        <v>0</v>
      </c>
      <c r="E136" cm="1">
        <f t="array" ref="E136">_xlfn.IFS(E135=0,1,AND(E135=1,E134=1,E133=1),2,AND(E135=2,E134=2,E133=2),3,AND(E135=3,E134=3,E133=3),4,AND(E135=5,C135&gt;=20),0,AND(OR(E135=4,E135=5),OR(E134=4,E134=5),OR(E133=4,E133=5)), 5, TRUE,E135)</f>
        <v>0</v>
      </c>
      <c r="F136">
        <v>0</v>
      </c>
      <c r="H136" t="str">
        <f t="shared" si="9"/>
        <v>TAK</v>
      </c>
      <c r="I136" s="5" cm="1">
        <f t="array" ref="I136">_xlfn.IFS(I135=0,IF(B136&gt;=10,"C","S"),F136=0,0,TRUE,I135)</f>
        <v>0</v>
      </c>
      <c r="J136" t="str">
        <f t="shared" si="10"/>
        <v>TAK</v>
      </c>
      <c r="K136">
        <f t="shared" si="11"/>
        <v>0</v>
      </c>
    </row>
    <row r="137" spans="1:11" x14ac:dyDescent="0.25">
      <c r="A137">
        <v>136</v>
      </c>
      <c r="B137">
        <v>9</v>
      </c>
      <c r="C137">
        <v>4</v>
      </c>
      <c r="D137" t="s">
        <v>7</v>
      </c>
      <c r="E137" cm="1">
        <f t="array" ref="E137">_xlfn.IFS(E136=0,1,AND(E136=1,E135=1,E134=1),2,AND(E136=2,E135=2,E134=2),3,AND(E136=3,E135=3,E134=3),4,AND(E136=5,C136&gt;=20),0,AND(OR(E136=4,E136=5),OR(E135=4,E135=5),OR(E134=4,E134=5)), 5, TRUE,E136)</f>
        <v>1</v>
      </c>
      <c r="F137">
        <v>1</v>
      </c>
      <c r="H137" t="str">
        <f t="shared" si="9"/>
        <v>TAK</v>
      </c>
      <c r="I137" s="5" t="str" cm="1">
        <f t="array" ref="I137">_xlfn.IFS(I136=0,IF(B137&gt;=10,"C","S"),F137=0,0,TRUE,I136)</f>
        <v>S</v>
      </c>
      <c r="J137" t="str">
        <f t="shared" si="10"/>
        <v>TAK</v>
      </c>
      <c r="K137" t="str">
        <f t="shared" si="11"/>
        <v>S</v>
      </c>
    </row>
    <row r="138" spans="1:11" x14ac:dyDescent="0.25">
      <c r="A138">
        <v>137</v>
      </c>
      <c r="B138">
        <v>6.4</v>
      </c>
      <c r="C138">
        <v>3</v>
      </c>
      <c r="D138" t="s">
        <v>7</v>
      </c>
      <c r="E138" cm="1">
        <f t="array" ref="E138">_xlfn.IFS(E137=0,1,AND(E137=1,E136=1,E135=1),2,AND(E137=2,E136=2,E135=2),3,AND(E137=3,E136=3,E135=3),4,AND(E137=5,C137&gt;=20),0,AND(OR(E137=4,E137=5),OR(E136=4,E136=5),OR(E135=4,E135=5)), 5, TRUE,E137)</f>
        <v>1</v>
      </c>
      <c r="F138">
        <v>1</v>
      </c>
      <c r="H138" t="str">
        <f t="shared" si="9"/>
        <v>TAK</v>
      </c>
      <c r="I138" s="5" t="str" cm="1">
        <f t="array" ref="I138">_xlfn.IFS(I137=0,IF(B138&gt;=10,"C","S"),F138=0,0,TRUE,I137)</f>
        <v>S</v>
      </c>
      <c r="J138" t="str">
        <f t="shared" si="10"/>
        <v>TAK</v>
      </c>
      <c r="K138" t="str">
        <f t="shared" si="11"/>
        <v>S</v>
      </c>
    </row>
    <row r="139" spans="1:11" x14ac:dyDescent="0.25">
      <c r="A139">
        <v>138</v>
      </c>
      <c r="B139">
        <v>3.6</v>
      </c>
      <c r="C139">
        <v>3</v>
      </c>
      <c r="D139" t="s">
        <v>7</v>
      </c>
      <c r="E139" cm="1">
        <f t="array" ref="E139">_xlfn.IFS(E138=0,1,AND(E138=1,E137=1,E136=1),2,AND(E138=2,E137=2,E136=2),3,AND(E138=3,E137=3,E136=3),4,AND(E138=5,C138&gt;=20),0,AND(OR(E138=4,E138=5),OR(E137=4,E137=5),OR(E136=4,E136=5)), 5, TRUE,E138)</f>
        <v>1</v>
      </c>
      <c r="F139">
        <v>1</v>
      </c>
      <c r="H139" t="str">
        <f t="shared" si="9"/>
        <v>TAK</v>
      </c>
      <c r="I139" s="5" t="str" cm="1">
        <f t="array" ref="I139">_xlfn.IFS(I138=0,IF(B139&gt;=10,"C","S"),F139=0,0,TRUE,I138)</f>
        <v>S</v>
      </c>
      <c r="J139" t="str">
        <f t="shared" si="10"/>
        <v>TAK</v>
      </c>
      <c r="K139" t="str">
        <f t="shared" si="11"/>
        <v>S</v>
      </c>
    </row>
    <row r="140" spans="1:11" x14ac:dyDescent="0.25">
      <c r="A140">
        <v>139</v>
      </c>
      <c r="B140">
        <v>1.4</v>
      </c>
      <c r="C140">
        <v>4</v>
      </c>
      <c r="D140" t="s">
        <v>7</v>
      </c>
      <c r="E140" cm="1">
        <f t="array" ref="E140">_xlfn.IFS(E139=0,1,AND(E139=1,E138=1,E137=1),2,AND(E139=2,E138=2,E137=2),3,AND(E139=3,E138=3,E137=3),4,AND(E139=5,C139&gt;=20),0,AND(OR(E139=4,E139=5),OR(E138=4,E138=5),OR(E137=4,E137=5)), 5, TRUE,E139)</f>
        <v>2</v>
      </c>
      <c r="F140">
        <v>2</v>
      </c>
      <c r="H140" t="str">
        <f>IF(E140=F140,"TAK","NIE")</f>
        <v>TAK</v>
      </c>
      <c r="I140" s="5" t="str" cm="1">
        <f t="array" ref="I140">_xlfn.IFS(I139=0,IF(B140&gt;=10,"C","S"),F140=0,0,TRUE,I139)</f>
        <v>S</v>
      </c>
      <c r="J140" t="str">
        <f>IF(I140=D140,"TAK","NIE")</f>
        <v>TAK</v>
      </c>
      <c r="K140" t="str">
        <f>D140</f>
        <v>S</v>
      </c>
    </row>
    <row r="141" spans="1:11" x14ac:dyDescent="0.25">
      <c r="A141">
        <v>140</v>
      </c>
      <c r="B141">
        <v>0.5</v>
      </c>
      <c r="C141">
        <v>5</v>
      </c>
      <c r="D141" t="s">
        <v>7</v>
      </c>
      <c r="E141" cm="1">
        <f t="array" ref="E141">_xlfn.IFS(E140=0,1,AND(E140=1,E139=1,E138=1),2,AND(E140=2,E139=2,E138=2),3,AND(E140=3,E139=3,E138=3),4,AND(E140=5,C140&gt;=20),0,AND(OR(E140=4,E140=5),OR(E139=4,E139=5),OR(E138=4,E138=5)), 5, TRUE,E140)</f>
        <v>2</v>
      </c>
      <c r="F141">
        <v>2</v>
      </c>
      <c r="H141" t="str">
        <f t="shared" si="9"/>
        <v>TAK</v>
      </c>
      <c r="I141" s="5" t="str" cm="1">
        <f t="array" ref="I141">_xlfn.IFS(I140=0,IF(B141&gt;=10,"C","S"),F141=0,0,TRUE,I140)</f>
        <v>S</v>
      </c>
      <c r="J141" t="str">
        <f t="shared" si="10"/>
        <v>TAK</v>
      </c>
      <c r="K141" t="str">
        <f t="shared" si="11"/>
        <v>S</v>
      </c>
    </row>
    <row r="142" spans="1:11" x14ac:dyDescent="0.25">
      <c r="A142">
        <v>141</v>
      </c>
      <c r="B142">
        <v>1.4</v>
      </c>
      <c r="C142">
        <v>1</v>
      </c>
      <c r="D142" t="s">
        <v>7</v>
      </c>
      <c r="E142" cm="1">
        <f t="array" ref="E142">_xlfn.IFS(E141=0,1,AND(E141=1,E140=1,E139=1),2,AND(E141=2,E140=2,E139=2),3,AND(E141=3,E140=3,E139=3),4,AND(E141=5,C141&gt;=20),0,AND(OR(E141=4,E141=5),OR(E140=4,E140=5),OR(E139=4,E139=5)), 5, TRUE,E141)</f>
        <v>2</v>
      </c>
      <c r="F142">
        <v>2</v>
      </c>
      <c r="H142" t="str">
        <f t="shared" si="9"/>
        <v>TAK</v>
      </c>
      <c r="I142" s="5" t="str" cm="1">
        <f t="array" ref="I142">_xlfn.IFS(I141=0,IF(B142&gt;=10,"C","S"),F142=0,0,TRUE,I141)</f>
        <v>S</v>
      </c>
      <c r="J142" t="str">
        <f t="shared" si="10"/>
        <v>TAK</v>
      </c>
      <c r="K142" t="str">
        <f t="shared" si="11"/>
        <v>S</v>
      </c>
    </row>
    <row r="143" spans="1:11" x14ac:dyDescent="0.25">
      <c r="A143">
        <v>142</v>
      </c>
      <c r="B143">
        <v>3.9</v>
      </c>
      <c r="C143">
        <v>3</v>
      </c>
      <c r="D143" t="s">
        <v>7</v>
      </c>
      <c r="E143" cm="1">
        <f t="array" ref="E143">_xlfn.IFS(E142=0,1,AND(E142=1,E141=1,E140=1),2,AND(E142=2,E141=2,E140=2),3,AND(E142=3,E141=3,E140=3),4,AND(E142=5,C142&gt;=20),0,AND(OR(E142=4,E142=5),OR(E141=4,E141=5),OR(E140=4,E140=5)), 5, TRUE,E142)</f>
        <v>3</v>
      </c>
      <c r="F143">
        <v>3</v>
      </c>
      <c r="H143" t="str">
        <f t="shared" si="9"/>
        <v>TAK</v>
      </c>
      <c r="I143" s="5" t="str" cm="1">
        <f t="array" ref="I143">_xlfn.IFS(I142=0,IF(B143&gt;=10,"C","S"),F143=0,0,TRUE,I142)</f>
        <v>S</v>
      </c>
      <c r="J143" t="str">
        <f t="shared" si="10"/>
        <v>TAK</v>
      </c>
      <c r="K143" t="str">
        <f t="shared" si="11"/>
        <v>S</v>
      </c>
    </row>
    <row r="144" spans="1:11" x14ac:dyDescent="0.25">
      <c r="A144">
        <v>143</v>
      </c>
      <c r="B144">
        <v>7.3</v>
      </c>
      <c r="C144">
        <v>13</v>
      </c>
      <c r="D144" t="s">
        <v>7</v>
      </c>
      <c r="E144" cm="1">
        <f t="array" ref="E144">_xlfn.IFS(E143=0,1,AND(E143=1,E142=1,E141=1),2,AND(E143=2,E142=2,E141=2),3,AND(E143=3,E142=3,E141=3),4,AND(E143=5,C143&gt;=20),0,AND(OR(E143=4,E143=5),OR(E142=4,E142=5),OR(E141=4,E141=5)), 5, TRUE,E143)</f>
        <v>3</v>
      </c>
      <c r="F144">
        <v>3</v>
      </c>
      <c r="H144" t="str">
        <f t="shared" si="9"/>
        <v>TAK</v>
      </c>
      <c r="I144" s="5" t="str" cm="1">
        <f t="array" ref="I144">_xlfn.IFS(I143=0,IF(B144&gt;=10,"C","S"),F144=0,0,TRUE,I143)</f>
        <v>S</v>
      </c>
      <c r="J144" t="str">
        <f t="shared" si="10"/>
        <v>TAK</v>
      </c>
      <c r="K144" t="str">
        <f t="shared" si="11"/>
        <v>S</v>
      </c>
    </row>
    <row r="145" spans="1:11" x14ac:dyDescent="0.25">
      <c r="A145">
        <v>144</v>
      </c>
      <c r="B145">
        <v>10.9</v>
      </c>
      <c r="C145">
        <v>12</v>
      </c>
      <c r="D145" t="s">
        <v>7</v>
      </c>
      <c r="E145" cm="1">
        <f t="array" ref="E145">_xlfn.IFS(E144=0,1,AND(E144=1,E143=1,E142=1),2,AND(E144=2,E143=2,E142=2),3,AND(E144=3,E143=3,E142=3),4,AND(E144=5,C144&gt;=20),0,AND(OR(E144=4,E144=5),OR(E143=4,E143=5),OR(E142=4,E142=5)), 5, TRUE,E144)</f>
        <v>3</v>
      </c>
      <c r="F145">
        <v>3</v>
      </c>
      <c r="H145" t="str">
        <f t="shared" si="9"/>
        <v>TAK</v>
      </c>
      <c r="I145" s="5" t="str" cm="1">
        <f t="array" ref="I145">_xlfn.IFS(I144=0,IF(B145&gt;=10,"C","S"),F145=0,0,TRUE,I144)</f>
        <v>S</v>
      </c>
      <c r="J145" t="str">
        <f t="shared" si="10"/>
        <v>TAK</v>
      </c>
      <c r="K145" t="str">
        <f t="shared" si="11"/>
        <v>S</v>
      </c>
    </row>
    <row r="146" spans="1:11" x14ac:dyDescent="0.25">
      <c r="A146">
        <v>145</v>
      </c>
      <c r="B146">
        <v>13.7</v>
      </c>
      <c r="C146">
        <v>9</v>
      </c>
      <c r="D146" t="s">
        <v>7</v>
      </c>
      <c r="E146" cm="1">
        <f t="array" ref="E146">_xlfn.IFS(E145=0,1,AND(E145=1,E144=1,E143=1),2,AND(E145=2,E144=2,E143=2),3,AND(E145=3,E144=3,E143=3),4,AND(E145=5,C145&gt;=20),0,AND(OR(E145=4,E145=5),OR(E144=4,E144=5),OR(E143=4,E143=5)), 5, TRUE,E145)</f>
        <v>4</v>
      </c>
      <c r="F146">
        <v>4</v>
      </c>
      <c r="H146" t="str">
        <f t="shared" si="9"/>
        <v>TAK</v>
      </c>
      <c r="I146" s="5" t="str" cm="1">
        <f t="array" ref="I146">_xlfn.IFS(I145=0,IF(B146&gt;=10,"C","S"),F146=0,0,TRUE,I145)</f>
        <v>S</v>
      </c>
      <c r="J146" t="str">
        <f t="shared" si="10"/>
        <v>TAK</v>
      </c>
      <c r="K146" t="str">
        <f t="shared" si="11"/>
        <v>S</v>
      </c>
    </row>
    <row r="147" spans="1:11" x14ac:dyDescent="0.25">
      <c r="A147">
        <v>146</v>
      </c>
      <c r="B147">
        <v>15.1</v>
      </c>
      <c r="C147">
        <v>21</v>
      </c>
      <c r="D147" t="s">
        <v>7</v>
      </c>
      <c r="E147" cm="1">
        <f t="array" ref="E147">_xlfn.IFS(E146=0,1,AND(E146=1,E145=1,E144=1),2,AND(E146=2,E145=2,E144=2),3,AND(E146=3,E145=3,E144=3),4,AND(E146=5,C146&gt;=20),0,AND(OR(E146=4,E146=5),OR(E145=4,E145=5),OR(E144=4,E144=5)), 5, TRUE,E146)</f>
        <v>4</v>
      </c>
      <c r="F147">
        <v>4</v>
      </c>
      <c r="H147" t="str">
        <f t="shared" si="9"/>
        <v>TAK</v>
      </c>
      <c r="I147" s="5" t="str" cm="1">
        <f t="array" ref="I147">_xlfn.IFS(I146=0,IF(B147&gt;=10,"C","S"),F147=0,0,TRUE,I146)</f>
        <v>S</v>
      </c>
      <c r="J147" t="str">
        <f t="shared" si="10"/>
        <v>TAK</v>
      </c>
      <c r="K147" t="str">
        <f t="shared" si="11"/>
        <v>S</v>
      </c>
    </row>
    <row r="148" spans="1:11" x14ac:dyDescent="0.25">
      <c r="A148">
        <v>147</v>
      </c>
      <c r="B148">
        <v>15.1</v>
      </c>
      <c r="C148">
        <v>14</v>
      </c>
      <c r="D148" t="s">
        <v>7</v>
      </c>
      <c r="E148" cm="1">
        <f t="array" ref="E148">_xlfn.IFS(E147=0,1,AND(E147=1,E146=1,E145=1),2,AND(E147=2,E146=2,E145=2),3,AND(E147=3,E146=3,E145=3),4,AND(E147=5,C147&gt;=20),0,AND(OR(E147=4,E147=5),OR(E146=4,E146=5),OR(E145=4,E145=5)), 5, TRUE,E147)</f>
        <v>4</v>
      </c>
      <c r="F148">
        <v>4</v>
      </c>
      <c r="H148" t="str">
        <f t="shared" si="9"/>
        <v>TAK</v>
      </c>
      <c r="I148" s="5" t="str" cm="1">
        <f t="array" ref="I148">_xlfn.IFS(I147=0,IF(B148&gt;=10,"C","S"),F148=0,0,TRUE,I147)</f>
        <v>S</v>
      </c>
      <c r="J148" t="str">
        <f t="shared" si="10"/>
        <v>TAK</v>
      </c>
      <c r="K148" t="str">
        <f t="shared" si="11"/>
        <v>S</v>
      </c>
    </row>
    <row r="149" spans="1:11" x14ac:dyDescent="0.25">
      <c r="A149">
        <v>148</v>
      </c>
      <c r="B149">
        <v>13.9</v>
      </c>
      <c r="C149">
        <v>11</v>
      </c>
      <c r="D149" t="s">
        <v>7</v>
      </c>
      <c r="E149" cm="1">
        <f t="array" ref="E149">_xlfn.IFS(E148=0,1,AND(E148=1,E147=1,E146=1),2,AND(E148=2,E147=2,E146=2),3,AND(E148=3,E147=3,E146=3),4,AND(E148=5,C148&gt;=20),0,AND(OR(E148=4,E148=5),OR(E147=4,E147=5),OR(E146=4,E146=5)), 5, TRUE,E148)</f>
        <v>5</v>
      </c>
      <c r="F149">
        <v>5</v>
      </c>
      <c r="H149" t="str">
        <f t="shared" si="9"/>
        <v>TAK</v>
      </c>
      <c r="I149" s="5" t="str" cm="1">
        <f t="array" ref="I149">_xlfn.IFS(I148=0,IF(B149&gt;=10,"C","S"),F149=0,0,TRUE,I148)</f>
        <v>S</v>
      </c>
      <c r="J149" t="str">
        <f t="shared" si="10"/>
        <v>TAK</v>
      </c>
      <c r="K149" t="str">
        <f t="shared" si="11"/>
        <v>S</v>
      </c>
    </row>
    <row r="150" spans="1:11" x14ac:dyDescent="0.25">
      <c r="A150">
        <v>149</v>
      </c>
      <c r="B150">
        <v>12.3</v>
      </c>
      <c r="C150">
        <v>20</v>
      </c>
      <c r="D150" t="s">
        <v>7</v>
      </c>
      <c r="E150" cm="1">
        <f t="array" ref="E150">_xlfn.IFS(E149=0,1,AND(E149=1,E148=1,E147=1),2,AND(E149=2,E148=2,E147=2),3,AND(E149=3,E148=3,E147=3),4,AND(E149=5,C149&gt;=20),0,AND(OR(E149=4,E149=5),OR(E148=4,E148=5),OR(E147=4,E147=5)), 5, TRUE,E149)</f>
        <v>5</v>
      </c>
      <c r="F150">
        <v>5</v>
      </c>
      <c r="H150" t="str">
        <f>IF(E150=F150,"TAK","NIE")</f>
        <v>TAK</v>
      </c>
      <c r="I150" s="5" t="str" cm="1">
        <f t="array" ref="I150">_xlfn.IFS(I149=0,IF(B150&gt;=10,"C","S"),F150=0,0,TRUE,I149)</f>
        <v>S</v>
      </c>
      <c r="J150" t="str">
        <f>IF(I150=D150,"TAK","NIE")</f>
        <v>TAK</v>
      </c>
      <c r="K150" t="str">
        <f>D150</f>
        <v>S</v>
      </c>
    </row>
    <row r="151" spans="1:11" x14ac:dyDescent="0.25">
      <c r="A151">
        <v>150</v>
      </c>
      <c r="B151">
        <v>11.2</v>
      </c>
      <c r="C151">
        <v>0</v>
      </c>
      <c r="D151">
        <v>0</v>
      </c>
      <c r="E151" cm="1">
        <f t="array" ref="E151">_xlfn.IFS(E150=0,1,AND(E150=1,E149=1,E148=1),2,AND(E150=2,E149=2,E148=2),3,AND(E150=3,E149=3,E148=3),4,AND(E150=5,C150&gt;=20),0,AND(OR(E150=4,E150=5),OR(E149=4,E149=5),OR(E148=4,E148=5)), 5, TRUE,E150)</f>
        <v>0</v>
      </c>
      <c r="F151">
        <v>0</v>
      </c>
      <c r="H151" t="str">
        <f t="shared" si="9"/>
        <v>TAK</v>
      </c>
      <c r="I151" s="5" cm="1">
        <f t="array" ref="I151">_xlfn.IFS(I150=0,IF(B151&gt;=10,"C","S"),F151=0,0,TRUE,I150)</f>
        <v>0</v>
      </c>
      <c r="J151" t="str">
        <f t="shared" si="10"/>
        <v>TAK</v>
      </c>
      <c r="K151">
        <f t="shared" si="11"/>
        <v>0</v>
      </c>
    </row>
    <row r="152" spans="1:11" x14ac:dyDescent="0.25">
      <c r="A152">
        <v>151</v>
      </c>
      <c r="B152">
        <v>11.3</v>
      </c>
      <c r="C152">
        <v>6</v>
      </c>
      <c r="D152" t="s">
        <v>6</v>
      </c>
      <c r="E152" cm="1">
        <f t="array" ref="E152">_xlfn.IFS(E151=0,1,AND(E151=1,E150=1,E149=1),2,AND(E151=2,E150=2,E149=2),3,AND(E151=3,E150=3,E149=3),4,AND(E151=5,C151&gt;=20),0,AND(OR(E151=4,E151=5),OR(E150=4,E150=5),OR(E149=4,E149=5)), 5, TRUE,E151)</f>
        <v>1</v>
      </c>
      <c r="F152">
        <v>1</v>
      </c>
      <c r="H152" t="str">
        <f t="shared" si="9"/>
        <v>TAK</v>
      </c>
      <c r="I152" s="5" t="str" cm="1">
        <f t="array" ref="I152">_xlfn.IFS(I151=0,IF(B152&gt;=10,"C","S"),F152=0,0,TRUE,I151)</f>
        <v>C</v>
      </c>
      <c r="J152" t="str">
        <f t="shared" si="10"/>
        <v>TAK</v>
      </c>
      <c r="K152" t="str">
        <f t="shared" si="11"/>
        <v>C</v>
      </c>
    </row>
    <row r="153" spans="1:11" x14ac:dyDescent="0.25">
      <c r="A153">
        <v>152</v>
      </c>
      <c r="B153">
        <v>12.9</v>
      </c>
      <c r="C153">
        <v>3</v>
      </c>
      <c r="D153" t="s">
        <v>6</v>
      </c>
      <c r="E153" cm="1">
        <f t="array" ref="E153">_xlfn.IFS(E152=0,1,AND(E152=1,E151=1,E150=1),2,AND(E152=2,E151=2,E150=2),3,AND(E152=3,E151=3,E150=3),4,AND(E152=5,C152&gt;=20),0,AND(OR(E152=4,E152=5),OR(E151=4,E151=5),OR(E150=4,E150=5)), 5, TRUE,E152)</f>
        <v>1</v>
      </c>
      <c r="F153">
        <v>1</v>
      </c>
      <c r="H153" t="str">
        <f t="shared" si="9"/>
        <v>TAK</v>
      </c>
      <c r="I153" s="5" t="str" cm="1">
        <f t="array" ref="I153">_xlfn.IFS(I152=0,IF(B153&gt;=10,"C","S"),F153=0,0,TRUE,I152)</f>
        <v>C</v>
      </c>
      <c r="J153" t="str">
        <f t="shared" si="10"/>
        <v>TAK</v>
      </c>
      <c r="K153" t="str">
        <f t="shared" si="11"/>
        <v>C</v>
      </c>
    </row>
    <row r="154" spans="1:11" x14ac:dyDescent="0.25">
      <c r="A154">
        <v>153</v>
      </c>
      <c r="B154">
        <v>16</v>
      </c>
      <c r="C154">
        <v>6</v>
      </c>
      <c r="D154" t="s">
        <v>6</v>
      </c>
      <c r="E154" cm="1">
        <f t="array" ref="E154">_xlfn.IFS(E153=0,1,AND(E153=1,E152=1,E151=1),2,AND(E153=2,E152=2,E151=2),3,AND(E153=3,E152=3,E151=3),4,AND(E153=5,C153&gt;=20),0,AND(OR(E153=4,E153=5),OR(E152=4,E152=5),OR(E151=4,E151=5)), 5, TRUE,E153)</f>
        <v>1</v>
      </c>
      <c r="F154">
        <v>1</v>
      </c>
      <c r="H154" t="str">
        <f t="shared" si="9"/>
        <v>TAK</v>
      </c>
      <c r="I154" s="5" t="str" cm="1">
        <f t="array" ref="I154">_xlfn.IFS(I153=0,IF(B154&gt;=10,"C","S"),F154=0,0,TRUE,I153)</f>
        <v>C</v>
      </c>
      <c r="J154" t="str">
        <f t="shared" si="10"/>
        <v>TAK</v>
      </c>
      <c r="K154" t="str">
        <f t="shared" si="11"/>
        <v>C</v>
      </c>
    </row>
    <row r="155" spans="1:11" x14ac:dyDescent="0.25">
      <c r="A155">
        <v>154</v>
      </c>
      <c r="B155">
        <v>19.8</v>
      </c>
      <c r="C155">
        <v>2</v>
      </c>
      <c r="D155" t="s">
        <v>6</v>
      </c>
      <c r="E155" cm="1">
        <f t="array" ref="E155">_xlfn.IFS(E154=0,1,AND(E154=1,E153=1,E152=1),2,AND(E154=2,E153=2,E152=2),3,AND(E154=3,E153=3,E152=3),4,AND(E154=5,C154&gt;=20),0,AND(OR(E154=4,E154=5),OR(E153=4,E153=5),OR(E152=4,E152=5)), 5, TRUE,E154)</f>
        <v>2</v>
      </c>
      <c r="F155">
        <v>2</v>
      </c>
      <c r="H155" t="str">
        <f t="shared" si="9"/>
        <v>TAK</v>
      </c>
      <c r="I155" s="5" t="str" cm="1">
        <f t="array" ref="I155">_xlfn.IFS(I154=0,IF(B155&gt;=10,"C","S"),F155=0,0,TRUE,I154)</f>
        <v>C</v>
      </c>
      <c r="J155" t="str">
        <f t="shared" si="10"/>
        <v>TAK</v>
      </c>
      <c r="K155" t="str">
        <f t="shared" si="11"/>
        <v>C</v>
      </c>
    </row>
    <row r="156" spans="1:11" x14ac:dyDescent="0.25">
      <c r="A156">
        <v>155</v>
      </c>
      <c r="B156">
        <v>23.6</v>
      </c>
      <c r="C156">
        <v>11</v>
      </c>
      <c r="D156" t="s">
        <v>6</v>
      </c>
      <c r="E156" cm="1">
        <f t="array" ref="E156">_xlfn.IFS(E155=0,1,AND(E155=1,E154=1,E153=1),2,AND(E155=2,E154=2,E153=2),3,AND(E155=3,E154=3,E153=3),4,AND(E155=5,C155&gt;=20),0,AND(OR(E155=4,E155=5),OR(E154=4,E154=5),OR(E153=4,E153=5)), 5, TRUE,E155)</f>
        <v>2</v>
      </c>
      <c r="F156">
        <v>2</v>
      </c>
      <c r="H156" t="str">
        <f t="shared" si="9"/>
        <v>TAK</v>
      </c>
      <c r="I156" s="5" t="str" cm="1">
        <f t="array" ref="I156">_xlfn.IFS(I155=0,IF(B156&gt;=10,"C","S"),F156=0,0,TRUE,I155)</f>
        <v>C</v>
      </c>
      <c r="J156" t="str">
        <f t="shared" si="10"/>
        <v>TAK</v>
      </c>
      <c r="K156" t="str">
        <f t="shared" si="11"/>
        <v>C</v>
      </c>
    </row>
    <row r="157" spans="1:11" x14ac:dyDescent="0.25">
      <c r="A157">
        <v>156</v>
      </c>
      <c r="B157">
        <v>26.4</v>
      </c>
      <c r="C157">
        <v>11</v>
      </c>
      <c r="D157" t="s">
        <v>6</v>
      </c>
      <c r="E157" cm="1">
        <f t="array" ref="E157">_xlfn.IFS(E156=0,1,AND(E156=1,E155=1,E154=1),2,AND(E156=2,E155=2,E154=2),3,AND(E156=3,E155=3,E154=3),4,AND(E156=5,C156&gt;=20),0,AND(OR(E156=4,E156=5),OR(E155=4,E155=5),OR(E154=4,E154=5)), 5, TRUE,E156)</f>
        <v>2</v>
      </c>
      <c r="F157">
        <v>2</v>
      </c>
      <c r="H157" t="str">
        <f t="shared" si="9"/>
        <v>TAK</v>
      </c>
      <c r="I157" s="5" t="str" cm="1">
        <f t="array" ref="I157">_xlfn.IFS(I156=0,IF(B157&gt;=10,"C","S"),F157=0,0,TRUE,I156)</f>
        <v>C</v>
      </c>
      <c r="J157" t="str">
        <f t="shared" si="10"/>
        <v>TAK</v>
      </c>
      <c r="K157" t="str">
        <f t="shared" si="11"/>
        <v>C</v>
      </c>
    </row>
    <row r="158" spans="1:11" x14ac:dyDescent="0.25">
      <c r="A158">
        <v>157</v>
      </c>
      <c r="B158">
        <v>27.7</v>
      </c>
      <c r="C158">
        <v>5</v>
      </c>
      <c r="D158" t="s">
        <v>6</v>
      </c>
      <c r="E158" cm="1">
        <f t="array" ref="E158">_xlfn.IFS(E157=0,1,AND(E157=1,E156=1,E155=1),2,AND(E157=2,E156=2,E155=2),3,AND(E157=3,E156=3,E155=3),4,AND(E157=5,C157&gt;=20),0,AND(OR(E157=4,E157=5),OR(E156=4,E156=5),OR(E155=4,E155=5)), 5, TRUE,E157)</f>
        <v>3</v>
      </c>
      <c r="F158">
        <v>3</v>
      </c>
      <c r="H158" t="str">
        <f t="shared" si="9"/>
        <v>TAK</v>
      </c>
      <c r="I158" s="5" t="str" cm="1">
        <f t="array" ref="I158">_xlfn.IFS(I157=0,IF(B158&gt;=10,"C","S"),F158=0,0,TRUE,I157)</f>
        <v>C</v>
      </c>
      <c r="J158" t="str">
        <f t="shared" si="10"/>
        <v>TAK</v>
      </c>
      <c r="K158" t="str">
        <f t="shared" si="11"/>
        <v>C</v>
      </c>
    </row>
    <row r="159" spans="1:11" x14ac:dyDescent="0.25">
      <c r="A159">
        <v>158</v>
      </c>
      <c r="B159">
        <v>27.2</v>
      </c>
      <c r="C159">
        <v>18</v>
      </c>
      <c r="D159" t="s">
        <v>6</v>
      </c>
      <c r="E159" cm="1">
        <f t="array" ref="E159">_xlfn.IFS(E158=0,1,AND(E158=1,E157=1,E156=1),2,AND(E158=2,E157=2,E156=2),3,AND(E158=3,E157=3,E156=3),4,AND(E158=5,C158&gt;=20),0,AND(OR(E158=4,E158=5),OR(E157=4,E157=5),OR(E156=4,E156=5)), 5, TRUE,E158)</f>
        <v>3</v>
      </c>
      <c r="F159">
        <v>3</v>
      </c>
      <c r="H159" t="str">
        <f t="shared" si="9"/>
        <v>TAK</v>
      </c>
      <c r="I159" s="5" t="str" cm="1">
        <f t="array" ref="I159">_xlfn.IFS(I158=0,IF(B159&gt;=10,"C","S"),F159=0,0,TRUE,I158)</f>
        <v>C</v>
      </c>
      <c r="J159" t="str">
        <f t="shared" si="10"/>
        <v>TAK</v>
      </c>
      <c r="K159" t="str">
        <f t="shared" si="11"/>
        <v>C</v>
      </c>
    </row>
    <row r="160" spans="1:11" x14ac:dyDescent="0.25">
      <c r="A160">
        <v>159</v>
      </c>
      <c r="B160">
        <v>25.5</v>
      </c>
      <c r="C160">
        <v>5</v>
      </c>
      <c r="D160" t="s">
        <v>6</v>
      </c>
      <c r="E160" cm="1">
        <f t="array" ref="E160">_xlfn.IFS(E159=0,1,AND(E159=1,E158=1,E157=1),2,AND(E159=2,E158=2,E157=2),3,AND(E159=3,E158=3,E157=3),4,AND(E159=5,C159&gt;=20),0,AND(OR(E159=4,E159=5),OR(E158=4,E158=5),OR(E157=4,E157=5)), 5, TRUE,E159)</f>
        <v>3</v>
      </c>
      <c r="F160">
        <v>3</v>
      </c>
      <c r="H160" t="str">
        <f>IF(E160=F160,"TAK","NIE")</f>
        <v>TAK</v>
      </c>
      <c r="I160" s="5" t="str" cm="1">
        <f t="array" ref="I160">_xlfn.IFS(I159=0,IF(B160&gt;=10,"C","S"),F160=0,0,TRUE,I159)</f>
        <v>C</v>
      </c>
      <c r="J160" t="str">
        <f>IF(I160=D160,"TAK","NIE")</f>
        <v>TAK</v>
      </c>
      <c r="K160" t="str">
        <f>D160</f>
        <v>C</v>
      </c>
    </row>
    <row r="161" spans="1:11" x14ac:dyDescent="0.25">
      <c r="A161">
        <v>160</v>
      </c>
      <c r="B161">
        <v>23.1</v>
      </c>
      <c r="C161">
        <v>8</v>
      </c>
      <c r="D161" t="s">
        <v>6</v>
      </c>
      <c r="E161" cm="1">
        <f t="array" ref="E161">_xlfn.IFS(E160=0,1,AND(E160=1,E159=1,E158=1),2,AND(E160=2,E159=2,E158=2),3,AND(E160=3,E159=3,E158=3),4,AND(E160=5,C160&gt;=20),0,AND(OR(E160=4,E160=5),OR(E159=4,E159=5),OR(E158=4,E158=5)), 5, TRUE,E160)</f>
        <v>4</v>
      </c>
      <c r="F161">
        <v>4</v>
      </c>
      <c r="H161" t="str">
        <f t="shared" si="9"/>
        <v>TAK</v>
      </c>
      <c r="I161" s="5" t="str" cm="1">
        <f t="array" ref="I161">_xlfn.IFS(I160=0,IF(B161&gt;=10,"C","S"),F161=0,0,TRUE,I160)</f>
        <v>C</v>
      </c>
      <c r="J161" t="str">
        <f t="shared" si="10"/>
        <v>TAK</v>
      </c>
      <c r="K161" t="str">
        <f t="shared" si="11"/>
        <v>C</v>
      </c>
    </row>
    <row r="162" spans="1:11" x14ac:dyDescent="0.25">
      <c r="A162">
        <v>161</v>
      </c>
      <c r="B162">
        <v>21</v>
      </c>
      <c r="C162">
        <v>22</v>
      </c>
      <c r="D162" t="s">
        <v>6</v>
      </c>
      <c r="E162" cm="1">
        <f t="array" ref="E162">_xlfn.IFS(E161=0,1,AND(E161=1,E160=1,E159=1),2,AND(E161=2,E160=2,E159=2),3,AND(E161=3,E160=3,E159=3),4,AND(E161=5,C161&gt;=20),0,AND(OR(E161=4,E161=5),OR(E160=4,E160=5),OR(E159=4,E159=5)), 5, TRUE,E161)</f>
        <v>4</v>
      </c>
      <c r="F162">
        <v>4</v>
      </c>
      <c r="H162" t="str">
        <f t="shared" si="9"/>
        <v>TAK</v>
      </c>
      <c r="I162" s="5" t="str" cm="1">
        <f t="array" ref="I162">_xlfn.IFS(I161=0,IF(B162&gt;=10,"C","S"),F162=0,0,TRUE,I161)</f>
        <v>C</v>
      </c>
      <c r="J162" t="str">
        <f t="shared" si="10"/>
        <v>TAK</v>
      </c>
      <c r="K162" t="str">
        <f t="shared" si="11"/>
        <v>C</v>
      </c>
    </row>
    <row r="163" spans="1:11" x14ac:dyDescent="0.25">
      <c r="A163">
        <v>162</v>
      </c>
      <c r="B163">
        <v>20</v>
      </c>
      <c r="C163">
        <v>19</v>
      </c>
      <c r="D163" t="s">
        <v>6</v>
      </c>
      <c r="E163" cm="1">
        <f t="array" ref="E163">_xlfn.IFS(E162=0,1,AND(E162=1,E161=1,E160=1),2,AND(E162=2,E161=2,E160=2),3,AND(E162=3,E161=3,E160=3),4,AND(E162=5,C162&gt;=20),0,AND(OR(E162=4,E162=5),OR(E161=4,E161=5),OR(E160=4,E160=5)), 5, TRUE,E162)</f>
        <v>4</v>
      </c>
      <c r="F163">
        <v>4</v>
      </c>
      <c r="H163" t="str">
        <f t="shared" si="9"/>
        <v>TAK</v>
      </c>
      <c r="I163" s="5" t="str" cm="1">
        <f t="array" ref="I163">_xlfn.IFS(I162=0,IF(B163&gt;=10,"C","S"),F163=0,0,TRUE,I162)</f>
        <v>C</v>
      </c>
      <c r="J163" t="str">
        <f t="shared" si="10"/>
        <v>TAK</v>
      </c>
      <c r="K163" t="str">
        <f t="shared" si="11"/>
        <v>C</v>
      </c>
    </row>
    <row r="164" spans="1:11" x14ac:dyDescent="0.25">
      <c r="A164">
        <v>163</v>
      </c>
      <c r="B164">
        <v>20.399999999999999</v>
      </c>
      <c r="C164">
        <v>23</v>
      </c>
      <c r="D164" t="s">
        <v>6</v>
      </c>
      <c r="E164" cm="1">
        <f t="array" ref="E164">_xlfn.IFS(E163=0,1,AND(E163=1,E162=1,E161=1),2,AND(E163=2,E162=2,E161=2),3,AND(E163=3,E162=3,E161=3),4,AND(E163=5,C163&gt;=20),0,AND(OR(E163=4,E163=5),OR(E162=4,E162=5),OR(E161=4,E161=5)), 5, TRUE,E163)</f>
        <v>5</v>
      </c>
      <c r="F164">
        <v>5</v>
      </c>
      <c r="H164" t="str">
        <f t="shared" si="9"/>
        <v>TAK</v>
      </c>
      <c r="I164" s="5" t="str" cm="1">
        <f t="array" ref="I164">_xlfn.IFS(I163=0,IF(B164&gt;=10,"C","S"),F164=0,0,TRUE,I163)</f>
        <v>C</v>
      </c>
      <c r="J164" t="str">
        <f t="shared" si="10"/>
        <v>TAK</v>
      </c>
      <c r="K164" t="str">
        <f t="shared" si="11"/>
        <v>C</v>
      </c>
    </row>
    <row r="165" spans="1:11" x14ac:dyDescent="0.25">
      <c r="A165">
        <v>164</v>
      </c>
      <c r="B165">
        <v>22.1</v>
      </c>
      <c r="C165">
        <v>0</v>
      </c>
      <c r="D165">
        <v>0</v>
      </c>
      <c r="E165" cm="1">
        <f t="array" ref="E165">_xlfn.IFS(E164=0,1,AND(E164=1,E163=1,E162=1),2,AND(E164=2,E163=2,E162=2),3,AND(E164=3,E163=3,E162=3),4,AND(E164=5,C164&gt;=20),0,AND(OR(E164=4,E164=5),OR(E163=4,E163=5),OR(E162=4,E162=5)), 5, TRUE,E164)</f>
        <v>0</v>
      </c>
      <c r="F165">
        <v>0</v>
      </c>
      <c r="H165" t="str">
        <f t="shared" si="9"/>
        <v>TAK</v>
      </c>
      <c r="I165" s="5" cm="1">
        <f t="array" ref="I165">_xlfn.IFS(I164=0,IF(B165&gt;=10,"C","S"),F165=0,0,TRUE,I164)</f>
        <v>0</v>
      </c>
      <c r="J165" t="str">
        <f t="shared" si="10"/>
        <v>TAK</v>
      </c>
      <c r="K165">
        <f t="shared" si="11"/>
        <v>0</v>
      </c>
    </row>
    <row r="166" spans="1:11" x14ac:dyDescent="0.25">
      <c r="A166">
        <v>165</v>
      </c>
      <c r="B166">
        <v>24.5</v>
      </c>
      <c r="C166">
        <v>1</v>
      </c>
      <c r="D166" t="s">
        <v>7</v>
      </c>
      <c r="E166" cm="1">
        <f t="array" ref="E166">_xlfn.IFS(E165=0,1,AND(E165=1,E164=1,E163=1),2,AND(E165=2,E164=2,E163=2),3,AND(E165=3,E164=3,E163=3),4,AND(E165=5,C165&gt;=20),0,AND(OR(E165=4,E165=5),OR(E164=4,E164=5),OR(E163=4,E163=5)), 5, TRUE,E165)</f>
        <v>1</v>
      </c>
      <c r="F166">
        <v>1</v>
      </c>
      <c r="H166" t="str">
        <f t="shared" si="9"/>
        <v>TAK</v>
      </c>
      <c r="I166" s="5" t="str" cm="1">
        <f t="array" ref="I166">_xlfn.IFS(I165=0,IF(B166&gt;=10,"C","S"),F166=0,0,TRUE,I165)</f>
        <v>C</v>
      </c>
      <c r="J166" t="str">
        <f t="shared" si="10"/>
        <v>NIE</v>
      </c>
      <c r="K166" t="str">
        <f t="shared" si="11"/>
        <v>S</v>
      </c>
    </row>
    <row r="167" spans="1:11" x14ac:dyDescent="0.25">
      <c r="A167">
        <v>166</v>
      </c>
      <c r="B167">
        <v>26.8</v>
      </c>
      <c r="C167">
        <v>2</v>
      </c>
      <c r="D167" t="s">
        <v>7</v>
      </c>
      <c r="E167" cm="1">
        <f t="array" ref="E167">_xlfn.IFS(E166=0,1,AND(E166=1,E165=1,E164=1),2,AND(E166=2,E165=2,E164=2),3,AND(E166=3,E165=3,E164=3),4,AND(E166=5,C166&gt;=20),0,AND(OR(E166=4,E166=5),OR(E165=4,E165=5),OR(E164=4,E164=5)), 5, TRUE,E166)</f>
        <v>1</v>
      </c>
      <c r="F167">
        <v>1</v>
      </c>
      <c r="H167" t="str">
        <f t="shared" si="9"/>
        <v>TAK</v>
      </c>
      <c r="I167" s="5" t="str" cm="1">
        <f t="array" ref="I167">_xlfn.IFS(I166=0,IF(B167&gt;=10,"C","S"),F167=0,0,TRUE,I166)</f>
        <v>C</v>
      </c>
      <c r="J167" t="str">
        <f t="shared" si="10"/>
        <v>NIE</v>
      </c>
      <c r="K167" t="str">
        <f t="shared" si="11"/>
        <v>S</v>
      </c>
    </row>
    <row r="168" spans="1:11" x14ac:dyDescent="0.25">
      <c r="A168">
        <v>167</v>
      </c>
      <c r="B168">
        <v>28</v>
      </c>
      <c r="C168">
        <v>4</v>
      </c>
      <c r="D168" t="s">
        <v>7</v>
      </c>
      <c r="E168" cm="1">
        <f t="array" ref="E168">_xlfn.IFS(E167=0,1,AND(E167=1,E166=1,E165=1),2,AND(E167=2,E166=2,E165=2),3,AND(E167=3,E166=3,E165=3),4,AND(E167=5,C167&gt;=20),0,AND(OR(E167=4,E167=5),OR(E166=4,E166=5),OR(E165=4,E165=5)), 5, TRUE,E167)</f>
        <v>1</v>
      </c>
      <c r="F168">
        <v>1</v>
      </c>
      <c r="H168" t="str">
        <f t="shared" si="9"/>
        <v>TAK</v>
      </c>
      <c r="I168" s="5" t="str" cm="1">
        <f t="array" ref="I168">_xlfn.IFS(I167=0,IF(B168&gt;=10,"C","S"),F168=0,0,TRUE,I167)</f>
        <v>C</v>
      </c>
      <c r="J168" t="str">
        <f t="shared" si="10"/>
        <v>NIE</v>
      </c>
      <c r="K168" t="str">
        <f t="shared" si="11"/>
        <v>S</v>
      </c>
    </row>
    <row r="169" spans="1:11" x14ac:dyDescent="0.25">
      <c r="A169">
        <v>168</v>
      </c>
      <c r="B169">
        <v>27.7</v>
      </c>
      <c r="C169">
        <v>8</v>
      </c>
      <c r="D169" t="s">
        <v>7</v>
      </c>
      <c r="E169" cm="1">
        <f t="array" ref="E169">_xlfn.IFS(E168=0,1,AND(E168=1,E167=1,E166=1),2,AND(E168=2,E167=2,E166=2),3,AND(E168=3,E167=3,E166=3),4,AND(E168=5,C168&gt;=20),0,AND(OR(E168=4,E168=5),OR(E167=4,E167=5),OR(E166=4,E166=5)), 5, TRUE,E168)</f>
        <v>2</v>
      </c>
      <c r="F169">
        <v>2</v>
      </c>
      <c r="H169" t="str">
        <f t="shared" si="9"/>
        <v>TAK</v>
      </c>
      <c r="I169" s="5" t="str" cm="1">
        <f t="array" ref="I169">_xlfn.IFS(I168=0,IF(B169&gt;=10,"C","S"),F169=0,0,TRUE,I168)</f>
        <v>C</v>
      </c>
      <c r="J169" t="str">
        <f t="shared" si="10"/>
        <v>NIE</v>
      </c>
      <c r="K169" t="str">
        <f t="shared" si="11"/>
        <v>S</v>
      </c>
    </row>
    <row r="170" spans="1:11" x14ac:dyDescent="0.25">
      <c r="A170">
        <v>169</v>
      </c>
      <c r="B170">
        <v>25.6</v>
      </c>
      <c r="C170">
        <v>4</v>
      </c>
      <c r="D170" t="s">
        <v>7</v>
      </c>
      <c r="E170" cm="1">
        <f t="array" ref="E170">_xlfn.IFS(E169=0,1,AND(E169=1,E168=1,E167=1),2,AND(E169=2,E168=2,E167=2),3,AND(E169=3,E168=3,E167=3),4,AND(E169=5,C169&gt;=20),0,AND(OR(E169=4,E169=5),OR(E168=4,E168=5),OR(E167=4,E167=5)), 5, TRUE,E169)</f>
        <v>2</v>
      </c>
      <c r="F170">
        <v>2</v>
      </c>
      <c r="H170" t="str">
        <f>IF(E170=F170,"TAK","NIE")</f>
        <v>TAK</v>
      </c>
      <c r="I170" s="5" t="str" cm="1">
        <f t="array" ref="I170">_xlfn.IFS(I169=0,IF(B170&gt;=10,"C","S"),F170=0,0,TRUE,I169)</f>
        <v>C</v>
      </c>
      <c r="J170" t="str">
        <f>IF(I170=D170,"TAK","NIE")</f>
        <v>NIE</v>
      </c>
      <c r="K170" t="str">
        <f>D170</f>
        <v>S</v>
      </c>
    </row>
    <row r="171" spans="1:11" x14ac:dyDescent="0.25">
      <c r="A171">
        <v>170</v>
      </c>
      <c r="B171">
        <v>22.3</v>
      </c>
      <c r="C171">
        <v>7</v>
      </c>
      <c r="D171" t="s">
        <v>7</v>
      </c>
      <c r="E171" cm="1">
        <f t="array" ref="E171">_xlfn.IFS(E170=0,1,AND(E170=1,E169=1,E168=1),2,AND(E170=2,E169=2,E168=2),3,AND(E170=3,E169=3,E168=3),4,AND(E170=5,C170&gt;=20),0,AND(OR(E170=4,E170=5),OR(E169=4,E169=5),OR(E168=4,E168=5)), 5, TRUE,E170)</f>
        <v>2</v>
      </c>
      <c r="F171">
        <v>2</v>
      </c>
      <c r="H171" t="str">
        <f t="shared" si="9"/>
        <v>TAK</v>
      </c>
      <c r="I171" s="5" t="str" cm="1">
        <f t="array" ref="I171">_xlfn.IFS(I170=0,IF(B171&gt;=10,"C","S"),F171=0,0,TRUE,I170)</f>
        <v>C</v>
      </c>
      <c r="J171" t="str">
        <f t="shared" si="10"/>
        <v>NIE</v>
      </c>
      <c r="K171" t="str">
        <f t="shared" si="11"/>
        <v>S</v>
      </c>
    </row>
    <row r="172" spans="1:11" x14ac:dyDescent="0.25">
      <c r="A172">
        <v>171</v>
      </c>
      <c r="B172">
        <v>18.399999999999999</v>
      </c>
      <c r="C172">
        <v>6</v>
      </c>
      <c r="D172" t="s">
        <v>7</v>
      </c>
      <c r="E172" cm="1">
        <f t="array" ref="E172">_xlfn.IFS(E171=0,1,AND(E171=1,E170=1,E169=1),2,AND(E171=2,E170=2,E169=2),3,AND(E171=3,E170=3,E169=3),4,AND(E171=5,C171&gt;=20),0,AND(OR(E171=4,E171=5),OR(E170=4,E170=5),OR(E169=4,E169=5)), 5, TRUE,E171)</f>
        <v>3</v>
      </c>
      <c r="F172">
        <v>3</v>
      </c>
      <c r="H172" t="str">
        <f t="shared" si="9"/>
        <v>TAK</v>
      </c>
      <c r="I172" s="5" t="str" cm="1">
        <f t="array" ref="I172">_xlfn.IFS(I171=0,IF(B172&gt;=10,"C","S"),F172=0,0,TRUE,I171)</f>
        <v>C</v>
      </c>
      <c r="J172" t="str">
        <f t="shared" si="10"/>
        <v>NIE</v>
      </c>
      <c r="K172" t="str">
        <f t="shared" si="11"/>
        <v>S</v>
      </c>
    </row>
    <row r="173" spans="1:11" x14ac:dyDescent="0.25">
      <c r="A173">
        <v>172</v>
      </c>
      <c r="B173">
        <v>14.9</v>
      </c>
      <c r="C173">
        <v>18</v>
      </c>
      <c r="D173" t="s">
        <v>7</v>
      </c>
      <c r="E173" cm="1">
        <f t="array" ref="E173">_xlfn.IFS(E172=0,1,AND(E172=1,E171=1,E170=1),2,AND(E172=2,E171=2,E170=2),3,AND(E172=3,E171=3,E170=3),4,AND(E172=5,C172&gt;=20),0,AND(OR(E172=4,E172=5),OR(E171=4,E171=5),OR(E170=4,E170=5)), 5, TRUE,E172)</f>
        <v>3</v>
      </c>
      <c r="F173">
        <v>3</v>
      </c>
      <c r="H173" t="str">
        <f t="shared" si="9"/>
        <v>TAK</v>
      </c>
      <c r="I173" s="5" t="str" cm="1">
        <f t="array" ref="I173">_xlfn.IFS(I172=0,IF(B173&gt;=10,"C","S"),F173=0,0,TRUE,I172)</f>
        <v>C</v>
      </c>
      <c r="J173" t="str">
        <f t="shared" si="10"/>
        <v>NIE</v>
      </c>
      <c r="K173" t="str">
        <f t="shared" si="11"/>
        <v>S</v>
      </c>
    </row>
    <row r="174" spans="1:11" x14ac:dyDescent="0.25">
      <c r="A174">
        <v>173</v>
      </c>
      <c r="B174">
        <v>12.5</v>
      </c>
      <c r="C174">
        <v>6</v>
      </c>
      <c r="D174" t="s">
        <v>7</v>
      </c>
      <c r="E174" cm="1">
        <f t="array" ref="E174">_xlfn.IFS(E173=0,1,AND(E173=1,E172=1,E171=1),2,AND(E173=2,E172=2,E171=2),3,AND(E173=3,E172=3,E171=3),4,AND(E173=5,C173&gt;=20),0,AND(OR(E173=4,E173=5),OR(E172=4,E172=5),OR(E171=4,E171=5)), 5, TRUE,E173)</f>
        <v>3</v>
      </c>
      <c r="F174">
        <v>3</v>
      </c>
      <c r="H174" t="str">
        <f t="shared" si="9"/>
        <v>TAK</v>
      </c>
      <c r="I174" s="5" t="str" cm="1">
        <f t="array" ref="I174">_xlfn.IFS(I173=0,IF(B174&gt;=10,"C","S"),F174=0,0,TRUE,I173)</f>
        <v>C</v>
      </c>
      <c r="J174" t="str">
        <f t="shared" si="10"/>
        <v>NIE</v>
      </c>
      <c r="K174" t="str">
        <f t="shared" si="11"/>
        <v>S</v>
      </c>
    </row>
    <row r="175" spans="1:11" x14ac:dyDescent="0.25">
      <c r="A175">
        <v>174</v>
      </c>
      <c r="B175">
        <v>11.7</v>
      </c>
      <c r="C175">
        <v>20</v>
      </c>
      <c r="D175" t="s">
        <v>7</v>
      </c>
      <c r="E175" cm="1">
        <f t="array" ref="E175">_xlfn.IFS(E174=0,1,AND(E174=1,E173=1,E172=1),2,AND(E174=2,E173=2,E172=2),3,AND(E174=3,E173=3,E172=3),4,AND(E174=5,C174&gt;=20),0,AND(OR(E174=4,E174=5),OR(E173=4,E173=5),OR(E172=4,E172=5)), 5, TRUE,E174)</f>
        <v>4</v>
      </c>
      <c r="F175">
        <v>4</v>
      </c>
      <c r="H175" t="str">
        <f t="shared" si="9"/>
        <v>TAK</v>
      </c>
      <c r="I175" s="5" t="str" cm="1">
        <f t="array" ref="I175">_xlfn.IFS(I174=0,IF(B175&gt;=10,"C","S"),F175=0,0,TRUE,I174)</f>
        <v>C</v>
      </c>
      <c r="J175" t="str">
        <f t="shared" si="10"/>
        <v>NIE</v>
      </c>
      <c r="K175" t="str">
        <f t="shared" si="11"/>
        <v>S</v>
      </c>
    </row>
    <row r="176" spans="1:11" x14ac:dyDescent="0.25">
      <c r="A176">
        <v>175</v>
      </c>
      <c r="B176">
        <v>12.3</v>
      </c>
      <c r="C176">
        <v>14</v>
      </c>
      <c r="D176" t="s">
        <v>7</v>
      </c>
      <c r="E176" cm="1">
        <f t="array" ref="E176">_xlfn.IFS(E175=0,1,AND(E175=1,E174=1,E173=1),2,AND(E175=2,E174=2,E173=2),3,AND(E175=3,E174=3,E173=3),4,AND(E175=5,C175&gt;=20),0,AND(OR(E175=4,E175=5),OR(E174=4,E174=5),OR(E173=4,E173=5)), 5, TRUE,E175)</f>
        <v>4</v>
      </c>
      <c r="F176">
        <v>4</v>
      </c>
      <c r="H176" t="str">
        <f t="shared" si="9"/>
        <v>TAK</v>
      </c>
      <c r="I176" s="5" t="str" cm="1">
        <f t="array" ref="I176">_xlfn.IFS(I175=0,IF(B176&gt;=10,"C","S"),F176=0,0,TRUE,I175)</f>
        <v>C</v>
      </c>
      <c r="J176" t="str">
        <f t="shared" si="10"/>
        <v>NIE</v>
      </c>
      <c r="K176" t="str">
        <f t="shared" si="11"/>
        <v>S</v>
      </c>
    </row>
    <row r="177" spans="1:11" x14ac:dyDescent="0.25">
      <c r="A177">
        <v>176</v>
      </c>
      <c r="B177">
        <v>13.7</v>
      </c>
      <c r="C177">
        <v>22</v>
      </c>
      <c r="D177" t="s">
        <v>7</v>
      </c>
      <c r="E177" cm="1">
        <f t="array" ref="E177">_xlfn.IFS(E176=0,1,AND(E176=1,E175=1,E174=1),2,AND(E176=2,E175=2,E174=2),3,AND(E176=3,E175=3,E174=3),4,AND(E176=5,C176&gt;=20),0,AND(OR(E176=4,E176=5),OR(E175=4,E175=5),OR(E174=4,E174=5)), 5, TRUE,E176)</f>
        <v>4</v>
      </c>
      <c r="F177">
        <v>4</v>
      </c>
      <c r="H177" t="str">
        <f t="shared" si="9"/>
        <v>TAK</v>
      </c>
      <c r="I177" s="5" t="str" cm="1">
        <f t="array" ref="I177">_xlfn.IFS(I176=0,IF(B177&gt;=10,"C","S"),F177=0,0,TRUE,I176)</f>
        <v>C</v>
      </c>
      <c r="J177" t="str">
        <f t="shared" si="10"/>
        <v>NIE</v>
      </c>
      <c r="K177" t="str">
        <f t="shared" si="11"/>
        <v>S</v>
      </c>
    </row>
    <row r="178" spans="1:11" x14ac:dyDescent="0.25">
      <c r="A178">
        <v>177</v>
      </c>
      <c r="B178">
        <v>15.2</v>
      </c>
      <c r="C178">
        <v>23</v>
      </c>
      <c r="D178" t="s">
        <v>7</v>
      </c>
      <c r="E178" cm="1">
        <f t="array" ref="E178">_xlfn.IFS(E177=0,1,AND(E177=1,E176=1,E175=1),2,AND(E177=2,E176=2,E175=2),3,AND(E177=3,E176=3,E175=3),4,AND(E177=5,C177&gt;=20),0,AND(OR(E177=4,E177=5),OR(E176=4,E176=5),OR(E175=4,E175=5)), 5, TRUE,E177)</f>
        <v>5</v>
      </c>
      <c r="F178">
        <v>5</v>
      </c>
      <c r="H178" t="str">
        <f t="shared" si="9"/>
        <v>TAK</v>
      </c>
      <c r="I178" s="5" t="str" cm="1">
        <f t="array" ref="I178">_xlfn.IFS(I177=0,IF(B178&gt;=10,"C","S"),F178=0,0,TRUE,I177)</f>
        <v>C</v>
      </c>
      <c r="J178" t="str">
        <f t="shared" si="10"/>
        <v>NIE</v>
      </c>
      <c r="K178" t="str">
        <f t="shared" si="11"/>
        <v>S</v>
      </c>
    </row>
    <row r="179" spans="1:11" x14ac:dyDescent="0.25">
      <c r="A179">
        <v>178</v>
      </c>
      <c r="B179">
        <v>15.9</v>
      </c>
      <c r="C179">
        <v>0</v>
      </c>
      <c r="D179">
        <v>0</v>
      </c>
      <c r="E179" cm="1">
        <f t="array" ref="E179">_xlfn.IFS(E178=0,1,AND(E178=1,E177=1,E176=1),2,AND(E178=2,E177=2,E176=2),3,AND(E178=3,E177=3,E176=3),4,AND(E178=5,C178&gt;=20),0,AND(OR(E178=4,E178=5),OR(E177=4,E177=5),OR(E176=4,E176=5)), 5, TRUE,E178)</f>
        <v>0</v>
      </c>
      <c r="F179">
        <v>0</v>
      </c>
      <c r="H179" t="str">
        <f t="shared" si="9"/>
        <v>TAK</v>
      </c>
      <c r="I179" s="5" cm="1">
        <f t="array" ref="I179">_xlfn.IFS(I178=0,IF(B179&gt;=10,"C","S"),F179=0,0,TRUE,I178)</f>
        <v>0</v>
      </c>
      <c r="J179" t="str">
        <f>IF(I179=K179,"TAK","NIE")</f>
        <v>TAK</v>
      </c>
      <c r="K179">
        <f t="shared" si="11"/>
        <v>0</v>
      </c>
    </row>
    <row r="180" spans="1:11" x14ac:dyDescent="0.25">
      <c r="A180">
        <v>179</v>
      </c>
      <c r="B180">
        <v>15.1</v>
      </c>
      <c r="C180">
        <v>1</v>
      </c>
      <c r="D180" t="s">
        <v>6</v>
      </c>
      <c r="E180" cm="1">
        <f t="array" ref="E180">_xlfn.IFS(E179=0,1,AND(E179=1,E178=1,E177=1),2,AND(E179=2,E178=2,E177=2),3,AND(E179=3,E178=3,E177=3),4,AND(E179=5,C179&gt;=20),0,AND(OR(E179=4,E179=5),OR(E178=4,E178=5),OR(E177=4,E177=5)), 5, TRUE,E179)</f>
        <v>1</v>
      </c>
      <c r="F180">
        <v>1</v>
      </c>
      <c r="H180" t="str">
        <f>IF(E180=F180,"TAK","NIE")</f>
        <v>TAK</v>
      </c>
      <c r="I180" s="5" t="str" cm="1">
        <f t="array" ref="I180">_xlfn.IFS(I179=0,IF(B180&gt;=10,"C","S"),F180=0,0,TRUE,I179)</f>
        <v>C</v>
      </c>
      <c r="J180" t="str">
        <f>IF(I180=D180,"TAK","NIE")</f>
        <v>TAK</v>
      </c>
      <c r="K180" t="str">
        <f>D180</f>
        <v>C</v>
      </c>
    </row>
    <row r="181" spans="1:11" x14ac:dyDescent="0.25">
      <c r="A181">
        <v>180</v>
      </c>
      <c r="B181">
        <v>12.9</v>
      </c>
      <c r="C181">
        <v>1</v>
      </c>
      <c r="D181" t="s">
        <v>6</v>
      </c>
      <c r="E181" cm="1">
        <f t="array" ref="E181">_xlfn.IFS(E180=0,1,AND(E180=1,E179=1,E178=1),2,AND(E180=2,E179=2,E178=2),3,AND(E180=3,E179=3,E178=3),4,AND(E180=5,C180&gt;=20),0,AND(OR(E180=4,E180=5),OR(E179=4,E179=5),OR(E178=4,E178=5)), 5, TRUE,E180)</f>
        <v>1</v>
      </c>
      <c r="F181">
        <v>1</v>
      </c>
      <c r="H181" t="str">
        <f t="shared" si="9"/>
        <v>TAK</v>
      </c>
      <c r="I181" s="5" t="str" cm="1">
        <f t="array" ref="I181">_xlfn.IFS(I180=0,IF(B181&gt;=10,"C","S"),F181=0,0,TRUE,I180)</f>
        <v>C</v>
      </c>
      <c r="J181" t="str">
        <f t="shared" si="10"/>
        <v>TAK</v>
      </c>
      <c r="K181" t="str">
        <f t="shared" si="11"/>
        <v>C</v>
      </c>
    </row>
    <row r="182" spans="1:11" x14ac:dyDescent="0.25">
      <c r="A182">
        <v>181</v>
      </c>
      <c r="B182">
        <v>9.6</v>
      </c>
      <c r="C182">
        <v>1</v>
      </c>
      <c r="D182" t="s">
        <v>6</v>
      </c>
      <c r="E182" cm="1">
        <f t="array" ref="E182">_xlfn.IFS(E181=0,1,AND(E181=1,E180=1,E179=1),2,AND(E181=2,E180=2,E179=2),3,AND(E181=3,E180=3,E179=3),4,AND(E181=5,C181&gt;=20),0,AND(OR(E181=4,E181=5),OR(E180=4,E180=5),OR(E179=4,E179=5)), 5, TRUE,E181)</f>
        <v>1</v>
      </c>
      <c r="F182">
        <v>1</v>
      </c>
      <c r="H182" t="str">
        <f t="shared" si="9"/>
        <v>TAK</v>
      </c>
      <c r="I182" s="5" t="str" cm="1">
        <f t="array" ref="I182">_xlfn.IFS(I181=0,IF(B182&gt;=10,"C","S"),F182=0,0,TRUE,I181)</f>
        <v>C</v>
      </c>
      <c r="J182" t="str">
        <f t="shared" si="10"/>
        <v>TAK</v>
      </c>
      <c r="K182" t="str">
        <f t="shared" si="11"/>
        <v>C</v>
      </c>
    </row>
    <row r="183" spans="1:11" x14ac:dyDescent="0.25">
      <c r="A183">
        <v>182</v>
      </c>
      <c r="B183">
        <v>5.9</v>
      </c>
      <c r="C183">
        <v>2</v>
      </c>
      <c r="D183" t="s">
        <v>6</v>
      </c>
      <c r="E183" cm="1">
        <f t="array" ref="E183">_xlfn.IFS(E182=0,1,AND(E182=1,E181=1,E180=1),2,AND(E182=2,E181=2,E180=2),3,AND(E182=3,E181=3,E180=3),4,AND(E182=5,C182&gt;=20),0,AND(OR(E182=4,E182=5),OR(E181=4,E181=5),OR(E180=4,E180=5)), 5, TRUE,E182)</f>
        <v>2</v>
      </c>
      <c r="F183">
        <v>2</v>
      </c>
      <c r="H183" t="str">
        <f t="shared" si="9"/>
        <v>TAK</v>
      </c>
      <c r="I183" s="5" t="str" cm="1">
        <f t="array" ref="I183">_xlfn.IFS(I182=0,IF(B183&gt;=10,"C","S"),F183=0,0,TRUE,I182)</f>
        <v>C</v>
      </c>
      <c r="J183" t="str">
        <f t="shared" si="10"/>
        <v>TAK</v>
      </c>
      <c r="K183" t="str">
        <f t="shared" si="11"/>
        <v>C</v>
      </c>
    </row>
    <row r="184" spans="1:11" x14ac:dyDescent="0.25">
      <c r="A184">
        <v>183</v>
      </c>
      <c r="B184">
        <v>2.8</v>
      </c>
      <c r="C184">
        <v>6</v>
      </c>
      <c r="D184" t="s">
        <v>6</v>
      </c>
      <c r="E184" cm="1">
        <f t="array" ref="E184">_xlfn.IFS(E183=0,1,AND(E183=1,E182=1,E181=1),2,AND(E183=2,E182=2,E181=2),3,AND(E183=3,E182=3,E181=3),4,AND(E183=5,C183&gt;=20),0,AND(OR(E183=4,E183=5),OR(E182=4,E182=5),OR(E181=4,E181=5)), 5, TRUE,E183)</f>
        <v>2</v>
      </c>
      <c r="F184">
        <v>2</v>
      </c>
      <c r="H184" t="str">
        <f t="shared" si="9"/>
        <v>TAK</v>
      </c>
      <c r="I184" s="5" t="str" cm="1">
        <f t="array" ref="I184">_xlfn.IFS(I183=0,IF(B184&gt;=10,"C","S"),F184=0,0,TRUE,I183)</f>
        <v>C</v>
      </c>
      <c r="J184" t="str">
        <f t="shared" si="10"/>
        <v>TAK</v>
      </c>
      <c r="K184" t="str">
        <f t="shared" si="11"/>
        <v>C</v>
      </c>
    </row>
    <row r="185" spans="1:11" x14ac:dyDescent="0.25">
      <c r="A185">
        <v>184</v>
      </c>
      <c r="B185">
        <v>1</v>
      </c>
      <c r="C185">
        <v>9</v>
      </c>
      <c r="D185" t="s">
        <v>6</v>
      </c>
      <c r="E185" cm="1">
        <f t="array" ref="E185">_xlfn.IFS(E184=0,1,AND(E184=1,E183=1,E182=1),2,AND(E184=2,E183=2,E182=2),3,AND(E184=3,E183=3,E182=3),4,AND(E184=5,C184&gt;=20),0,AND(OR(E184=4,E184=5),OR(E183=4,E183=5),OR(E182=4,E182=5)), 5, TRUE,E184)</f>
        <v>2</v>
      </c>
      <c r="F185">
        <v>2</v>
      </c>
      <c r="H185" t="str">
        <f t="shared" si="9"/>
        <v>TAK</v>
      </c>
      <c r="I185" s="5" t="str" cm="1">
        <f t="array" ref="I185">_xlfn.IFS(I184=0,IF(B185&gt;=10,"C","S"),F185=0,0,TRUE,I184)</f>
        <v>C</v>
      </c>
      <c r="J185" t="str">
        <f t="shared" si="10"/>
        <v>TAK</v>
      </c>
      <c r="K185" t="str">
        <f t="shared" si="11"/>
        <v>C</v>
      </c>
    </row>
    <row r="186" spans="1:11" x14ac:dyDescent="0.25">
      <c r="A186">
        <v>185</v>
      </c>
      <c r="B186">
        <v>0.9</v>
      </c>
      <c r="C186">
        <v>6</v>
      </c>
      <c r="D186" t="s">
        <v>6</v>
      </c>
      <c r="E186" cm="1">
        <f t="array" ref="E186">_xlfn.IFS(E185=0,1,AND(E185=1,E184=1,E183=1),2,AND(E185=2,E184=2,E183=2),3,AND(E185=3,E184=3,E183=3),4,AND(E185=5,C185&gt;=20),0,AND(OR(E185=4,E185=5),OR(E184=4,E184=5),OR(E183=4,E183=5)), 5, TRUE,E185)</f>
        <v>3</v>
      </c>
      <c r="F186">
        <v>3</v>
      </c>
      <c r="H186" t="str">
        <f t="shared" si="9"/>
        <v>TAK</v>
      </c>
      <c r="I186" s="5" t="str" cm="1">
        <f t="array" ref="I186">_xlfn.IFS(I185=0,IF(B186&gt;=10,"C","S"),F186=0,0,TRUE,I185)</f>
        <v>C</v>
      </c>
      <c r="J186" t="str">
        <f t="shared" si="10"/>
        <v>TAK</v>
      </c>
      <c r="K186" t="str">
        <f t="shared" si="11"/>
        <v>C</v>
      </c>
    </row>
    <row r="187" spans="1:11" x14ac:dyDescent="0.25">
      <c r="A187">
        <v>186</v>
      </c>
      <c r="B187">
        <v>2.5</v>
      </c>
      <c r="C187">
        <v>1</v>
      </c>
      <c r="D187" t="s">
        <v>6</v>
      </c>
      <c r="E187" cm="1">
        <f t="array" ref="E187">_xlfn.IFS(E186=0,1,AND(E186=1,E185=1,E184=1),2,AND(E186=2,E185=2,E184=2),3,AND(E186=3,E185=3,E184=3),4,AND(E186=5,C186&gt;=20),0,AND(OR(E186=4,E186=5),OR(E185=4,E185=5),OR(E184=4,E184=5)), 5, TRUE,E186)</f>
        <v>3</v>
      </c>
      <c r="F187">
        <v>3</v>
      </c>
      <c r="H187" t="str">
        <f t="shared" si="9"/>
        <v>TAK</v>
      </c>
      <c r="I187" s="5" t="str" cm="1">
        <f t="array" ref="I187">_xlfn.IFS(I186=0,IF(B187&gt;=10,"C","S"),F187=0,0,TRUE,I186)</f>
        <v>C</v>
      </c>
      <c r="J187" t="str">
        <f t="shared" si="10"/>
        <v>TAK</v>
      </c>
      <c r="K187" t="str">
        <f t="shared" si="11"/>
        <v>C</v>
      </c>
    </row>
    <row r="188" spans="1:11" x14ac:dyDescent="0.25">
      <c r="A188">
        <v>187</v>
      </c>
      <c r="B188">
        <v>5</v>
      </c>
      <c r="C188">
        <v>3</v>
      </c>
      <c r="D188" t="s">
        <v>6</v>
      </c>
      <c r="E188" cm="1">
        <f t="array" ref="E188">_xlfn.IFS(E187=0,1,AND(E187=1,E186=1,E185=1),2,AND(E187=2,E186=2,E185=2),3,AND(E187=3,E186=3,E185=3),4,AND(E187=5,C187&gt;=20),0,AND(OR(E187=4,E187=5),OR(E186=4,E186=5),OR(E185=4,E185=5)), 5, TRUE,E187)</f>
        <v>3</v>
      </c>
      <c r="F188">
        <v>3</v>
      </c>
      <c r="H188" t="str">
        <f t="shared" si="9"/>
        <v>TAK</v>
      </c>
      <c r="I188" s="5" t="str" cm="1">
        <f t="array" ref="I188">_xlfn.IFS(I187=0,IF(B188&gt;=10,"C","S"),F188=0,0,TRUE,I187)</f>
        <v>C</v>
      </c>
      <c r="J188" t="str">
        <f t="shared" si="10"/>
        <v>TAK</v>
      </c>
      <c r="K188" t="str">
        <f t="shared" si="11"/>
        <v>C</v>
      </c>
    </row>
    <row r="189" spans="1:11" x14ac:dyDescent="0.25">
      <c r="A189">
        <v>188</v>
      </c>
      <c r="B189">
        <v>7.7</v>
      </c>
      <c r="C189">
        <v>7</v>
      </c>
      <c r="D189" t="s">
        <v>6</v>
      </c>
      <c r="E189" cm="1">
        <f t="array" ref="E189">_xlfn.IFS(E188=0,1,AND(E188=1,E187=1,E186=1),2,AND(E188=2,E187=2,E186=2),3,AND(E188=3,E187=3,E186=3),4,AND(E188=5,C188&gt;=20),0,AND(OR(E188=4,E188=5),OR(E187=4,E187=5),OR(E186=4,E186=5)), 5, TRUE,E188)</f>
        <v>4</v>
      </c>
      <c r="F189">
        <v>4</v>
      </c>
      <c r="H189" t="str">
        <f t="shared" si="9"/>
        <v>TAK</v>
      </c>
      <c r="I189" s="5" t="str" cm="1">
        <f t="array" ref="I189">_xlfn.IFS(I188=0,IF(B189&gt;=10,"C","S"),F189=0,0,TRUE,I188)</f>
        <v>C</v>
      </c>
      <c r="J189" t="str">
        <f t="shared" si="10"/>
        <v>TAK</v>
      </c>
      <c r="K189" t="str">
        <f t="shared" si="11"/>
        <v>C</v>
      </c>
    </row>
    <row r="190" spans="1:11" x14ac:dyDescent="0.25">
      <c r="A190">
        <v>189</v>
      </c>
      <c r="B190">
        <v>9.6999999999999993</v>
      </c>
      <c r="C190">
        <v>6</v>
      </c>
      <c r="D190" t="s">
        <v>6</v>
      </c>
      <c r="E190" cm="1">
        <f t="array" ref="E190">_xlfn.IFS(E189=0,1,AND(E189=1,E188=1,E187=1),2,AND(E189=2,E188=2,E187=2),3,AND(E189=3,E188=3,E187=3),4,AND(E189=5,C189&gt;=20),0,AND(OR(E189=4,E189=5),OR(E188=4,E188=5),OR(E187=4,E187=5)), 5, TRUE,E189)</f>
        <v>4</v>
      </c>
      <c r="F190">
        <v>4</v>
      </c>
      <c r="H190" t="str">
        <f>IF(E190=F190,"TAK","NIE")</f>
        <v>TAK</v>
      </c>
      <c r="I190" s="5" t="str" cm="1">
        <f t="array" ref="I190">_xlfn.IFS(I189=0,IF(B190&gt;=10,"C","S"),F190=0,0,TRUE,I189)</f>
        <v>C</v>
      </c>
      <c r="J190" t="str">
        <f>IF(I190=D190,"TAK","NIE")</f>
        <v>TAK</v>
      </c>
      <c r="K190" t="str">
        <f>D190</f>
        <v>C</v>
      </c>
    </row>
    <row r="191" spans="1:11" x14ac:dyDescent="0.25">
      <c r="A191">
        <v>190</v>
      </c>
      <c r="B191">
        <v>10.4</v>
      </c>
      <c r="C191">
        <v>3</v>
      </c>
      <c r="D191" t="s">
        <v>6</v>
      </c>
      <c r="E191" cm="1">
        <f t="array" ref="E191">_xlfn.IFS(E190=0,1,AND(E190=1,E189=1,E188=1),2,AND(E190=2,E189=2,E188=2),3,AND(E190=3,E189=3,E188=3),4,AND(E190=5,C190&gt;=20),0,AND(OR(E190=4,E190=5),OR(E189=4,E189=5),OR(E188=4,E188=5)), 5, TRUE,E190)</f>
        <v>4</v>
      </c>
      <c r="F191">
        <v>4</v>
      </c>
      <c r="H191" t="str">
        <f t="shared" si="9"/>
        <v>TAK</v>
      </c>
      <c r="I191" s="5" t="str" cm="1">
        <f t="array" ref="I191">_xlfn.IFS(I190=0,IF(B191&gt;=10,"C","S"),F191=0,0,TRUE,I190)</f>
        <v>C</v>
      </c>
      <c r="J191" t="str">
        <f t="shared" si="10"/>
        <v>TAK</v>
      </c>
      <c r="K191" t="str">
        <f t="shared" si="11"/>
        <v>C</v>
      </c>
    </row>
    <row r="192" spans="1:11" x14ac:dyDescent="0.25">
      <c r="A192">
        <v>191</v>
      </c>
      <c r="B192">
        <v>9.6999999999999993</v>
      </c>
      <c r="C192">
        <v>22</v>
      </c>
      <c r="D192" t="s">
        <v>6</v>
      </c>
      <c r="E192" cm="1">
        <f t="array" ref="E192">_xlfn.IFS(E191=0,1,AND(E191=1,E190=1,E189=1),2,AND(E191=2,E190=2,E189=2),3,AND(E191=3,E190=3,E189=3),4,AND(E191=5,C191&gt;=20),0,AND(OR(E191=4,E191=5),OR(E190=4,E190=5),OR(E189=4,E189=5)), 5, TRUE,E191)</f>
        <v>5</v>
      </c>
      <c r="F192">
        <v>5</v>
      </c>
      <c r="H192" t="str">
        <f t="shared" si="9"/>
        <v>TAK</v>
      </c>
      <c r="I192" s="5" t="str" cm="1">
        <f t="array" ref="I192">_xlfn.IFS(I191=0,IF(B192&gt;=10,"C","S"),F192=0,0,TRUE,I191)</f>
        <v>C</v>
      </c>
      <c r="J192" t="str">
        <f t="shared" si="10"/>
        <v>TAK</v>
      </c>
      <c r="K192" t="str">
        <f t="shared" si="11"/>
        <v>C</v>
      </c>
    </row>
    <row r="193" spans="1:11" x14ac:dyDescent="0.25">
      <c r="A193">
        <v>192</v>
      </c>
      <c r="B193">
        <v>8</v>
      </c>
      <c r="C193">
        <v>0</v>
      </c>
      <c r="D193">
        <v>0</v>
      </c>
      <c r="E193" cm="1">
        <f t="array" ref="E193">_xlfn.IFS(E192=0,1,AND(E192=1,E191=1,E190=1),2,AND(E192=2,E191=2,E190=2),3,AND(E192=3,E191=3,E190=3),4,AND(E192=5,C192&gt;=20),0,AND(OR(E192=4,E192=5),OR(E191=4,E191=5),OR(E190=4,E190=5)), 5, TRUE,E192)</f>
        <v>0</v>
      </c>
      <c r="F193">
        <v>0</v>
      </c>
      <c r="H193" t="str">
        <f t="shared" si="9"/>
        <v>TAK</v>
      </c>
      <c r="I193" s="5" cm="1">
        <f t="array" ref="I193">_xlfn.IFS(I192=0,IF(B193&gt;=10,"C","S"),F193=0,0,TRUE,I192)</f>
        <v>0</v>
      </c>
      <c r="J193" t="str">
        <f t="shared" si="10"/>
        <v>TAK</v>
      </c>
      <c r="K193">
        <f t="shared" si="11"/>
        <v>0</v>
      </c>
    </row>
    <row r="194" spans="1:11" x14ac:dyDescent="0.25">
      <c r="A194">
        <v>193</v>
      </c>
      <c r="B194">
        <v>5.9</v>
      </c>
      <c r="C194">
        <v>3</v>
      </c>
      <c r="D194" t="s">
        <v>7</v>
      </c>
      <c r="E194" cm="1">
        <f t="array" ref="E194">_xlfn.IFS(E193=0,1,AND(E193=1,E192=1,E191=1),2,AND(E193=2,E192=2,E191=2),3,AND(E193=3,E192=3,E191=3),4,AND(E193=5,C193&gt;=20),0,AND(OR(E193=4,E193=5),OR(E192=4,E192=5),OR(E191=4,E191=5)), 5, TRUE,E193)</f>
        <v>1</v>
      </c>
      <c r="F194">
        <v>1</v>
      </c>
      <c r="H194" t="str">
        <f t="shared" si="9"/>
        <v>TAK</v>
      </c>
      <c r="I194" s="5" t="str" cm="1">
        <f t="array" ref="I194">_xlfn.IFS(I193=0,IF(B194&gt;=10,"C","S"),F194=0,0,TRUE,I193)</f>
        <v>S</v>
      </c>
      <c r="J194" t="str">
        <f t="shared" si="10"/>
        <v>TAK</v>
      </c>
      <c r="K194" t="str">
        <f t="shared" si="11"/>
        <v>S</v>
      </c>
    </row>
    <row r="195" spans="1:11" x14ac:dyDescent="0.25">
      <c r="A195">
        <v>194</v>
      </c>
      <c r="B195">
        <v>4.4000000000000004</v>
      </c>
      <c r="C195">
        <v>4</v>
      </c>
      <c r="D195" t="s">
        <v>7</v>
      </c>
      <c r="E195" cm="1">
        <f t="array" ref="E195">_xlfn.IFS(E194=0,1,AND(E194=1,E193=1,E192=1),2,AND(E194=2,E193=2,E192=2),3,AND(E194=3,E193=3,E192=3),4,AND(E194=5,C194&gt;=20),0,AND(OR(E194=4,E194=5),OR(E193=4,E193=5),OR(E192=4,E192=5)), 5, TRUE,E194)</f>
        <v>1</v>
      </c>
      <c r="F195">
        <v>1</v>
      </c>
      <c r="H195" t="str">
        <f t="shared" ref="H195:H258" si="12">IF(E195=F195,"TAK","NIE")</f>
        <v>TAK</v>
      </c>
      <c r="I195" s="5" t="str" cm="1">
        <f t="array" ref="I195">_xlfn.IFS(I194=0,IF(B195&gt;=10,"C","S"),F195=0,0,TRUE,I194)</f>
        <v>S</v>
      </c>
      <c r="J195" t="str">
        <f t="shared" ref="J195:J258" si="13">IF(I195=D195,"TAK","NIE")</f>
        <v>TAK</v>
      </c>
      <c r="K195" t="str">
        <f t="shared" ref="K195:K258" si="14">D195</f>
        <v>S</v>
      </c>
    </row>
    <row r="196" spans="1:11" x14ac:dyDescent="0.25">
      <c r="A196">
        <v>195</v>
      </c>
      <c r="B196">
        <v>4.2</v>
      </c>
      <c r="C196">
        <v>6</v>
      </c>
      <c r="D196" t="s">
        <v>7</v>
      </c>
      <c r="E196" cm="1">
        <f t="array" ref="E196">_xlfn.IFS(E195=0,1,AND(E195=1,E194=1,E193=1),2,AND(E195=2,E194=2,E193=2),3,AND(E195=3,E194=3,E193=3),4,AND(E195=5,C195&gt;=20),0,AND(OR(E195=4,E195=5),OR(E194=4,E194=5),OR(E193=4,E193=5)), 5, TRUE,E195)</f>
        <v>1</v>
      </c>
      <c r="F196">
        <v>1</v>
      </c>
      <c r="H196" t="str">
        <f t="shared" si="12"/>
        <v>TAK</v>
      </c>
      <c r="I196" s="5" t="str" cm="1">
        <f t="array" ref="I196">_xlfn.IFS(I195=0,IF(B196&gt;=10,"C","S"),F196=0,0,TRUE,I195)</f>
        <v>S</v>
      </c>
      <c r="J196" t="str">
        <f t="shared" si="13"/>
        <v>TAK</v>
      </c>
      <c r="K196" t="str">
        <f t="shared" si="14"/>
        <v>S</v>
      </c>
    </row>
    <row r="197" spans="1:11" x14ac:dyDescent="0.25">
      <c r="A197">
        <v>196</v>
      </c>
      <c r="B197">
        <v>5.6</v>
      </c>
      <c r="C197">
        <v>8</v>
      </c>
      <c r="D197" t="s">
        <v>7</v>
      </c>
      <c r="E197" cm="1">
        <f t="array" ref="E197">_xlfn.IFS(E196=0,1,AND(E196=1,E195=1,E194=1),2,AND(E196=2,E195=2,E194=2),3,AND(E196=3,E195=3,E194=3),4,AND(E196=5,C196&gt;=20),0,AND(OR(E196=4,E196=5),OR(E195=4,E195=5),OR(E194=4,E194=5)), 5, TRUE,E196)</f>
        <v>2</v>
      </c>
      <c r="F197">
        <v>2</v>
      </c>
      <c r="H197" t="str">
        <f t="shared" si="12"/>
        <v>TAK</v>
      </c>
      <c r="I197" s="5" t="str" cm="1">
        <f t="array" ref="I197">_xlfn.IFS(I196=0,IF(B197&gt;=10,"C","S"),F197=0,0,TRUE,I196)</f>
        <v>S</v>
      </c>
      <c r="J197" t="str">
        <f t="shared" si="13"/>
        <v>TAK</v>
      </c>
      <c r="K197" t="str">
        <f t="shared" si="14"/>
        <v>S</v>
      </c>
    </row>
    <row r="198" spans="1:11" x14ac:dyDescent="0.25">
      <c r="A198">
        <v>197</v>
      </c>
      <c r="B198">
        <v>8.6</v>
      </c>
      <c r="C198">
        <v>12</v>
      </c>
      <c r="D198" t="s">
        <v>7</v>
      </c>
      <c r="E198" cm="1">
        <f t="array" ref="E198">_xlfn.IFS(E197=0,1,AND(E197=1,E196=1,E195=1),2,AND(E197=2,E196=2,E195=2),3,AND(E197=3,E196=3,E195=3),4,AND(E197=5,C197&gt;=20),0,AND(OR(E197=4,E197=5),OR(E196=4,E196=5),OR(E195=4,E195=5)), 5, TRUE,E197)</f>
        <v>2</v>
      </c>
      <c r="F198">
        <v>2</v>
      </c>
      <c r="H198" t="str">
        <f t="shared" si="12"/>
        <v>TAK</v>
      </c>
      <c r="I198" s="5" t="str" cm="1">
        <f t="array" ref="I198">_xlfn.IFS(I197=0,IF(B198&gt;=10,"C","S"),F198=0,0,TRUE,I197)</f>
        <v>S</v>
      </c>
      <c r="J198" t="str">
        <f t="shared" si="13"/>
        <v>TAK</v>
      </c>
      <c r="K198" t="str">
        <f t="shared" si="14"/>
        <v>S</v>
      </c>
    </row>
    <row r="199" spans="1:11" x14ac:dyDescent="0.25">
      <c r="A199">
        <v>198</v>
      </c>
      <c r="B199">
        <v>12.5</v>
      </c>
      <c r="C199">
        <v>9</v>
      </c>
      <c r="D199" t="s">
        <v>7</v>
      </c>
      <c r="E199" cm="1">
        <f t="array" ref="E199">_xlfn.IFS(E198=0,1,AND(E198=1,E197=1,E196=1),2,AND(E198=2,E197=2,E196=2),3,AND(E198=3,E197=3,E196=3),4,AND(E198=5,C198&gt;=20),0,AND(OR(E198=4,E198=5),OR(E197=4,E197=5),OR(E196=4,E196=5)), 5, TRUE,E198)</f>
        <v>2</v>
      </c>
      <c r="F199">
        <v>2</v>
      </c>
      <c r="H199" t="str">
        <f t="shared" si="12"/>
        <v>TAK</v>
      </c>
      <c r="I199" s="5" t="str" cm="1">
        <f t="array" ref="I199">_xlfn.IFS(I198=0,IF(B199&gt;=10,"C","S"),F199=0,0,TRUE,I198)</f>
        <v>S</v>
      </c>
      <c r="J199" t="str">
        <f t="shared" si="13"/>
        <v>TAK</v>
      </c>
      <c r="K199" t="str">
        <f t="shared" si="14"/>
        <v>S</v>
      </c>
    </row>
    <row r="200" spans="1:11" x14ac:dyDescent="0.25">
      <c r="A200">
        <v>199</v>
      </c>
      <c r="B200">
        <v>16.399999999999999</v>
      </c>
      <c r="C200">
        <v>14</v>
      </c>
      <c r="D200" t="s">
        <v>7</v>
      </c>
      <c r="E200" cm="1">
        <f t="array" ref="E200">_xlfn.IFS(E199=0,1,AND(E199=1,E198=1,E197=1),2,AND(E199=2,E198=2,E197=2),3,AND(E199=3,E198=3,E197=3),4,AND(E199=5,C199&gt;=20),0,AND(OR(E199=4,E199=5),OR(E198=4,E198=5),OR(E197=4,E197=5)), 5, TRUE,E199)</f>
        <v>3</v>
      </c>
      <c r="F200">
        <v>3</v>
      </c>
      <c r="H200" t="str">
        <f t="shared" ref="H200:H210" si="15">IF(E200=F200,"TAK","NIE")</f>
        <v>TAK</v>
      </c>
      <c r="I200" s="5" t="str" cm="1">
        <f t="array" ref="I200">_xlfn.IFS(I199=0,IF(B200&gt;=10,"C","S"),F200=0,0,TRUE,I199)</f>
        <v>S</v>
      </c>
      <c r="J200" t="str">
        <f t="shared" ref="J200:J210" si="16">IF(I200=D200,"TAK","NIE")</f>
        <v>TAK</v>
      </c>
      <c r="K200" t="str">
        <f t="shared" ref="K200:K210" si="17">D200</f>
        <v>S</v>
      </c>
    </row>
    <row r="201" spans="1:11" x14ac:dyDescent="0.25">
      <c r="A201">
        <v>200</v>
      </c>
      <c r="B201">
        <v>19.5</v>
      </c>
      <c r="C201">
        <v>12</v>
      </c>
      <c r="D201" t="s">
        <v>7</v>
      </c>
      <c r="E201" cm="1">
        <f t="array" ref="E201">_xlfn.IFS(E200=0,1,AND(E200=1,E199=1,E198=1),2,AND(E200=2,E199=2,E198=2),3,AND(E200=3,E199=3,E198=3),4,AND(E200=5,C200&gt;=20),0,AND(OR(E200=4,E200=5),OR(E199=4,E199=5),OR(E198=4,E198=5)), 5, TRUE,E200)</f>
        <v>3</v>
      </c>
      <c r="F201">
        <v>3</v>
      </c>
      <c r="H201" t="str">
        <f t="shared" si="15"/>
        <v>TAK</v>
      </c>
      <c r="I201" s="5" t="str" cm="1">
        <f t="array" ref="I201">_xlfn.IFS(I200=0,IF(B201&gt;=10,"C","S"),F201=0,0,TRUE,I200)</f>
        <v>S</v>
      </c>
      <c r="J201" t="str">
        <f t="shared" si="16"/>
        <v>TAK</v>
      </c>
      <c r="K201" t="str">
        <f t="shared" si="17"/>
        <v>S</v>
      </c>
    </row>
    <row r="202" spans="1:11" x14ac:dyDescent="0.25">
      <c r="A202">
        <v>201</v>
      </c>
      <c r="B202">
        <v>21.2</v>
      </c>
      <c r="C202">
        <v>1</v>
      </c>
      <c r="D202" t="s">
        <v>7</v>
      </c>
      <c r="E202" cm="1">
        <f t="array" ref="E202">_xlfn.IFS(E201=0,1,AND(E201=1,E200=1,E199=1),2,AND(E201=2,E200=2,E199=2),3,AND(E201=3,E200=3,E199=3),4,AND(E201=5,C201&gt;=20),0,AND(OR(E201=4,E201=5),OR(E200=4,E200=5),OR(E199=4,E199=5)), 5, TRUE,E201)</f>
        <v>3</v>
      </c>
      <c r="F202">
        <v>3</v>
      </c>
      <c r="H202" t="str">
        <f t="shared" si="15"/>
        <v>TAK</v>
      </c>
      <c r="I202" s="5" t="str" cm="1">
        <f t="array" ref="I202">_xlfn.IFS(I201=0,IF(B202&gt;=10,"C","S"),F202=0,0,TRUE,I201)</f>
        <v>S</v>
      </c>
      <c r="J202" t="str">
        <f t="shared" si="16"/>
        <v>TAK</v>
      </c>
      <c r="K202" t="str">
        <f t="shared" si="17"/>
        <v>S</v>
      </c>
    </row>
    <row r="203" spans="1:11" x14ac:dyDescent="0.25">
      <c r="A203">
        <v>202</v>
      </c>
      <c r="B203">
        <v>21.3</v>
      </c>
      <c r="C203">
        <v>11</v>
      </c>
      <c r="D203" t="s">
        <v>7</v>
      </c>
      <c r="E203" cm="1">
        <f t="array" ref="E203">_xlfn.IFS(E202=0,1,AND(E202=1,E201=1,E200=1),2,AND(E202=2,E201=2,E200=2),3,AND(E202=3,E201=3,E200=3),4,AND(E202=5,C202&gt;=20),0,AND(OR(E202=4,E202=5),OR(E201=4,E201=5),OR(E200=4,E200=5)), 5, TRUE,E202)</f>
        <v>4</v>
      </c>
      <c r="F203">
        <v>4</v>
      </c>
      <c r="H203" t="str">
        <f t="shared" si="15"/>
        <v>TAK</v>
      </c>
      <c r="I203" s="5" t="str" cm="1">
        <f t="array" ref="I203">_xlfn.IFS(I202=0,IF(B203&gt;=10,"C","S"),F203=0,0,TRUE,I202)</f>
        <v>S</v>
      </c>
      <c r="J203" t="str">
        <f t="shared" si="16"/>
        <v>TAK</v>
      </c>
      <c r="K203" t="str">
        <f t="shared" si="17"/>
        <v>S</v>
      </c>
    </row>
    <row r="204" spans="1:11" x14ac:dyDescent="0.25">
      <c r="A204">
        <v>203</v>
      </c>
      <c r="B204">
        <v>20.100000000000001</v>
      </c>
      <c r="C204">
        <v>6</v>
      </c>
      <c r="D204" t="s">
        <v>7</v>
      </c>
      <c r="E204" cm="1">
        <f t="array" ref="E204">_xlfn.IFS(E203=0,1,AND(E203=1,E202=1,E201=1),2,AND(E203=2,E202=2,E201=2),3,AND(E203=3,E202=3,E201=3),4,AND(E203=5,C203&gt;=20),0,AND(OR(E203=4,E203=5),OR(E202=4,E202=5),OR(E201=4,E201=5)), 5, TRUE,E203)</f>
        <v>4</v>
      </c>
      <c r="F204">
        <v>4</v>
      </c>
      <c r="H204" t="str">
        <f t="shared" si="15"/>
        <v>TAK</v>
      </c>
      <c r="I204" s="5" t="str" cm="1">
        <f t="array" ref="I204">_xlfn.IFS(I203=0,IF(B204&gt;=10,"C","S"),F204=0,0,TRUE,I203)</f>
        <v>S</v>
      </c>
      <c r="J204" t="str">
        <f t="shared" si="16"/>
        <v>TAK</v>
      </c>
      <c r="K204" t="str">
        <f t="shared" si="17"/>
        <v>S</v>
      </c>
    </row>
    <row r="205" spans="1:11" x14ac:dyDescent="0.25">
      <c r="A205">
        <v>204</v>
      </c>
      <c r="B205">
        <v>18.399999999999999</v>
      </c>
      <c r="C205">
        <v>3</v>
      </c>
      <c r="D205" t="s">
        <v>7</v>
      </c>
      <c r="E205" cm="1">
        <f t="array" ref="E205">_xlfn.IFS(E204=0,1,AND(E204=1,E203=1,E202=1),2,AND(E204=2,E203=2,E202=2),3,AND(E204=3,E203=3,E202=3),4,AND(E204=5,C204&gt;=20),0,AND(OR(E204=4,E204=5),OR(E203=4,E203=5),OR(E202=4,E202=5)), 5, TRUE,E204)</f>
        <v>4</v>
      </c>
      <c r="F205">
        <v>4</v>
      </c>
      <c r="H205" t="str">
        <f t="shared" si="15"/>
        <v>TAK</v>
      </c>
      <c r="I205" s="5" t="str" cm="1">
        <f t="array" ref="I205">_xlfn.IFS(I204=0,IF(B205&gt;=10,"C","S"),F205=0,0,TRUE,I204)</f>
        <v>S</v>
      </c>
      <c r="J205" t="str">
        <f t="shared" si="16"/>
        <v>TAK</v>
      </c>
      <c r="K205" t="str">
        <f t="shared" si="17"/>
        <v>S</v>
      </c>
    </row>
    <row r="206" spans="1:11" x14ac:dyDescent="0.25">
      <c r="A206">
        <v>205</v>
      </c>
      <c r="B206">
        <v>17.100000000000001</v>
      </c>
      <c r="C206">
        <v>15</v>
      </c>
      <c r="D206" t="s">
        <v>7</v>
      </c>
      <c r="E206" cm="1">
        <f t="array" ref="E206">_xlfn.IFS(E205=0,1,AND(E205=1,E204=1,E203=1),2,AND(E205=2,E204=2,E203=2),3,AND(E205=3,E204=3,E203=3),4,AND(E205=5,C205&gt;=20),0,AND(OR(E205=4,E205=5),OR(E204=4,E204=5),OR(E203=4,E203=5)), 5, TRUE,E205)</f>
        <v>5</v>
      </c>
      <c r="F206">
        <v>5</v>
      </c>
      <c r="H206" t="str">
        <f t="shared" si="15"/>
        <v>TAK</v>
      </c>
      <c r="I206" s="5" t="str" cm="1">
        <f t="array" ref="I206">_xlfn.IFS(I205=0,IF(B206&gt;=10,"C","S"),F206=0,0,TRUE,I205)</f>
        <v>S</v>
      </c>
      <c r="J206" t="str">
        <f t="shared" si="16"/>
        <v>TAK</v>
      </c>
      <c r="K206" t="str">
        <f t="shared" si="17"/>
        <v>S</v>
      </c>
    </row>
    <row r="207" spans="1:11" x14ac:dyDescent="0.25">
      <c r="A207">
        <v>206</v>
      </c>
      <c r="B207">
        <v>16.899999999999999</v>
      </c>
      <c r="C207">
        <v>16</v>
      </c>
      <c r="D207" t="s">
        <v>7</v>
      </c>
      <c r="E207" cm="1">
        <f t="array" ref="E207">_xlfn.IFS(E206=0,1,AND(E206=1,E205=1,E204=1),2,AND(E206=2,E205=2,E204=2),3,AND(E206=3,E205=3,E204=3),4,AND(E206=5,C206&gt;=20),0,AND(OR(E206=4,E206=5),OR(E205=4,E205=5),OR(E204=4,E204=5)), 5, TRUE,E206)</f>
        <v>5</v>
      </c>
      <c r="F207">
        <v>5</v>
      </c>
      <c r="H207" t="str">
        <f t="shared" si="15"/>
        <v>TAK</v>
      </c>
      <c r="I207" s="5" t="str" cm="1">
        <f t="array" ref="I207">_xlfn.IFS(I206=0,IF(B207&gt;=10,"C","S"),F207=0,0,TRUE,I206)</f>
        <v>S</v>
      </c>
      <c r="J207" t="str">
        <f t="shared" si="16"/>
        <v>TAK</v>
      </c>
      <c r="K207" t="str">
        <f t="shared" si="17"/>
        <v>S</v>
      </c>
    </row>
    <row r="208" spans="1:11" x14ac:dyDescent="0.25">
      <c r="A208">
        <v>207</v>
      </c>
      <c r="B208">
        <v>18.2</v>
      </c>
      <c r="C208">
        <v>17</v>
      </c>
      <c r="D208" t="s">
        <v>7</v>
      </c>
      <c r="E208" cm="1">
        <f t="array" ref="E208">_xlfn.IFS(E207=0,1,AND(E207=1,E206=1,E205=1),2,AND(E207=2,E206=2,E205=2),3,AND(E207=3,E206=3,E205=3),4,AND(E207=5,C207&gt;=20),0,AND(OR(E207=4,E207=5),OR(E206=4,E206=5),OR(E205=4,E205=5)), 5, TRUE,E207)</f>
        <v>5</v>
      </c>
      <c r="F208">
        <v>5</v>
      </c>
      <c r="H208" t="str">
        <f t="shared" si="15"/>
        <v>TAK</v>
      </c>
      <c r="I208" s="5" t="str" cm="1">
        <f t="array" ref="I208">_xlfn.IFS(I207=0,IF(B208&gt;=10,"C","S"),F208=0,0,TRUE,I207)</f>
        <v>S</v>
      </c>
      <c r="J208" t="str">
        <f t="shared" si="16"/>
        <v>TAK</v>
      </c>
      <c r="K208" t="str">
        <f t="shared" si="17"/>
        <v>S</v>
      </c>
    </row>
    <row r="209" spans="1:11" x14ac:dyDescent="0.25">
      <c r="A209">
        <v>208</v>
      </c>
      <c r="B209">
        <v>20.7</v>
      </c>
      <c r="C209">
        <v>18</v>
      </c>
      <c r="D209" t="s">
        <v>7</v>
      </c>
      <c r="E209" cm="1">
        <f t="array" ref="E209">_xlfn.IFS(E208=0,1,AND(E208=1,E207=1,E206=1),2,AND(E208=2,E207=2,E206=2),3,AND(E208=3,E207=3,E206=3),4,AND(E208=5,C208&gt;=20),0,AND(OR(E208=4,E208=5),OR(E207=4,E207=5),OR(E206=4,E206=5)), 5, TRUE,E208)</f>
        <v>5</v>
      </c>
      <c r="F209">
        <v>5</v>
      </c>
      <c r="H209" t="str">
        <f t="shared" si="15"/>
        <v>TAK</v>
      </c>
      <c r="I209" s="5" t="str" cm="1">
        <f t="array" ref="I209">_xlfn.IFS(I208=0,IF(B209&gt;=10,"C","S"),F209=0,0,TRUE,I208)</f>
        <v>S</v>
      </c>
      <c r="J209" t="str">
        <f t="shared" si="16"/>
        <v>TAK</v>
      </c>
      <c r="K209" t="str">
        <f t="shared" si="17"/>
        <v>S</v>
      </c>
    </row>
    <row r="210" spans="1:11" x14ac:dyDescent="0.25">
      <c r="A210">
        <v>209</v>
      </c>
      <c r="B210">
        <v>24</v>
      </c>
      <c r="C210">
        <v>13</v>
      </c>
      <c r="D210" t="s">
        <v>7</v>
      </c>
      <c r="E210" cm="1">
        <f t="array" ref="E210">_xlfn.IFS(E209=0,1,AND(E209=1,E208=1,E207=1),2,AND(E209=2,E208=2,E207=2),3,AND(E209=3,E208=3,E207=3),4,AND(E209=5,C209&gt;=20),0,AND(OR(E209=4,E209=5),OR(E208=4,E208=5),OR(E207=4,E207=5)), 5, TRUE,E209)</f>
        <v>5</v>
      </c>
      <c r="F210">
        <v>5</v>
      </c>
      <c r="H210" t="str">
        <f t="shared" si="15"/>
        <v>TAK</v>
      </c>
      <c r="I210" s="5" t="str" cm="1">
        <f t="array" ref="I210">_xlfn.IFS(I209=0,IF(B210&gt;=10,"C","S"),F210=0,0,TRUE,I209)</f>
        <v>S</v>
      </c>
      <c r="J210" t="str">
        <f t="shared" si="16"/>
        <v>TAK</v>
      </c>
      <c r="K210" t="str">
        <f t="shared" si="17"/>
        <v>S</v>
      </c>
    </row>
    <row r="211" spans="1:11" x14ac:dyDescent="0.25">
      <c r="A211">
        <v>210</v>
      </c>
      <c r="B211">
        <v>27.2</v>
      </c>
      <c r="C211">
        <v>27</v>
      </c>
      <c r="D211" t="s">
        <v>7</v>
      </c>
      <c r="E211" cm="1">
        <f t="array" ref="E211">_xlfn.IFS(E210=0,1,AND(E210=1,E209=1,E208=1),2,AND(E210=2,E209=2,E208=2),3,AND(E210=3,E209=3,E208=3),4,AND(E210=5,C210&gt;=20),0,AND(OR(E210=4,E210=5),OR(E209=4,E209=5),OR(E208=4,E208=5)), 5, TRUE,E210)</f>
        <v>5</v>
      </c>
      <c r="F211">
        <v>5</v>
      </c>
      <c r="H211" t="str">
        <f t="shared" si="12"/>
        <v>TAK</v>
      </c>
      <c r="I211" s="5" t="str" cm="1">
        <f t="array" ref="I211">_xlfn.IFS(I210=0,IF(B211&gt;=10,"C","S"),F211=0,0,TRUE,I210)</f>
        <v>S</v>
      </c>
      <c r="J211" t="str">
        <f t="shared" si="13"/>
        <v>TAK</v>
      </c>
      <c r="K211" t="str">
        <f t="shared" si="14"/>
        <v>S</v>
      </c>
    </row>
    <row r="212" spans="1:11" x14ac:dyDescent="0.25">
      <c r="A212">
        <v>211</v>
      </c>
      <c r="B212">
        <v>29.4</v>
      </c>
      <c r="C212">
        <v>0</v>
      </c>
      <c r="D212">
        <v>0</v>
      </c>
      <c r="E212" cm="1">
        <f t="array" ref="E212">_xlfn.IFS(E211=0,1,AND(E211=1,E210=1,E209=1),2,AND(E211=2,E210=2,E209=2),3,AND(E211=3,E210=3,E209=3),4,AND(E211=5,C211&gt;=20),0,AND(OR(E211=4,E211=5),OR(E210=4,E210=5),OR(E209=4,E209=5)), 5, TRUE,E211)</f>
        <v>0</v>
      </c>
      <c r="F212">
        <v>0</v>
      </c>
      <c r="H212" t="str">
        <f t="shared" si="12"/>
        <v>TAK</v>
      </c>
      <c r="I212" s="5" cm="1">
        <f t="array" ref="I212">_xlfn.IFS(I211=0,IF(B212&gt;=10,"C","S"),F212=0,0,TRUE,I211)</f>
        <v>0</v>
      </c>
      <c r="J212" t="str">
        <f t="shared" si="13"/>
        <v>TAK</v>
      </c>
      <c r="K212">
        <f t="shared" si="14"/>
        <v>0</v>
      </c>
    </row>
    <row r="213" spans="1:11" x14ac:dyDescent="0.25">
      <c r="A213">
        <v>212</v>
      </c>
      <c r="B213">
        <v>29.9</v>
      </c>
      <c r="C213">
        <v>2</v>
      </c>
      <c r="D213" t="s">
        <v>6</v>
      </c>
      <c r="E213" cm="1">
        <f t="array" ref="E213">_xlfn.IFS(E212=0,1,AND(E212=1,E211=1,E210=1),2,AND(E212=2,E211=2,E210=2),3,AND(E212=3,E211=3,E210=3),4,AND(E212=5,C212&gt;=20),0,AND(OR(E212=4,E212=5),OR(E211=4,E211=5),OR(E210=4,E210=5)), 5, TRUE,E212)</f>
        <v>1</v>
      </c>
      <c r="F213">
        <v>1</v>
      </c>
      <c r="H213" t="str">
        <f t="shared" si="12"/>
        <v>TAK</v>
      </c>
      <c r="I213" s="5" t="str" cm="1">
        <f t="array" ref="I213">_xlfn.IFS(I212=0,IF(B213&gt;=10,"C","S"),F213=0,0,TRUE,I212)</f>
        <v>C</v>
      </c>
      <c r="J213" t="str">
        <f t="shared" si="13"/>
        <v>TAK</v>
      </c>
      <c r="K213" t="str">
        <f t="shared" si="14"/>
        <v>C</v>
      </c>
    </row>
    <row r="214" spans="1:11" x14ac:dyDescent="0.25">
      <c r="A214">
        <v>213</v>
      </c>
      <c r="B214">
        <v>28.8</v>
      </c>
      <c r="C214">
        <v>4</v>
      </c>
      <c r="D214" t="s">
        <v>6</v>
      </c>
      <c r="E214" cm="1">
        <f t="array" ref="E214">_xlfn.IFS(E213=0,1,AND(E213=1,E212=1,E211=1),2,AND(E213=2,E212=2,E211=2),3,AND(E213=3,E212=3,E211=3),4,AND(E213=5,C213&gt;=20),0,AND(OR(E213=4,E213=5),OR(E212=4,E212=5),OR(E211=4,E211=5)), 5, TRUE,E213)</f>
        <v>1</v>
      </c>
      <c r="F214">
        <v>1</v>
      </c>
      <c r="H214" t="str">
        <f t="shared" si="12"/>
        <v>TAK</v>
      </c>
      <c r="I214" s="5" t="str" cm="1">
        <f t="array" ref="I214">_xlfn.IFS(I213=0,IF(B214&gt;=10,"C","S"),F214=0,0,TRUE,I213)</f>
        <v>C</v>
      </c>
      <c r="J214" t="str">
        <f t="shared" si="13"/>
        <v>TAK</v>
      </c>
      <c r="K214" t="str">
        <f t="shared" si="14"/>
        <v>C</v>
      </c>
    </row>
    <row r="215" spans="1:11" x14ac:dyDescent="0.25">
      <c r="A215">
        <v>214</v>
      </c>
      <c r="B215">
        <v>26.2</v>
      </c>
      <c r="C215">
        <v>2</v>
      </c>
      <c r="D215" t="s">
        <v>6</v>
      </c>
      <c r="E215" cm="1">
        <f t="array" ref="E215">_xlfn.IFS(E214=0,1,AND(E214=1,E213=1,E212=1),2,AND(E214=2,E213=2,E212=2),3,AND(E214=3,E213=3,E212=3),4,AND(E214=5,C214&gt;=20),0,AND(OR(E214=4,E214=5),OR(E213=4,E213=5),OR(E212=4,E212=5)), 5, TRUE,E214)</f>
        <v>1</v>
      </c>
      <c r="F215">
        <v>1</v>
      </c>
      <c r="H215" t="str">
        <f t="shared" si="12"/>
        <v>TAK</v>
      </c>
      <c r="I215" s="5" t="str" cm="1">
        <f t="array" ref="I215">_xlfn.IFS(I214=0,IF(B215&gt;=10,"C","S"),F215=0,0,TRUE,I214)</f>
        <v>C</v>
      </c>
      <c r="J215" t="str">
        <f t="shared" si="13"/>
        <v>TAK</v>
      </c>
      <c r="K215" t="str">
        <f t="shared" si="14"/>
        <v>C</v>
      </c>
    </row>
    <row r="216" spans="1:11" x14ac:dyDescent="0.25">
      <c r="A216">
        <v>215</v>
      </c>
      <c r="B216">
        <v>23.1</v>
      </c>
      <c r="C216">
        <v>11</v>
      </c>
      <c r="D216" t="s">
        <v>6</v>
      </c>
      <c r="E216" cm="1">
        <f t="array" ref="E216">_xlfn.IFS(E215=0,1,AND(E215=1,E214=1,E213=1),2,AND(E215=2,E214=2,E213=2),3,AND(E215=3,E214=3,E213=3),4,AND(E215=5,C215&gt;=20),0,AND(OR(E215=4,E215=5),OR(E214=4,E214=5),OR(E213=4,E213=5)), 5, TRUE,E215)</f>
        <v>2</v>
      </c>
      <c r="F216">
        <v>1</v>
      </c>
      <c r="H216" t="str">
        <f t="shared" si="12"/>
        <v>NIE</v>
      </c>
      <c r="I216" s="5" t="str" cm="1">
        <f t="array" ref="I216">_xlfn.IFS(I215=0,IF(B216&gt;=10,"C","S"),F216=0,0,TRUE,I215)</f>
        <v>C</v>
      </c>
      <c r="J216" t="str">
        <f t="shared" si="13"/>
        <v>TAK</v>
      </c>
      <c r="K216" t="str">
        <f t="shared" si="14"/>
        <v>C</v>
      </c>
    </row>
    <row r="217" spans="1:11" x14ac:dyDescent="0.25">
      <c r="A217">
        <v>216</v>
      </c>
      <c r="B217">
        <v>20.3</v>
      </c>
      <c r="C217">
        <v>1</v>
      </c>
      <c r="D217" t="s">
        <v>6</v>
      </c>
      <c r="E217" cm="1">
        <f t="array" ref="E217">_xlfn.IFS(E216=0,1,AND(E216=1,E215=1,E214=1),2,AND(E216=2,E215=2,E214=2),3,AND(E216=3,E215=3,E214=3),4,AND(E216=5,C216&gt;=20),0,AND(OR(E216=4,E216=5),OR(E215=4,E215=5),OR(E214=4,E214=5)), 5, TRUE,E216)</f>
        <v>2</v>
      </c>
      <c r="F217">
        <v>2</v>
      </c>
      <c r="H217" t="str">
        <f t="shared" si="12"/>
        <v>TAK</v>
      </c>
      <c r="I217" s="5" t="str" cm="1">
        <f t="array" ref="I217">_xlfn.IFS(I216=0,IF(B217&gt;=10,"C","S"),F217=0,0,TRUE,I216)</f>
        <v>C</v>
      </c>
      <c r="J217" t="str">
        <f t="shared" si="13"/>
        <v>TAK</v>
      </c>
      <c r="K217" t="str">
        <f t="shared" si="14"/>
        <v>C</v>
      </c>
    </row>
    <row r="218" spans="1:11" x14ac:dyDescent="0.25">
      <c r="A218">
        <v>217</v>
      </c>
      <c r="B218">
        <v>18.5</v>
      </c>
      <c r="C218">
        <v>7</v>
      </c>
      <c r="D218" t="s">
        <v>6</v>
      </c>
      <c r="E218" cm="1">
        <f t="array" ref="E218">_xlfn.IFS(E217=0,1,AND(E217=1,E216=1,E215=1),2,AND(E217=2,E216=2,E215=2),3,AND(E217=3,E216=3,E215=3),4,AND(E217=5,C217&gt;=20),0,AND(OR(E217=4,E217=5),OR(E216=4,E216=5),OR(E215=4,E215=5)), 5, TRUE,E217)</f>
        <v>2</v>
      </c>
      <c r="F218">
        <v>2</v>
      </c>
      <c r="H218" t="str">
        <f t="shared" si="12"/>
        <v>TAK</v>
      </c>
      <c r="I218" s="5" t="str" cm="1">
        <f t="array" ref="I218">_xlfn.IFS(I217=0,IF(B218&gt;=10,"C","S"),F218=0,0,TRUE,I217)</f>
        <v>C</v>
      </c>
      <c r="J218" t="str">
        <f t="shared" si="13"/>
        <v>TAK</v>
      </c>
      <c r="K218" t="str">
        <f t="shared" si="14"/>
        <v>C</v>
      </c>
    </row>
    <row r="219" spans="1:11" x14ac:dyDescent="0.25">
      <c r="A219">
        <v>218</v>
      </c>
      <c r="B219">
        <v>18.2</v>
      </c>
      <c r="C219">
        <v>10</v>
      </c>
      <c r="D219" t="s">
        <v>6</v>
      </c>
      <c r="E219" cm="1">
        <f t="array" ref="E219">_xlfn.IFS(E218=0,1,AND(E218=1,E217=1,E216=1),2,AND(E218=2,E217=2,E216=2),3,AND(E218=3,E217=3,E216=3),4,AND(E218=5,C218&gt;=20),0,AND(OR(E218=4,E218=5),OR(E217=4,E217=5),OR(E216=4,E216=5)), 5, TRUE,E218)</f>
        <v>3</v>
      </c>
      <c r="F219">
        <v>3</v>
      </c>
      <c r="H219" t="str">
        <f t="shared" si="12"/>
        <v>TAK</v>
      </c>
      <c r="I219" s="5" t="str" cm="1">
        <f t="array" ref="I219">_xlfn.IFS(I218=0,IF(B219&gt;=10,"C","S"),F219=0,0,TRUE,I218)</f>
        <v>C</v>
      </c>
      <c r="J219" t="str">
        <f t="shared" si="13"/>
        <v>TAK</v>
      </c>
      <c r="K219" t="str">
        <f t="shared" si="14"/>
        <v>C</v>
      </c>
    </row>
    <row r="220" spans="1:11" x14ac:dyDescent="0.25">
      <c r="A220">
        <v>219</v>
      </c>
      <c r="B220">
        <v>19.100000000000001</v>
      </c>
      <c r="C220">
        <v>10</v>
      </c>
      <c r="D220" t="s">
        <v>6</v>
      </c>
      <c r="E220" cm="1">
        <f t="array" ref="E220">_xlfn.IFS(E219=0,1,AND(E219=1,E218=1,E217=1),2,AND(E219=2,E218=2,E217=2),3,AND(E219=3,E218=3,E217=3),4,AND(E219=5,C219&gt;=20),0,AND(OR(E219=4,E219=5),OR(E218=4,E218=5),OR(E217=4,E217=5)), 5, TRUE,E219)</f>
        <v>3</v>
      </c>
      <c r="F220">
        <v>3</v>
      </c>
      <c r="H220" t="str">
        <f>IF(E220=F220,"TAK","NIE")</f>
        <v>TAK</v>
      </c>
      <c r="I220" s="5" t="str" cm="1">
        <f t="array" ref="I220">_xlfn.IFS(I219=0,IF(B220&gt;=10,"C","S"),F220=0,0,TRUE,I219)</f>
        <v>C</v>
      </c>
      <c r="J220" t="str">
        <f>IF(I220=D220,"TAK","NIE")</f>
        <v>TAK</v>
      </c>
      <c r="K220" t="str">
        <f>D220</f>
        <v>C</v>
      </c>
    </row>
    <row r="221" spans="1:11" x14ac:dyDescent="0.25">
      <c r="A221">
        <v>220</v>
      </c>
      <c r="B221">
        <v>20.9</v>
      </c>
      <c r="C221">
        <v>1</v>
      </c>
      <c r="D221" t="s">
        <v>6</v>
      </c>
      <c r="E221" cm="1">
        <f t="array" ref="E221">_xlfn.IFS(E220=0,1,AND(E220=1,E219=1,E218=1),2,AND(E220=2,E219=2,E218=2),3,AND(E220=3,E219=3,E218=3),4,AND(E220=5,C220&gt;=20),0,AND(OR(E220=4,E220=5),OR(E219=4,E219=5),OR(E218=4,E218=5)), 5, TRUE,E220)</f>
        <v>3</v>
      </c>
      <c r="F221">
        <v>3</v>
      </c>
      <c r="H221" t="str">
        <f t="shared" si="12"/>
        <v>TAK</v>
      </c>
      <c r="I221" s="5" t="str" cm="1">
        <f t="array" ref="I221">_xlfn.IFS(I220=0,IF(B221&gt;=10,"C","S"),F221=0,0,TRUE,I220)</f>
        <v>C</v>
      </c>
      <c r="J221" t="str">
        <f t="shared" si="13"/>
        <v>TAK</v>
      </c>
      <c r="K221" t="str">
        <f t="shared" si="14"/>
        <v>C</v>
      </c>
    </row>
    <row r="222" spans="1:11" x14ac:dyDescent="0.25">
      <c r="A222">
        <v>221</v>
      </c>
      <c r="B222">
        <v>22.5</v>
      </c>
      <c r="C222">
        <v>4</v>
      </c>
      <c r="D222" t="s">
        <v>6</v>
      </c>
      <c r="E222" cm="1">
        <f t="array" ref="E222">_xlfn.IFS(E221=0,1,AND(E221=1,E220=1,E219=1),2,AND(E221=2,E220=2,E219=2),3,AND(E221=3,E220=3,E219=3),4,AND(E221=5,C221&gt;=20),0,AND(OR(E221=4,E221=5),OR(E220=4,E220=5),OR(E219=4,E219=5)), 5, TRUE,E221)</f>
        <v>4</v>
      </c>
      <c r="F222">
        <v>4</v>
      </c>
      <c r="H222" t="str">
        <f t="shared" si="12"/>
        <v>TAK</v>
      </c>
      <c r="I222" s="5" t="str" cm="1">
        <f t="array" ref="I222">_xlfn.IFS(I221=0,IF(B222&gt;=10,"C","S"),F222=0,0,TRUE,I221)</f>
        <v>C</v>
      </c>
      <c r="J222" t="str">
        <f t="shared" si="13"/>
        <v>TAK</v>
      </c>
      <c r="K222" t="str">
        <f t="shared" si="14"/>
        <v>C</v>
      </c>
    </row>
    <row r="223" spans="1:11" x14ac:dyDescent="0.25">
      <c r="A223">
        <v>222</v>
      </c>
      <c r="B223">
        <v>23.2</v>
      </c>
      <c r="C223">
        <v>12</v>
      </c>
      <c r="D223" t="s">
        <v>6</v>
      </c>
      <c r="E223" cm="1">
        <f t="array" ref="E223">_xlfn.IFS(E222=0,1,AND(E222=1,E221=1,E220=1),2,AND(E222=2,E221=2,E220=2),3,AND(E222=3,E221=3,E220=3),4,AND(E222=5,C222&gt;=20),0,AND(OR(E222=4,E222=5),OR(E221=4,E221=5),OR(E220=4,E220=5)), 5, TRUE,E222)</f>
        <v>4</v>
      </c>
      <c r="F223">
        <v>4</v>
      </c>
      <c r="H223" t="str">
        <f t="shared" si="12"/>
        <v>TAK</v>
      </c>
      <c r="I223" s="5" t="str" cm="1">
        <f t="array" ref="I223">_xlfn.IFS(I222=0,IF(B223&gt;=10,"C","S"),F223=0,0,TRUE,I222)</f>
        <v>C</v>
      </c>
      <c r="J223" t="str">
        <f t="shared" si="13"/>
        <v>TAK</v>
      </c>
      <c r="K223" t="str">
        <f t="shared" si="14"/>
        <v>C</v>
      </c>
    </row>
    <row r="224" spans="1:11" x14ac:dyDescent="0.25">
      <c r="A224">
        <v>223</v>
      </c>
      <c r="B224">
        <v>22.4</v>
      </c>
      <c r="C224">
        <v>7</v>
      </c>
      <c r="D224" t="s">
        <v>6</v>
      </c>
      <c r="E224" cm="1">
        <f t="array" ref="E224">_xlfn.IFS(E223=0,1,AND(E223=1,E222=1,E221=1),2,AND(E223=2,E222=2,E221=2),3,AND(E223=3,E222=3,E221=3),4,AND(E223=5,C223&gt;=20),0,AND(OR(E223=4,E223=5),OR(E222=4,E222=5),OR(E221=4,E221=5)), 5, TRUE,E223)</f>
        <v>4</v>
      </c>
      <c r="F224">
        <v>4</v>
      </c>
      <c r="H224" t="str">
        <f t="shared" si="12"/>
        <v>TAK</v>
      </c>
      <c r="I224" s="5" t="str" cm="1">
        <f t="array" ref="I224">_xlfn.IFS(I223=0,IF(B224&gt;=10,"C","S"),F224=0,0,TRUE,I223)</f>
        <v>C</v>
      </c>
      <c r="J224" t="str">
        <f t="shared" si="13"/>
        <v>TAK</v>
      </c>
      <c r="K224" t="str">
        <f t="shared" si="14"/>
        <v>C</v>
      </c>
    </row>
    <row r="225" spans="1:11" x14ac:dyDescent="0.25">
      <c r="A225">
        <v>224</v>
      </c>
      <c r="B225">
        <v>20</v>
      </c>
      <c r="C225">
        <v>16</v>
      </c>
      <c r="D225" t="s">
        <v>6</v>
      </c>
      <c r="E225" cm="1">
        <f t="array" ref="E225">_xlfn.IFS(E224=0,1,AND(E224=1,E223=1,E222=1),2,AND(E224=2,E223=2,E222=2),3,AND(E224=3,E223=3,E222=3),4,AND(E224=5,C224&gt;=20),0,AND(OR(E224=4,E224=5),OR(E223=4,E223=5),OR(E222=4,E222=5)), 5, TRUE,E224)</f>
        <v>5</v>
      </c>
      <c r="F225">
        <v>5</v>
      </c>
      <c r="H225" t="str">
        <f t="shared" si="12"/>
        <v>TAK</v>
      </c>
      <c r="I225" s="5" t="str" cm="1">
        <f t="array" ref="I225">_xlfn.IFS(I224=0,IF(B225&gt;=10,"C","S"),F225=0,0,TRUE,I224)</f>
        <v>C</v>
      </c>
      <c r="J225" t="str">
        <f t="shared" si="13"/>
        <v>TAK</v>
      </c>
      <c r="K225" t="str">
        <f t="shared" si="14"/>
        <v>C</v>
      </c>
    </row>
    <row r="226" spans="1:11" x14ac:dyDescent="0.25">
      <c r="A226">
        <v>225</v>
      </c>
      <c r="B226">
        <v>16.399999999999999</v>
      </c>
      <c r="C226">
        <v>24</v>
      </c>
      <c r="D226" t="s">
        <v>6</v>
      </c>
      <c r="E226" cm="1">
        <f t="array" ref="E226">_xlfn.IFS(E225=0,1,AND(E225=1,E224=1,E223=1),2,AND(E225=2,E224=2,E223=2),3,AND(E225=3,E224=3,E223=3),4,AND(E225=5,C225&gt;=20),0,AND(OR(E225=4,E225=5),OR(E224=4,E224=5),OR(E223=4,E223=5)), 5, TRUE,E225)</f>
        <v>5</v>
      </c>
      <c r="F226">
        <v>5</v>
      </c>
      <c r="H226" t="str">
        <f t="shared" si="12"/>
        <v>TAK</v>
      </c>
      <c r="I226" s="5" t="str" cm="1">
        <f t="array" ref="I226">_xlfn.IFS(I225=0,IF(B226&gt;=10,"C","S"),F226=0,0,TRUE,I225)</f>
        <v>C</v>
      </c>
      <c r="J226" t="str">
        <f t="shared" si="13"/>
        <v>TAK</v>
      </c>
      <c r="K226" t="str">
        <f t="shared" si="14"/>
        <v>C</v>
      </c>
    </row>
    <row r="227" spans="1:11" x14ac:dyDescent="0.25">
      <c r="A227">
        <v>226</v>
      </c>
      <c r="B227">
        <v>12.3</v>
      </c>
      <c r="C227">
        <v>0</v>
      </c>
      <c r="D227">
        <v>0</v>
      </c>
      <c r="E227" cm="1">
        <f t="array" ref="E227">_xlfn.IFS(E226=0,1,AND(E226=1,E225=1,E224=1),2,AND(E226=2,E225=2,E224=2),3,AND(E226=3,E225=3,E224=3),4,AND(E226=5,C226&gt;=20),0,AND(OR(E226=4,E226=5),OR(E225=4,E225=5),OR(E224=4,E224=5)), 5, TRUE,E226)</f>
        <v>0</v>
      </c>
      <c r="F227">
        <v>0</v>
      </c>
      <c r="H227" t="str">
        <f t="shared" si="12"/>
        <v>TAK</v>
      </c>
      <c r="I227" s="5" cm="1">
        <f t="array" ref="I227">_xlfn.IFS(I226=0,IF(B227&gt;=10,"C","S"),F227=0,0,TRUE,I226)</f>
        <v>0</v>
      </c>
      <c r="J227" t="str">
        <f t="shared" si="13"/>
        <v>TAK</v>
      </c>
      <c r="K227">
        <f t="shared" si="14"/>
        <v>0</v>
      </c>
    </row>
    <row r="228" spans="1:11" x14ac:dyDescent="0.25">
      <c r="A228">
        <v>227</v>
      </c>
      <c r="B228">
        <v>8.6999999999999993</v>
      </c>
      <c r="C228">
        <v>5</v>
      </c>
      <c r="D228" t="s">
        <v>7</v>
      </c>
      <c r="E228" cm="1">
        <f t="array" ref="E228">_xlfn.IFS(E227=0,1,AND(E227=1,E226=1,E225=1),2,AND(E227=2,E226=2,E225=2),3,AND(E227=3,E226=3,E225=3),4,AND(E227=5,C227&gt;=20),0,AND(OR(E227=4,E227=5),OR(E226=4,E226=5),OR(E225=4,E225=5)), 5, TRUE,E227)</f>
        <v>1</v>
      </c>
      <c r="F228">
        <v>1</v>
      </c>
      <c r="H228" t="str">
        <f t="shared" si="12"/>
        <v>TAK</v>
      </c>
      <c r="I228" s="5" t="str" cm="1">
        <f t="array" ref="I228">_xlfn.IFS(I227=0,IF(B228&gt;=10,"C","S"),F228=0,0,TRUE,I227)</f>
        <v>S</v>
      </c>
      <c r="J228" t="str">
        <f t="shared" si="13"/>
        <v>TAK</v>
      </c>
      <c r="K228" t="str">
        <f t="shared" si="14"/>
        <v>S</v>
      </c>
    </row>
    <row r="229" spans="1:11" x14ac:dyDescent="0.25">
      <c r="A229">
        <v>228</v>
      </c>
      <c r="B229">
        <v>6.4</v>
      </c>
      <c r="C229">
        <v>1</v>
      </c>
      <c r="D229" t="s">
        <v>7</v>
      </c>
      <c r="E229" cm="1">
        <f t="array" ref="E229">_xlfn.IFS(E228=0,1,AND(E228=1,E227=1,E226=1),2,AND(E228=2,E227=2,E226=2),3,AND(E228=3,E227=3,E226=3),4,AND(E228=5,C228&gt;=20),0,AND(OR(E228=4,E228=5),OR(E227=4,E227=5),OR(E226=4,E226=5)), 5, TRUE,E228)</f>
        <v>1</v>
      </c>
      <c r="F229">
        <v>1</v>
      </c>
      <c r="H229" t="str">
        <f t="shared" si="12"/>
        <v>TAK</v>
      </c>
      <c r="I229" s="5" t="str" cm="1">
        <f t="array" ref="I229">_xlfn.IFS(I228=0,IF(B229&gt;=10,"C","S"),F229=0,0,TRUE,I228)</f>
        <v>S</v>
      </c>
      <c r="J229" t="str">
        <f t="shared" si="13"/>
        <v>TAK</v>
      </c>
      <c r="K229" t="str">
        <f t="shared" si="14"/>
        <v>S</v>
      </c>
    </row>
    <row r="230" spans="1:11" x14ac:dyDescent="0.25">
      <c r="A230">
        <v>229</v>
      </c>
      <c r="B230">
        <v>5.6</v>
      </c>
      <c r="C230">
        <v>6</v>
      </c>
      <c r="D230" t="s">
        <v>7</v>
      </c>
      <c r="E230" cm="1">
        <f t="array" ref="E230">_xlfn.IFS(E229=0,1,AND(E229=1,E228=1,E227=1),2,AND(E229=2,E228=2,E227=2),3,AND(E229=3,E228=3,E227=3),4,AND(E229=5,C229&gt;=20),0,AND(OR(E229=4,E229=5),OR(E228=4,E228=5),OR(E227=4,E227=5)), 5, TRUE,E229)</f>
        <v>1</v>
      </c>
      <c r="F230">
        <v>1</v>
      </c>
      <c r="H230" t="str">
        <f>IF(E230=F230,"TAK","NIE")</f>
        <v>TAK</v>
      </c>
      <c r="I230" s="5" t="str" cm="1">
        <f t="array" ref="I230">_xlfn.IFS(I229=0,IF(B230&gt;=10,"C","S"),F230=0,0,TRUE,I229)</f>
        <v>S</v>
      </c>
      <c r="J230" t="str">
        <f>IF(I230=D230,"TAK","NIE")</f>
        <v>TAK</v>
      </c>
      <c r="K230" t="str">
        <f>D230</f>
        <v>S</v>
      </c>
    </row>
    <row r="231" spans="1:11" x14ac:dyDescent="0.25">
      <c r="A231">
        <v>230</v>
      </c>
      <c r="B231">
        <v>6.4</v>
      </c>
      <c r="C231">
        <v>12</v>
      </c>
      <c r="D231" t="s">
        <v>7</v>
      </c>
      <c r="E231" cm="1">
        <f t="array" ref="E231">_xlfn.IFS(E230=0,1,AND(E230=1,E229=1,E228=1),2,AND(E230=2,E229=2,E228=2),3,AND(E230=3,E229=3,E228=3),4,AND(E230=5,C230&gt;=20),0,AND(OR(E230=4,E230=5),OR(E229=4,E229=5),OR(E228=4,E228=5)), 5, TRUE,E230)</f>
        <v>2</v>
      </c>
      <c r="F231">
        <v>2</v>
      </c>
      <c r="H231" t="str">
        <f t="shared" si="12"/>
        <v>TAK</v>
      </c>
      <c r="I231" s="5" t="str" cm="1">
        <f t="array" ref="I231">_xlfn.IFS(I230=0,IF(B231&gt;=10,"C","S"),F231=0,0,TRUE,I230)</f>
        <v>S</v>
      </c>
      <c r="J231" t="str">
        <f t="shared" si="13"/>
        <v>TAK</v>
      </c>
      <c r="K231" t="str">
        <f t="shared" si="14"/>
        <v>S</v>
      </c>
    </row>
    <row r="232" spans="1:11" x14ac:dyDescent="0.25">
      <c r="A232">
        <v>231</v>
      </c>
      <c r="B232">
        <v>8.1999999999999993</v>
      </c>
      <c r="C232">
        <v>3</v>
      </c>
      <c r="D232" t="s">
        <v>7</v>
      </c>
      <c r="E232" cm="1">
        <f t="array" ref="E232">_xlfn.IFS(E231=0,1,AND(E231=1,E230=1,E229=1),2,AND(E231=2,E230=2,E229=2),3,AND(E231=3,E230=3,E229=3),4,AND(E231=5,C231&gt;=20),0,AND(OR(E231=4,E231=5),OR(E230=4,E230=5),OR(E229=4,E229=5)), 5, TRUE,E231)</f>
        <v>2</v>
      </c>
      <c r="F232">
        <v>2</v>
      </c>
      <c r="H232" t="str">
        <f t="shared" si="12"/>
        <v>TAK</v>
      </c>
      <c r="I232" s="5" t="str" cm="1">
        <f t="array" ref="I232">_xlfn.IFS(I231=0,IF(B232&gt;=10,"C","S"),F232=0,0,TRUE,I231)</f>
        <v>S</v>
      </c>
      <c r="J232" t="str">
        <f t="shared" si="13"/>
        <v>TAK</v>
      </c>
      <c r="K232" t="str">
        <f t="shared" si="14"/>
        <v>S</v>
      </c>
    </row>
    <row r="233" spans="1:11" x14ac:dyDescent="0.25">
      <c r="A233">
        <v>232</v>
      </c>
      <c r="B233">
        <v>10</v>
      </c>
      <c r="C233">
        <v>12</v>
      </c>
      <c r="D233" t="s">
        <v>7</v>
      </c>
      <c r="E233" cm="1">
        <f t="array" ref="E233">_xlfn.IFS(E232=0,1,AND(E232=1,E231=1,E230=1),2,AND(E232=2,E231=2,E230=2),3,AND(E232=3,E231=3,E230=3),4,AND(E232=5,C232&gt;=20),0,AND(OR(E232=4,E232=5),OR(E231=4,E231=5),OR(E230=4,E230=5)), 5, TRUE,E232)</f>
        <v>2</v>
      </c>
      <c r="F233">
        <v>2</v>
      </c>
      <c r="H233" t="str">
        <f t="shared" si="12"/>
        <v>TAK</v>
      </c>
      <c r="I233" s="5" t="str" cm="1">
        <f t="array" ref="I233">_xlfn.IFS(I232=0,IF(B233&gt;=10,"C","S"),F233=0,0,TRUE,I232)</f>
        <v>S</v>
      </c>
      <c r="J233" t="str">
        <f t="shared" si="13"/>
        <v>TAK</v>
      </c>
      <c r="K233" t="str">
        <f t="shared" si="14"/>
        <v>S</v>
      </c>
    </row>
    <row r="234" spans="1:11" x14ac:dyDescent="0.25">
      <c r="A234">
        <v>233</v>
      </c>
      <c r="B234">
        <v>11.1</v>
      </c>
      <c r="C234">
        <v>17</v>
      </c>
      <c r="D234" t="s">
        <v>7</v>
      </c>
      <c r="E234" cm="1">
        <f t="array" ref="E234">_xlfn.IFS(E233=0,1,AND(E233=1,E232=1,E231=1),2,AND(E233=2,E232=2,E231=2),3,AND(E233=3,E232=3,E231=3),4,AND(E233=5,C233&gt;=20),0,AND(OR(E233=4,E233=5),OR(E232=4,E232=5),OR(E231=4,E231=5)), 5, TRUE,E233)</f>
        <v>3</v>
      </c>
      <c r="F234">
        <v>3</v>
      </c>
      <c r="H234" t="str">
        <f t="shared" si="12"/>
        <v>TAK</v>
      </c>
      <c r="I234" s="5" t="str" cm="1">
        <f t="array" ref="I234">_xlfn.IFS(I233=0,IF(B234&gt;=10,"C","S"),F234=0,0,TRUE,I233)</f>
        <v>S</v>
      </c>
      <c r="J234" t="str">
        <f t="shared" si="13"/>
        <v>TAK</v>
      </c>
      <c r="K234" t="str">
        <f t="shared" si="14"/>
        <v>S</v>
      </c>
    </row>
    <row r="235" spans="1:11" x14ac:dyDescent="0.25">
      <c r="A235">
        <v>234</v>
      </c>
      <c r="B235">
        <v>10.9</v>
      </c>
      <c r="C235">
        <v>16</v>
      </c>
      <c r="D235" t="s">
        <v>7</v>
      </c>
      <c r="E235" cm="1">
        <f t="array" ref="E235">_xlfn.IFS(E234=0,1,AND(E234=1,E233=1,E232=1),2,AND(E234=2,E233=2,E232=2),3,AND(E234=3,E233=3,E232=3),4,AND(E234=5,C234&gt;=20),0,AND(OR(E234=4,E234=5),OR(E233=4,E233=5),OR(E232=4,E232=5)), 5, TRUE,E234)</f>
        <v>3</v>
      </c>
      <c r="F235">
        <v>3</v>
      </c>
      <c r="H235" t="str">
        <f t="shared" si="12"/>
        <v>TAK</v>
      </c>
      <c r="I235" s="5" t="str" cm="1">
        <f t="array" ref="I235">_xlfn.IFS(I234=0,IF(B235&gt;=10,"C","S"),F235=0,0,TRUE,I234)</f>
        <v>S</v>
      </c>
      <c r="J235" t="str">
        <f t="shared" si="13"/>
        <v>TAK</v>
      </c>
      <c r="K235" t="str">
        <f t="shared" si="14"/>
        <v>S</v>
      </c>
    </row>
    <row r="236" spans="1:11" x14ac:dyDescent="0.25">
      <c r="A236">
        <v>235</v>
      </c>
      <c r="B236">
        <v>9.3000000000000007</v>
      </c>
      <c r="C236">
        <v>3</v>
      </c>
      <c r="D236" t="s">
        <v>7</v>
      </c>
      <c r="E236" cm="1">
        <f t="array" ref="E236">_xlfn.IFS(E235=0,1,AND(E235=1,E234=1,E233=1),2,AND(E235=2,E234=2,E233=2),3,AND(E235=3,E234=3,E233=3),4,AND(E235=5,C235&gt;=20),0,AND(OR(E235=4,E235=5),OR(E234=4,E234=5),OR(E233=4,E233=5)), 5, TRUE,E235)</f>
        <v>3</v>
      </c>
      <c r="F236">
        <v>3</v>
      </c>
      <c r="H236" t="str">
        <f t="shared" si="12"/>
        <v>TAK</v>
      </c>
      <c r="I236" s="5" t="str" cm="1">
        <f t="array" ref="I236">_xlfn.IFS(I235=0,IF(B236&gt;=10,"C","S"),F236=0,0,TRUE,I235)</f>
        <v>S</v>
      </c>
      <c r="J236" t="str">
        <f t="shared" si="13"/>
        <v>TAK</v>
      </c>
      <c r="K236" t="str">
        <f t="shared" si="14"/>
        <v>S</v>
      </c>
    </row>
    <row r="237" spans="1:11" x14ac:dyDescent="0.25">
      <c r="A237">
        <v>236</v>
      </c>
      <c r="B237">
        <v>6.6</v>
      </c>
      <c r="C237">
        <v>21</v>
      </c>
      <c r="D237" t="s">
        <v>7</v>
      </c>
      <c r="E237" cm="1">
        <f t="array" ref="E237">_xlfn.IFS(E236=0,1,AND(E236=1,E235=1,E234=1),2,AND(E236=2,E235=2,E234=2),3,AND(E236=3,E235=3,E234=3),4,AND(E236=5,C236&gt;=20),0,AND(OR(E236=4,E236=5),OR(E235=4,E235=5),OR(E234=4,E234=5)), 5, TRUE,E236)</f>
        <v>4</v>
      </c>
      <c r="F237">
        <v>4</v>
      </c>
      <c r="H237" t="str">
        <f t="shared" si="12"/>
        <v>TAK</v>
      </c>
      <c r="I237" s="5" t="str" cm="1">
        <f t="array" ref="I237">_xlfn.IFS(I236=0,IF(B237&gt;=10,"C","S"),F237=0,0,TRUE,I236)</f>
        <v>S</v>
      </c>
      <c r="J237" t="str">
        <f t="shared" si="13"/>
        <v>TAK</v>
      </c>
      <c r="K237" t="str">
        <f t="shared" si="14"/>
        <v>S</v>
      </c>
    </row>
    <row r="238" spans="1:11" x14ac:dyDescent="0.25">
      <c r="A238">
        <v>237</v>
      </c>
      <c r="B238">
        <v>3.6</v>
      </c>
      <c r="C238">
        <v>18</v>
      </c>
      <c r="D238" t="s">
        <v>7</v>
      </c>
      <c r="E238" cm="1">
        <f t="array" ref="E238">_xlfn.IFS(E237=0,1,AND(E237=1,E236=1,E235=1),2,AND(E237=2,E236=2,E235=2),3,AND(E237=3,E236=3,E235=3),4,AND(E237=5,C237&gt;=20),0,AND(OR(E237=4,E237=5),OR(E236=4,E236=5),OR(E235=4,E235=5)), 5, TRUE,E237)</f>
        <v>4</v>
      </c>
      <c r="F238">
        <v>4</v>
      </c>
      <c r="H238" t="str">
        <f t="shared" si="12"/>
        <v>TAK</v>
      </c>
      <c r="I238" s="5" t="str" cm="1">
        <f t="array" ref="I238">_xlfn.IFS(I237=0,IF(B238&gt;=10,"C","S"),F238=0,0,TRUE,I237)</f>
        <v>S</v>
      </c>
      <c r="J238" t="str">
        <f t="shared" si="13"/>
        <v>TAK</v>
      </c>
      <c r="K238" t="str">
        <f t="shared" si="14"/>
        <v>S</v>
      </c>
    </row>
    <row r="239" spans="1:11" x14ac:dyDescent="0.25">
      <c r="A239">
        <v>238</v>
      </c>
      <c r="B239">
        <v>1.2</v>
      </c>
      <c r="C239">
        <v>13</v>
      </c>
      <c r="D239" t="s">
        <v>7</v>
      </c>
      <c r="E239" cm="1">
        <f t="array" ref="E239">_xlfn.IFS(E238=0,1,AND(E238=1,E237=1,E236=1),2,AND(E238=2,E237=2,E236=2),3,AND(E238=3,E237=3,E236=3),4,AND(E238=5,C238&gt;=20),0,AND(OR(E238=4,E238=5),OR(E237=4,E237=5),OR(E236=4,E236=5)), 5, TRUE,E238)</f>
        <v>4</v>
      </c>
      <c r="F239">
        <v>4</v>
      </c>
      <c r="H239" t="str">
        <f t="shared" si="12"/>
        <v>TAK</v>
      </c>
      <c r="I239" s="5" t="str" cm="1">
        <f t="array" ref="I239">_xlfn.IFS(I238=0,IF(B239&gt;=10,"C","S"),F239=0,0,TRUE,I238)</f>
        <v>S</v>
      </c>
      <c r="J239" t="str">
        <f t="shared" si="13"/>
        <v>TAK</v>
      </c>
      <c r="K239" t="str">
        <f t="shared" si="14"/>
        <v>S</v>
      </c>
    </row>
    <row r="240" spans="1:11" x14ac:dyDescent="0.25">
      <c r="A240">
        <v>239</v>
      </c>
      <c r="B240">
        <v>0.2</v>
      </c>
      <c r="C240">
        <v>29</v>
      </c>
      <c r="D240" t="s">
        <v>7</v>
      </c>
      <c r="E240" cm="1">
        <f t="array" ref="E240">_xlfn.IFS(E239=0,1,AND(E239=1,E238=1,E237=1),2,AND(E239=2,E238=2,E237=2),3,AND(E239=3,E238=3,E237=3),4,AND(E239=5,C239&gt;=20),0,AND(OR(E239=4,E239=5),OR(E238=4,E238=5),OR(E237=4,E237=5)), 5, TRUE,E239)</f>
        <v>5</v>
      </c>
      <c r="F240">
        <v>5</v>
      </c>
      <c r="H240" t="str">
        <f>IF(E240=F240,"TAK","NIE")</f>
        <v>TAK</v>
      </c>
      <c r="I240" s="5" t="str" cm="1">
        <f t="array" ref="I240">_xlfn.IFS(I239=0,IF(B240&gt;=10,"C","S"),F240=0,0,TRUE,I239)</f>
        <v>S</v>
      </c>
      <c r="J240" t="str">
        <f>IF(I240=D240,"TAK","NIE")</f>
        <v>TAK</v>
      </c>
      <c r="K240" t="str">
        <f>D240</f>
        <v>S</v>
      </c>
    </row>
    <row r="241" spans="1:11" x14ac:dyDescent="0.25">
      <c r="A241">
        <v>240</v>
      </c>
      <c r="B241">
        <v>0.9</v>
      </c>
      <c r="C241">
        <v>0</v>
      </c>
      <c r="D241">
        <v>0</v>
      </c>
      <c r="E241" cm="1">
        <f t="array" ref="E241">_xlfn.IFS(E240=0,1,AND(E240=1,E239=1,E238=1),2,AND(E240=2,E239=2,E238=2),3,AND(E240=3,E239=3,E238=3),4,AND(E240=5,C240&gt;=20),0,AND(OR(E240=4,E240=5),OR(E239=4,E239=5),OR(E238=4,E238=5)), 5, TRUE,E240)</f>
        <v>0</v>
      </c>
      <c r="F241">
        <v>0</v>
      </c>
      <c r="H241" t="str">
        <f t="shared" si="12"/>
        <v>TAK</v>
      </c>
      <c r="I241" s="5" cm="1">
        <f t="array" ref="I241">_xlfn.IFS(I240=0,IF(B241&gt;=10,"C","S"),F241=0,0,TRUE,I240)</f>
        <v>0</v>
      </c>
      <c r="J241" t="str">
        <f t="shared" si="13"/>
        <v>TAK</v>
      </c>
      <c r="K241">
        <f t="shared" si="14"/>
        <v>0</v>
      </c>
    </row>
    <row r="242" spans="1:11" x14ac:dyDescent="0.25">
      <c r="A242">
        <v>241</v>
      </c>
      <c r="B242">
        <v>3.2</v>
      </c>
      <c r="C242">
        <v>6</v>
      </c>
      <c r="D242" t="s">
        <v>7</v>
      </c>
      <c r="E242" cm="1">
        <f t="array" ref="E242">_xlfn.IFS(E241=0,1,AND(E241=1,E240=1,E239=1),2,AND(E241=2,E240=2,E239=2),3,AND(E241=3,E240=3,E239=3),4,AND(E241=5,C241&gt;=20),0,AND(OR(E241=4,E241=5),OR(E240=4,E240=5),OR(E239=4,E239=5)), 5, TRUE,E241)</f>
        <v>1</v>
      </c>
      <c r="F242">
        <v>1</v>
      </c>
      <c r="H242" t="str">
        <f t="shared" si="12"/>
        <v>TAK</v>
      </c>
      <c r="I242" s="5" t="str" cm="1">
        <f t="array" ref="I242">_xlfn.IFS(I241=0,IF(B242&gt;=10,"C","S"),F242=0,0,TRUE,I241)</f>
        <v>S</v>
      </c>
      <c r="J242" t="str">
        <f t="shared" si="13"/>
        <v>TAK</v>
      </c>
      <c r="K242" t="str">
        <f t="shared" si="14"/>
        <v>S</v>
      </c>
    </row>
    <row r="243" spans="1:11" x14ac:dyDescent="0.25">
      <c r="A243">
        <v>242</v>
      </c>
      <c r="B243">
        <v>6.6</v>
      </c>
      <c r="C243">
        <v>5</v>
      </c>
      <c r="D243" t="s">
        <v>7</v>
      </c>
      <c r="E243" cm="1">
        <f t="array" ref="E243">_xlfn.IFS(E242=0,1,AND(E242=1,E241=1,E240=1),2,AND(E242=2,E241=2,E240=2),3,AND(E242=3,E241=3,E240=3),4,AND(E242=5,C242&gt;=20),0,AND(OR(E242=4,E242=5),OR(E241=4,E241=5),OR(E240=4,E240=5)), 5, TRUE,E242)</f>
        <v>1</v>
      </c>
      <c r="F243">
        <v>1</v>
      </c>
      <c r="H243" t="str">
        <f t="shared" si="12"/>
        <v>TAK</v>
      </c>
      <c r="I243" s="5" t="str" cm="1">
        <f t="array" ref="I243">_xlfn.IFS(I242=0,IF(B243&gt;=10,"C","S"),F243=0,0,TRUE,I242)</f>
        <v>S</v>
      </c>
      <c r="J243" t="str">
        <f t="shared" si="13"/>
        <v>TAK</v>
      </c>
      <c r="K243" t="str">
        <f t="shared" si="14"/>
        <v>S</v>
      </c>
    </row>
    <row r="244" spans="1:11" x14ac:dyDescent="0.25">
      <c r="A244">
        <v>243</v>
      </c>
      <c r="B244">
        <v>10</v>
      </c>
      <c r="C244">
        <v>2</v>
      </c>
      <c r="D244" t="s">
        <v>7</v>
      </c>
      <c r="E244" cm="1">
        <f t="array" ref="E244">_xlfn.IFS(E243=0,1,AND(E243=1,E242=1,E241=1),2,AND(E243=2,E242=2,E241=2),3,AND(E243=3,E242=3,E241=3),4,AND(E243=5,C243&gt;=20),0,AND(OR(E243=4,E243=5),OR(E242=4,E242=5),OR(E241=4,E241=5)), 5, TRUE,E243)</f>
        <v>1</v>
      </c>
      <c r="F244">
        <v>1</v>
      </c>
      <c r="H244" t="str">
        <f t="shared" si="12"/>
        <v>TAK</v>
      </c>
      <c r="I244" s="5" t="str" cm="1">
        <f t="array" ref="I244">_xlfn.IFS(I243=0,IF(B244&gt;=10,"C","S"),F244=0,0,TRUE,I243)</f>
        <v>S</v>
      </c>
      <c r="J244" t="str">
        <f t="shared" si="13"/>
        <v>TAK</v>
      </c>
      <c r="K244" t="str">
        <f t="shared" si="14"/>
        <v>S</v>
      </c>
    </row>
    <row r="245" spans="1:11" x14ac:dyDescent="0.25">
      <c r="A245">
        <v>244</v>
      </c>
      <c r="B245">
        <v>12.7</v>
      </c>
      <c r="C245">
        <v>8</v>
      </c>
      <c r="D245" t="s">
        <v>7</v>
      </c>
      <c r="E245" cm="1">
        <f t="array" ref="E245">_xlfn.IFS(E244=0,1,AND(E244=1,E243=1,E242=1),2,AND(E244=2,E243=2,E242=2),3,AND(E244=3,E243=3,E242=3),4,AND(E244=5,C244&gt;=20),0,AND(OR(E244=4,E244=5),OR(E243=4,E243=5),OR(E242=4,E242=5)), 5, TRUE,E244)</f>
        <v>2</v>
      </c>
      <c r="F245">
        <v>2</v>
      </c>
      <c r="H245" t="str">
        <f t="shared" si="12"/>
        <v>TAK</v>
      </c>
      <c r="I245" s="5" t="str" cm="1">
        <f t="array" ref="I245">_xlfn.IFS(I244=0,IF(B245&gt;=10,"C","S"),F245=0,0,TRUE,I244)</f>
        <v>S</v>
      </c>
      <c r="J245" t="str">
        <f t="shared" si="13"/>
        <v>TAK</v>
      </c>
      <c r="K245" t="str">
        <f t="shared" si="14"/>
        <v>S</v>
      </c>
    </row>
    <row r="246" spans="1:11" x14ac:dyDescent="0.25">
      <c r="A246">
        <v>245</v>
      </c>
      <c r="B246">
        <v>14.1</v>
      </c>
      <c r="C246">
        <v>1</v>
      </c>
      <c r="D246" t="s">
        <v>7</v>
      </c>
      <c r="E246" cm="1">
        <f t="array" ref="E246">_xlfn.IFS(E245=0,1,AND(E245=1,E244=1,E243=1),2,AND(E245=2,E244=2,E243=2),3,AND(E245=3,E244=3,E243=3),4,AND(E245=5,C245&gt;=20),0,AND(OR(E245=4,E245=5),OR(E244=4,E244=5),OR(E243=4,E243=5)), 5, TRUE,E245)</f>
        <v>2</v>
      </c>
      <c r="F246">
        <v>2</v>
      </c>
      <c r="H246" t="str">
        <f t="shared" si="12"/>
        <v>TAK</v>
      </c>
      <c r="I246" s="5" t="str" cm="1">
        <f t="array" ref="I246">_xlfn.IFS(I245=0,IF(B246&gt;=10,"C","S"),F246=0,0,TRUE,I245)</f>
        <v>S</v>
      </c>
      <c r="J246" t="str">
        <f t="shared" si="13"/>
        <v>TAK</v>
      </c>
      <c r="K246" t="str">
        <f t="shared" si="14"/>
        <v>S</v>
      </c>
    </row>
    <row r="247" spans="1:11" x14ac:dyDescent="0.25">
      <c r="A247">
        <v>246</v>
      </c>
      <c r="B247">
        <v>14</v>
      </c>
      <c r="C247">
        <v>11</v>
      </c>
      <c r="D247" t="s">
        <v>7</v>
      </c>
      <c r="E247" cm="1">
        <f t="array" ref="E247">_xlfn.IFS(E246=0,1,AND(E246=1,E245=1,E244=1),2,AND(E246=2,E245=2,E244=2),3,AND(E246=3,E245=3,E244=3),4,AND(E246=5,C246&gt;=20),0,AND(OR(E246=4,E246=5),OR(E245=4,E245=5),OR(E244=4,E244=5)), 5, TRUE,E246)</f>
        <v>2</v>
      </c>
      <c r="F247">
        <v>2</v>
      </c>
      <c r="H247" t="str">
        <f t="shared" si="12"/>
        <v>TAK</v>
      </c>
      <c r="I247" s="5" t="str" cm="1">
        <f t="array" ref="I247">_xlfn.IFS(I246=0,IF(B247&gt;=10,"C","S"),F247=0,0,TRUE,I246)</f>
        <v>S</v>
      </c>
      <c r="J247" t="str">
        <f t="shared" si="13"/>
        <v>TAK</v>
      </c>
      <c r="K247" t="str">
        <f t="shared" si="14"/>
        <v>S</v>
      </c>
    </row>
    <row r="248" spans="1:11" x14ac:dyDescent="0.25">
      <c r="A248">
        <v>247</v>
      </c>
      <c r="B248">
        <v>12.7</v>
      </c>
      <c r="C248">
        <v>13</v>
      </c>
      <c r="D248" t="s">
        <v>7</v>
      </c>
      <c r="E248" cm="1">
        <f t="array" ref="E248">_xlfn.IFS(E247=0,1,AND(E247=1,E246=1,E245=1),2,AND(E247=2,E246=2,E245=2),3,AND(E247=3,E246=3,E245=3),4,AND(E247=5,C247&gt;=20),0,AND(OR(E247=4,E247=5),OR(E246=4,E246=5),OR(E245=4,E245=5)), 5, TRUE,E247)</f>
        <v>3</v>
      </c>
      <c r="F248">
        <v>3</v>
      </c>
      <c r="H248" t="str">
        <f t="shared" si="12"/>
        <v>TAK</v>
      </c>
      <c r="I248" s="5" t="str" cm="1">
        <f t="array" ref="I248">_xlfn.IFS(I247=0,IF(B248&gt;=10,"C","S"),F248=0,0,TRUE,I247)</f>
        <v>S</v>
      </c>
      <c r="J248" t="str">
        <f t="shared" si="13"/>
        <v>TAK</v>
      </c>
      <c r="K248" t="str">
        <f t="shared" si="14"/>
        <v>S</v>
      </c>
    </row>
    <row r="249" spans="1:11" x14ac:dyDescent="0.25">
      <c r="A249">
        <v>248</v>
      </c>
      <c r="B249">
        <v>11.1</v>
      </c>
      <c r="C249">
        <v>18</v>
      </c>
      <c r="D249" t="s">
        <v>7</v>
      </c>
      <c r="E249" cm="1">
        <f t="array" ref="E249">_xlfn.IFS(E248=0,1,AND(E248=1,E247=1,E246=1),2,AND(E248=2,E247=2,E246=2),3,AND(E248=3,E247=3,E246=3),4,AND(E248=5,C248&gt;=20),0,AND(OR(E248=4,E248=5),OR(E247=4,E247=5),OR(E246=4,E246=5)), 5, TRUE,E248)</f>
        <v>3</v>
      </c>
      <c r="F249">
        <v>3</v>
      </c>
      <c r="H249" t="str">
        <f t="shared" si="12"/>
        <v>TAK</v>
      </c>
      <c r="I249" s="5" t="str" cm="1">
        <f t="array" ref="I249">_xlfn.IFS(I248=0,IF(B249&gt;=10,"C","S"),F249=0,0,TRUE,I248)</f>
        <v>S</v>
      </c>
      <c r="J249" t="str">
        <f t="shared" si="13"/>
        <v>TAK</v>
      </c>
      <c r="K249" t="str">
        <f t="shared" si="14"/>
        <v>S</v>
      </c>
    </row>
    <row r="250" spans="1:11" x14ac:dyDescent="0.25">
      <c r="A250">
        <v>249</v>
      </c>
      <c r="B250">
        <v>10</v>
      </c>
      <c r="C250">
        <v>15</v>
      </c>
      <c r="D250" t="s">
        <v>7</v>
      </c>
      <c r="E250" cm="1">
        <f t="array" ref="E250">_xlfn.IFS(E249=0,1,AND(E249=1,E248=1,E247=1),2,AND(E249=2,E248=2,E247=2),3,AND(E249=3,E248=3,E247=3),4,AND(E249=5,C249&gt;=20),0,AND(OR(E249=4,E249=5),OR(E248=4,E248=5),OR(E247=4,E247=5)), 5, TRUE,E249)</f>
        <v>3</v>
      </c>
      <c r="F250">
        <v>3</v>
      </c>
      <c r="H250" t="str">
        <f>IF(E250=F250,"TAK","NIE")</f>
        <v>TAK</v>
      </c>
      <c r="I250" s="5" t="str" cm="1">
        <f t="array" ref="I250">_xlfn.IFS(I249=0,IF(B250&gt;=10,"C","S"),F250=0,0,TRUE,I249)</f>
        <v>S</v>
      </c>
      <c r="J250" t="str">
        <f>IF(I250=D250,"TAK","NIE")</f>
        <v>TAK</v>
      </c>
      <c r="K250" t="str">
        <f>D250</f>
        <v>S</v>
      </c>
    </row>
    <row r="251" spans="1:11" x14ac:dyDescent="0.25">
      <c r="A251">
        <v>250</v>
      </c>
      <c r="B251">
        <v>10.1</v>
      </c>
      <c r="C251">
        <v>12</v>
      </c>
      <c r="D251" t="s">
        <v>7</v>
      </c>
      <c r="E251" cm="1">
        <f t="array" ref="E251">_xlfn.IFS(E250=0,1,AND(E250=1,E249=1,E248=1),2,AND(E250=2,E249=2,E248=2),3,AND(E250=3,E249=3,E248=3),4,AND(E250=5,C250&gt;=20),0,AND(OR(E250=4,E250=5),OR(E249=4,E249=5),OR(E248=4,E248=5)), 5, TRUE,E250)</f>
        <v>4</v>
      </c>
      <c r="F251">
        <v>4</v>
      </c>
      <c r="H251" t="str">
        <f t="shared" si="12"/>
        <v>TAK</v>
      </c>
      <c r="I251" s="5" t="str" cm="1">
        <f t="array" ref="I251">_xlfn.IFS(I250=0,IF(B251&gt;=10,"C","S"),F251=0,0,TRUE,I250)</f>
        <v>S</v>
      </c>
      <c r="J251" t="str">
        <f t="shared" si="13"/>
        <v>TAK</v>
      </c>
      <c r="K251" t="str">
        <f t="shared" si="14"/>
        <v>S</v>
      </c>
    </row>
    <row r="252" spans="1:11" x14ac:dyDescent="0.25">
      <c r="A252">
        <v>251</v>
      </c>
      <c r="B252">
        <v>11.7</v>
      </c>
      <c r="C252">
        <v>2</v>
      </c>
      <c r="D252" t="s">
        <v>7</v>
      </c>
      <c r="E252" cm="1">
        <f t="array" ref="E252">_xlfn.IFS(E251=0,1,AND(E251=1,E250=1,E249=1),2,AND(E251=2,E250=2,E249=2),3,AND(E251=3,E250=3,E249=3),4,AND(E251=5,C251&gt;=20),0,AND(OR(E251=4,E251=5),OR(E250=4,E250=5),OR(E249=4,E249=5)), 5, TRUE,E251)</f>
        <v>4</v>
      </c>
      <c r="F252">
        <v>4</v>
      </c>
      <c r="H252" t="str">
        <f t="shared" si="12"/>
        <v>TAK</v>
      </c>
      <c r="I252" s="5" t="str" cm="1">
        <f t="array" ref="I252">_xlfn.IFS(I251=0,IF(B252&gt;=10,"C","S"),F252=0,0,TRUE,I251)</f>
        <v>S</v>
      </c>
      <c r="J252" t="str">
        <f t="shared" si="13"/>
        <v>TAK</v>
      </c>
      <c r="K252" t="str">
        <f t="shared" si="14"/>
        <v>S</v>
      </c>
    </row>
    <row r="253" spans="1:11" x14ac:dyDescent="0.25">
      <c r="A253">
        <v>252</v>
      </c>
      <c r="B253">
        <v>14.8</v>
      </c>
      <c r="C253">
        <v>21</v>
      </c>
      <c r="D253" t="s">
        <v>7</v>
      </c>
      <c r="E253" cm="1">
        <f t="array" ref="E253">_xlfn.IFS(E252=0,1,AND(E252=1,E251=1,E250=1),2,AND(E252=2,E251=2,E250=2),3,AND(E252=3,E251=3,E250=3),4,AND(E252=5,C252&gt;=20),0,AND(OR(E252=4,E252=5),OR(E251=4,E251=5),OR(E250=4,E250=5)), 5, TRUE,E252)</f>
        <v>4</v>
      </c>
      <c r="F253">
        <v>4</v>
      </c>
      <c r="H253" t="str">
        <f t="shared" si="12"/>
        <v>TAK</v>
      </c>
      <c r="I253" s="5" t="str" cm="1">
        <f t="array" ref="I253">_xlfn.IFS(I252=0,IF(B253&gt;=10,"C","S"),F253=0,0,TRUE,I252)</f>
        <v>S</v>
      </c>
      <c r="J253" t="str">
        <f t="shared" si="13"/>
        <v>TAK</v>
      </c>
      <c r="K253" t="str">
        <f t="shared" si="14"/>
        <v>S</v>
      </c>
    </row>
    <row r="254" spans="1:11" x14ac:dyDescent="0.25">
      <c r="A254">
        <v>253</v>
      </c>
      <c r="B254">
        <v>18.7</v>
      </c>
      <c r="C254">
        <v>28</v>
      </c>
      <c r="D254" t="s">
        <v>7</v>
      </c>
      <c r="E254" cm="1">
        <f t="array" ref="E254">_xlfn.IFS(E253=0,1,AND(E253=1,E252=1,E251=1),2,AND(E253=2,E252=2,E251=2),3,AND(E253=3,E252=3,E251=3),4,AND(E253=5,C253&gt;=20),0,AND(OR(E253=4,E253=5),OR(E252=4,E252=5),OR(E251=4,E251=5)), 5, TRUE,E253)</f>
        <v>5</v>
      </c>
      <c r="F254">
        <v>5</v>
      </c>
      <c r="H254" t="str">
        <f t="shared" si="12"/>
        <v>TAK</v>
      </c>
      <c r="I254" s="5" t="str" cm="1">
        <f t="array" ref="I254">_xlfn.IFS(I253=0,IF(B254&gt;=10,"C","S"),F254=0,0,TRUE,I253)</f>
        <v>S</v>
      </c>
      <c r="J254" t="str">
        <f t="shared" si="13"/>
        <v>TAK</v>
      </c>
      <c r="K254" t="str">
        <f t="shared" si="14"/>
        <v>S</v>
      </c>
    </row>
    <row r="255" spans="1:11" x14ac:dyDescent="0.25">
      <c r="A255">
        <v>254</v>
      </c>
      <c r="B255">
        <v>22.5</v>
      </c>
      <c r="C255">
        <v>0</v>
      </c>
      <c r="D255">
        <v>0</v>
      </c>
      <c r="E255" cm="1">
        <f t="array" ref="E255">_xlfn.IFS(E254=0,1,AND(E254=1,E253=1,E252=1),2,AND(E254=2,E253=2,E252=2),3,AND(E254=3,E253=3,E252=3),4,AND(E254=5,C254&gt;=20),0,AND(OR(E254=4,E254=5),OR(E253=4,E253=5),OR(E252=4,E252=5)), 5, TRUE,E254)</f>
        <v>0</v>
      </c>
      <c r="F255">
        <v>0</v>
      </c>
      <c r="H255" t="str">
        <f t="shared" si="12"/>
        <v>TAK</v>
      </c>
      <c r="I255" s="5" cm="1">
        <f t="array" ref="I255">_xlfn.IFS(I254=0,IF(B255&gt;=10,"C","S"),F255=0,0,TRUE,I254)</f>
        <v>0</v>
      </c>
      <c r="J255" t="str">
        <f t="shared" si="13"/>
        <v>TAK</v>
      </c>
      <c r="K255">
        <f t="shared" si="14"/>
        <v>0</v>
      </c>
    </row>
    <row r="256" spans="1:11" x14ac:dyDescent="0.25">
      <c r="A256">
        <v>255</v>
      </c>
      <c r="B256">
        <v>25.4</v>
      </c>
      <c r="C256">
        <v>3</v>
      </c>
      <c r="D256" t="s">
        <v>6</v>
      </c>
      <c r="E256" cm="1">
        <f t="array" ref="E256">_xlfn.IFS(E255=0,1,AND(E255=1,E254=1,E253=1),2,AND(E255=2,E254=2,E253=2),3,AND(E255=3,E254=3,E253=3),4,AND(E255=5,C255&gt;=20),0,AND(OR(E255=4,E255=5),OR(E254=4,E254=5),OR(E253=4,E253=5)), 5, TRUE,E255)</f>
        <v>1</v>
      </c>
      <c r="F256">
        <v>1</v>
      </c>
      <c r="H256" t="str">
        <f t="shared" si="12"/>
        <v>TAK</v>
      </c>
      <c r="I256" s="5" t="str" cm="1">
        <f t="array" ref="I256">_xlfn.IFS(I255=0,IF(B256&gt;=10,"C","S"),F256=0,0,TRUE,I255)</f>
        <v>C</v>
      </c>
      <c r="J256" t="str">
        <f t="shared" si="13"/>
        <v>TAK</v>
      </c>
      <c r="K256" t="str">
        <f t="shared" si="14"/>
        <v>C</v>
      </c>
    </row>
    <row r="257" spans="1:11" x14ac:dyDescent="0.25">
      <c r="A257">
        <v>256</v>
      </c>
      <c r="B257">
        <v>26.8</v>
      </c>
      <c r="C257">
        <v>5</v>
      </c>
      <c r="D257" t="s">
        <v>6</v>
      </c>
      <c r="E257" cm="1">
        <f t="array" ref="E257">_xlfn.IFS(E256=0,1,AND(E256=1,E255=1,E254=1),2,AND(E256=2,E255=2,E254=2),3,AND(E256=3,E255=3,E254=3),4,AND(E256=5,C256&gt;=20),0,AND(OR(E256=4,E256=5),OR(E255=4,E255=5),OR(E254=4,E254=5)), 5, TRUE,E256)</f>
        <v>1</v>
      </c>
      <c r="F257">
        <v>1</v>
      </c>
      <c r="H257" t="str">
        <f t="shared" si="12"/>
        <v>TAK</v>
      </c>
      <c r="I257" s="5" t="str" cm="1">
        <f t="array" ref="I257">_xlfn.IFS(I256=0,IF(B257&gt;=10,"C","S"),F257=0,0,TRUE,I256)</f>
        <v>C</v>
      </c>
      <c r="J257" t="str">
        <f t="shared" si="13"/>
        <v>TAK</v>
      </c>
      <c r="K257" t="str">
        <f t="shared" si="14"/>
        <v>C</v>
      </c>
    </row>
    <row r="258" spans="1:11" x14ac:dyDescent="0.25">
      <c r="A258">
        <v>257</v>
      </c>
      <c r="B258">
        <v>26.5</v>
      </c>
      <c r="C258">
        <v>5</v>
      </c>
      <c r="D258" t="s">
        <v>6</v>
      </c>
      <c r="E258" cm="1">
        <f t="array" ref="E258">_xlfn.IFS(E257=0,1,AND(E257=1,E256=1,E255=1),2,AND(E257=2,E256=2,E255=2),3,AND(E257=3,E256=3,E255=3),4,AND(E257=5,C257&gt;=20),0,AND(OR(E257=4,E257=5),OR(E256=4,E256=5),OR(E255=4,E255=5)), 5, TRUE,E257)</f>
        <v>1</v>
      </c>
      <c r="F258">
        <v>1</v>
      </c>
      <c r="H258" t="str">
        <f t="shared" si="12"/>
        <v>TAK</v>
      </c>
      <c r="I258" s="5" t="str" cm="1">
        <f t="array" ref="I258">_xlfn.IFS(I257=0,IF(B258&gt;=10,"C","S"),F258=0,0,TRUE,I257)</f>
        <v>C</v>
      </c>
      <c r="J258" t="str">
        <f t="shared" si="13"/>
        <v>TAK</v>
      </c>
      <c r="K258" t="str">
        <f t="shared" si="14"/>
        <v>C</v>
      </c>
    </row>
    <row r="259" spans="1:11" x14ac:dyDescent="0.25">
      <c r="A259">
        <v>258</v>
      </c>
      <c r="B259">
        <v>24.9</v>
      </c>
      <c r="C259">
        <v>7</v>
      </c>
      <c r="D259" t="s">
        <v>6</v>
      </c>
      <c r="E259" cm="1">
        <f t="array" ref="E259">_xlfn.IFS(E258=0,1,AND(E258=1,E257=1,E256=1),2,AND(E258=2,E257=2,E256=2),3,AND(E258=3,E257=3,E256=3),4,AND(E258=5,C258&gt;=20),0,AND(OR(E258=4,E258=5),OR(E257=4,E257=5),OR(E256=4,E256=5)), 5, TRUE,E258)</f>
        <v>2</v>
      </c>
      <c r="F259">
        <v>2</v>
      </c>
      <c r="H259" t="str">
        <f t="shared" ref="H259:H299" si="18">IF(E259=F259,"TAK","NIE")</f>
        <v>TAK</v>
      </c>
      <c r="I259" s="5" t="str" cm="1">
        <f t="array" ref="I259">_xlfn.IFS(I258=0,IF(B259&gt;=10,"C","S"),F259=0,0,TRUE,I258)</f>
        <v>C</v>
      </c>
      <c r="J259" t="str">
        <f t="shared" ref="J259:J299" si="19">IF(I259=D259,"TAK","NIE")</f>
        <v>TAK</v>
      </c>
      <c r="K259" t="str">
        <f t="shared" ref="K259:K299" si="20">D259</f>
        <v>C</v>
      </c>
    </row>
    <row r="260" spans="1:11" x14ac:dyDescent="0.25">
      <c r="A260">
        <v>259</v>
      </c>
      <c r="B260">
        <v>22.6</v>
      </c>
      <c r="C260">
        <v>1</v>
      </c>
      <c r="D260" t="s">
        <v>6</v>
      </c>
      <c r="E260" cm="1">
        <f t="array" ref="E260">_xlfn.IFS(E259=0,1,AND(E259=1,E258=1,E257=1),2,AND(E259=2,E258=2,E257=2),3,AND(E259=3,E258=3,E257=3),4,AND(E259=5,C259&gt;=20),0,AND(OR(E259=4,E259=5),OR(E258=4,E258=5),OR(E257=4,E257=5)), 5, TRUE,E259)</f>
        <v>2</v>
      </c>
      <c r="F260">
        <v>2</v>
      </c>
      <c r="H260" t="str">
        <f>IF(E260=F260,"TAK","NIE")</f>
        <v>TAK</v>
      </c>
      <c r="I260" s="5" t="str" cm="1">
        <f t="array" ref="I260">_xlfn.IFS(I259=0,IF(B260&gt;=10,"C","S"),F260=0,0,TRUE,I259)</f>
        <v>C</v>
      </c>
      <c r="J260" t="str">
        <f>IF(I260=D260,"TAK","NIE")</f>
        <v>TAK</v>
      </c>
      <c r="K260" t="str">
        <f>D260</f>
        <v>C</v>
      </c>
    </row>
    <row r="261" spans="1:11" x14ac:dyDescent="0.25">
      <c r="A261">
        <v>260</v>
      </c>
      <c r="B261">
        <v>20.7</v>
      </c>
      <c r="C261">
        <v>6</v>
      </c>
      <c r="D261" t="s">
        <v>6</v>
      </c>
      <c r="E261" cm="1">
        <f t="array" ref="E261">_xlfn.IFS(E260=0,1,AND(E260=1,E259=1,E258=1),2,AND(E260=2,E259=2,E258=2),3,AND(E260=3,E259=3,E258=3),4,AND(E260=5,C260&gt;=20),0,AND(OR(E260=4,E260=5),OR(E259=4,E259=5),OR(E258=4,E258=5)), 5, TRUE,E260)</f>
        <v>2</v>
      </c>
      <c r="F261">
        <v>2</v>
      </c>
      <c r="H261" t="str">
        <f t="shared" si="18"/>
        <v>TAK</v>
      </c>
      <c r="I261" s="5" t="str" cm="1">
        <f t="array" ref="I261">_xlfn.IFS(I260=0,IF(B261&gt;=10,"C","S"),F261=0,0,TRUE,I260)</f>
        <v>C</v>
      </c>
      <c r="J261" t="str">
        <f t="shared" si="19"/>
        <v>TAK</v>
      </c>
      <c r="K261" t="str">
        <f t="shared" si="20"/>
        <v>C</v>
      </c>
    </row>
    <row r="262" spans="1:11" x14ac:dyDescent="0.25">
      <c r="A262">
        <v>261</v>
      </c>
      <c r="B262">
        <v>19.899999999999999</v>
      </c>
      <c r="C262">
        <v>6</v>
      </c>
      <c r="D262" t="s">
        <v>6</v>
      </c>
      <c r="E262" cm="1">
        <f t="array" ref="E262">_xlfn.IFS(E261=0,1,AND(E261=1,E260=1,E259=1),2,AND(E261=2,E260=2,E259=2),3,AND(E261=3,E260=3,E259=3),4,AND(E261=5,C261&gt;=20),0,AND(OR(E261=4,E261=5),OR(E260=4,E260=5),OR(E259=4,E259=5)), 5, TRUE,E261)</f>
        <v>3</v>
      </c>
      <c r="F262">
        <v>3</v>
      </c>
      <c r="H262" t="str">
        <f t="shared" si="18"/>
        <v>TAK</v>
      </c>
      <c r="I262" s="5" t="str" cm="1">
        <f t="array" ref="I262">_xlfn.IFS(I261=0,IF(B262&gt;=10,"C","S"),F262=0,0,TRUE,I261)</f>
        <v>C</v>
      </c>
      <c r="J262" t="str">
        <f t="shared" si="19"/>
        <v>TAK</v>
      </c>
      <c r="K262" t="str">
        <f t="shared" si="20"/>
        <v>C</v>
      </c>
    </row>
    <row r="263" spans="1:11" x14ac:dyDescent="0.25">
      <c r="A263">
        <v>262</v>
      </c>
      <c r="B263">
        <v>20.399999999999999</v>
      </c>
      <c r="C263">
        <v>10</v>
      </c>
      <c r="D263" t="s">
        <v>6</v>
      </c>
      <c r="E263" cm="1">
        <f t="array" ref="E263">_xlfn.IFS(E262=0,1,AND(E262=1,E261=1,E260=1),2,AND(E262=2,E261=2,E260=2),3,AND(E262=3,E261=3,E260=3),4,AND(E262=5,C262&gt;=20),0,AND(OR(E262=4,E262=5),OR(E261=4,E261=5),OR(E260=4,E260=5)), 5, TRUE,E262)</f>
        <v>3</v>
      </c>
      <c r="F263">
        <v>3</v>
      </c>
      <c r="H263" t="str">
        <f t="shared" si="18"/>
        <v>TAK</v>
      </c>
      <c r="I263" s="5" t="str" cm="1">
        <f t="array" ref="I263">_xlfn.IFS(I262=0,IF(B263&gt;=10,"C","S"),F263=0,0,TRUE,I262)</f>
        <v>C</v>
      </c>
      <c r="J263" t="str">
        <f t="shared" si="19"/>
        <v>TAK</v>
      </c>
      <c r="K263" t="str">
        <f t="shared" si="20"/>
        <v>C</v>
      </c>
    </row>
    <row r="264" spans="1:11" x14ac:dyDescent="0.25">
      <c r="A264">
        <v>263</v>
      </c>
      <c r="B264">
        <v>22.3</v>
      </c>
      <c r="C264">
        <v>16</v>
      </c>
      <c r="D264" t="s">
        <v>6</v>
      </c>
      <c r="E264" cm="1">
        <f t="array" ref="E264">_xlfn.IFS(E263=0,1,AND(E263=1,E262=1,E261=1),2,AND(E263=2,E262=2,E261=2),3,AND(E263=3,E262=3,E261=3),4,AND(E263=5,C263&gt;=20),0,AND(OR(E263=4,E263=5),OR(E262=4,E262=5),OR(E261=4,E261=5)), 5, TRUE,E263)</f>
        <v>3</v>
      </c>
      <c r="F264">
        <v>3</v>
      </c>
      <c r="H264" t="str">
        <f t="shared" si="18"/>
        <v>TAK</v>
      </c>
      <c r="I264" s="5" t="str" cm="1">
        <f t="array" ref="I264">_xlfn.IFS(I263=0,IF(B264&gt;=10,"C","S"),F264=0,0,TRUE,I263)</f>
        <v>C</v>
      </c>
      <c r="J264" t="str">
        <f t="shared" si="19"/>
        <v>TAK</v>
      </c>
      <c r="K264" t="str">
        <f t="shared" si="20"/>
        <v>C</v>
      </c>
    </row>
    <row r="265" spans="1:11" x14ac:dyDescent="0.25">
      <c r="A265">
        <v>264</v>
      </c>
      <c r="B265">
        <v>24.8</v>
      </c>
      <c r="C265">
        <v>9</v>
      </c>
      <c r="D265" t="s">
        <v>6</v>
      </c>
      <c r="E265" cm="1">
        <f t="array" ref="E265">_xlfn.IFS(E264=0,1,AND(E264=1,E263=1,E262=1),2,AND(E264=2,E263=2,E262=2),3,AND(E264=3,E263=3,E262=3),4,AND(E264=5,C264&gt;=20),0,AND(OR(E264=4,E264=5),OR(E263=4,E263=5),OR(E262=4,E262=5)), 5, TRUE,E264)</f>
        <v>4</v>
      </c>
      <c r="F265">
        <v>4</v>
      </c>
      <c r="H265" t="str">
        <f t="shared" si="18"/>
        <v>TAK</v>
      </c>
      <c r="I265" s="5" t="str" cm="1">
        <f t="array" ref="I265">_xlfn.IFS(I264=0,IF(B265&gt;=10,"C","S"),F265=0,0,TRUE,I264)</f>
        <v>C</v>
      </c>
      <c r="J265" t="str">
        <f t="shared" si="19"/>
        <v>TAK</v>
      </c>
      <c r="K265" t="str">
        <f t="shared" si="20"/>
        <v>C</v>
      </c>
    </row>
    <row r="266" spans="1:11" x14ac:dyDescent="0.25">
      <c r="A266">
        <v>265</v>
      </c>
      <c r="B266">
        <v>27.2</v>
      </c>
      <c r="C266">
        <v>18</v>
      </c>
      <c r="D266" t="s">
        <v>6</v>
      </c>
      <c r="E266" cm="1">
        <f t="array" ref="E266">_xlfn.IFS(E265=0,1,AND(E265=1,E264=1,E263=1),2,AND(E265=2,E264=2,E263=2),3,AND(E265=3,E264=3,E263=3),4,AND(E265=5,C265&gt;=20),0,AND(OR(E265=4,E265=5),OR(E264=4,E264=5),OR(E263=4,E263=5)), 5, TRUE,E265)</f>
        <v>4</v>
      </c>
      <c r="F266">
        <v>4</v>
      </c>
      <c r="H266" t="str">
        <f t="shared" si="18"/>
        <v>TAK</v>
      </c>
      <c r="I266" s="5" t="str" cm="1">
        <f t="array" ref="I266">_xlfn.IFS(I265=0,IF(B266&gt;=10,"C","S"),F266=0,0,TRUE,I265)</f>
        <v>C</v>
      </c>
      <c r="J266" t="str">
        <f t="shared" si="19"/>
        <v>TAK</v>
      </c>
      <c r="K266" t="str">
        <f t="shared" si="20"/>
        <v>C</v>
      </c>
    </row>
    <row r="267" spans="1:11" x14ac:dyDescent="0.25">
      <c r="A267">
        <v>266</v>
      </c>
      <c r="B267">
        <v>28.6</v>
      </c>
      <c r="C267">
        <v>4</v>
      </c>
      <c r="D267" t="s">
        <v>6</v>
      </c>
      <c r="E267" cm="1">
        <f t="array" ref="E267">_xlfn.IFS(E266=0,1,AND(E266=1,E265=1,E264=1),2,AND(E266=2,E265=2,E264=2),3,AND(E266=3,E265=3,E264=3),4,AND(E266=5,C266&gt;=20),0,AND(OR(E266=4,E266=5),OR(E265=4,E265=5),OR(E264=4,E264=5)), 5, TRUE,E266)</f>
        <v>4</v>
      </c>
      <c r="F267">
        <v>4</v>
      </c>
      <c r="H267" t="str">
        <f t="shared" si="18"/>
        <v>TAK</v>
      </c>
      <c r="I267" s="5" t="str" cm="1">
        <f t="array" ref="I267">_xlfn.IFS(I266=0,IF(B267&gt;=10,"C","S"),F267=0,0,TRUE,I266)</f>
        <v>C</v>
      </c>
      <c r="J267" t="str">
        <f t="shared" si="19"/>
        <v>TAK</v>
      </c>
      <c r="K267" t="str">
        <f t="shared" si="20"/>
        <v>C</v>
      </c>
    </row>
    <row r="268" spans="1:11" x14ac:dyDescent="0.25">
      <c r="A268">
        <v>267</v>
      </c>
      <c r="B268">
        <v>28.4</v>
      </c>
      <c r="C268">
        <v>22</v>
      </c>
      <c r="D268" t="s">
        <v>6</v>
      </c>
      <c r="E268" cm="1">
        <f t="array" ref="E268">_xlfn.IFS(E267=0,1,AND(E267=1,E266=1,E265=1),2,AND(E267=2,E266=2,E265=2),3,AND(E267=3,E266=3,E265=3),4,AND(E267=5,C267&gt;=20),0,AND(OR(E267=4,E267=5),OR(E266=4,E266=5),OR(E265=4,E265=5)), 5, TRUE,E267)</f>
        <v>5</v>
      </c>
      <c r="F268">
        <v>5</v>
      </c>
      <c r="H268" t="str">
        <f t="shared" si="18"/>
        <v>TAK</v>
      </c>
      <c r="I268" s="5" t="str" cm="1">
        <f t="array" ref="I268">_xlfn.IFS(I267=0,IF(B268&gt;=10,"C","S"),F268=0,0,TRUE,I267)</f>
        <v>C</v>
      </c>
      <c r="J268" t="str">
        <f t="shared" si="19"/>
        <v>TAK</v>
      </c>
      <c r="K268" t="str">
        <f t="shared" si="20"/>
        <v>C</v>
      </c>
    </row>
    <row r="269" spans="1:11" x14ac:dyDescent="0.25">
      <c r="A269">
        <v>268</v>
      </c>
      <c r="B269">
        <v>26.5</v>
      </c>
      <c r="C269">
        <v>0</v>
      </c>
      <c r="D269">
        <v>0</v>
      </c>
      <c r="E269" cm="1">
        <f t="array" ref="E269">_xlfn.IFS(E268=0,1,AND(E268=1,E267=1,E266=1),2,AND(E268=2,E267=2,E266=2),3,AND(E268=3,E267=3,E266=3),4,AND(E268=5,C268&gt;=20),0,AND(OR(E268=4,E268=5),OR(E267=4,E267=5),OR(E266=4,E266=5)), 5, TRUE,E268)</f>
        <v>0</v>
      </c>
      <c r="F269">
        <v>0</v>
      </c>
      <c r="H269" t="str">
        <f t="shared" si="18"/>
        <v>TAK</v>
      </c>
      <c r="I269" s="5" cm="1">
        <f t="array" ref="I269">_xlfn.IFS(I268=0,IF(B269&gt;=10,"C","S"),F269=0,0,TRUE,I268)</f>
        <v>0</v>
      </c>
      <c r="J269" t="str">
        <f t="shared" si="19"/>
        <v>TAK</v>
      </c>
      <c r="K269">
        <f t="shared" si="20"/>
        <v>0</v>
      </c>
    </row>
    <row r="270" spans="1:11" x14ac:dyDescent="0.25">
      <c r="A270">
        <v>269</v>
      </c>
      <c r="B270">
        <v>23.3</v>
      </c>
      <c r="C270">
        <v>4</v>
      </c>
      <c r="D270" t="s">
        <v>6</v>
      </c>
      <c r="E270" cm="1">
        <f t="array" ref="E270">_xlfn.IFS(E269=0,1,AND(E269=1,E268=1,E267=1),2,AND(E269=2,E268=2,E267=2),3,AND(E269=3,E268=3,E267=3),4,AND(E269=5,C269&gt;=20),0,AND(OR(E269=4,E269=5),OR(E268=4,E268=5),OR(E267=4,E267=5)), 5, TRUE,E269)</f>
        <v>1</v>
      </c>
      <c r="F270">
        <v>1</v>
      </c>
      <c r="H270" t="str">
        <f>IF(E270=F270,"TAK","NIE")</f>
        <v>TAK</v>
      </c>
      <c r="I270" s="5" t="str" cm="1">
        <f t="array" ref="I270">_xlfn.IFS(I269=0,IF(B270&gt;=10,"C","S"),F270=0,0,TRUE,I269)</f>
        <v>C</v>
      </c>
      <c r="J270" t="str">
        <f>IF(I270=D270,"TAK","NIE")</f>
        <v>TAK</v>
      </c>
      <c r="K270" t="str">
        <f>D270</f>
        <v>C</v>
      </c>
    </row>
    <row r="271" spans="1:11" x14ac:dyDescent="0.25">
      <c r="A271">
        <v>270</v>
      </c>
      <c r="B271">
        <v>19.5</v>
      </c>
      <c r="C271">
        <v>6</v>
      </c>
      <c r="D271" t="s">
        <v>6</v>
      </c>
      <c r="E271" cm="1">
        <f t="array" ref="E271">_xlfn.IFS(E270=0,1,AND(E270=1,E269=1,E268=1),2,AND(E270=2,E269=2,E268=2),3,AND(E270=3,E269=3,E268=3),4,AND(E270=5,C270&gt;=20),0,AND(OR(E270=4,E270=5),OR(E269=4,E269=5),OR(E268=4,E268=5)), 5, TRUE,E270)</f>
        <v>1</v>
      </c>
      <c r="F271">
        <v>1</v>
      </c>
      <c r="H271" t="str">
        <f t="shared" si="18"/>
        <v>TAK</v>
      </c>
      <c r="I271" s="5" t="str" cm="1">
        <f t="array" ref="I271">_xlfn.IFS(I270=0,IF(B271&gt;=10,"C","S"),F271=0,0,TRUE,I270)</f>
        <v>C</v>
      </c>
      <c r="J271" t="str">
        <f t="shared" si="19"/>
        <v>TAK</v>
      </c>
      <c r="K271" t="str">
        <f t="shared" si="20"/>
        <v>C</v>
      </c>
    </row>
    <row r="272" spans="1:11" x14ac:dyDescent="0.25">
      <c r="A272">
        <v>271</v>
      </c>
      <c r="B272">
        <v>16</v>
      </c>
      <c r="C272">
        <v>6</v>
      </c>
      <c r="D272" t="s">
        <v>6</v>
      </c>
      <c r="E272" cm="1">
        <f t="array" ref="E272">_xlfn.IFS(E271=0,1,AND(E271=1,E270=1,E269=1),2,AND(E271=2,E270=2,E269=2),3,AND(E271=3,E270=3,E269=3),4,AND(E271=5,C271&gt;=20),0,AND(OR(E271=4,E271=5),OR(E270=4,E270=5),OR(E269=4,E269=5)), 5, TRUE,E271)</f>
        <v>1</v>
      </c>
      <c r="F272">
        <v>1</v>
      </c>
      <c r="H272" t="str">
        <f t="shared" si="18"/>
        <v>TAK</v>
      </c>
      <c r="I272" s="5" t="str" cm="1">
        <f t="array" ref="I272">_xlfn.IFS(I271=0,IF(B272&gt;=10,"C","S"),F272=0,0,TRUE,I271)</f>
        <v>C</v>
      </c>
      <c r="J272" t="str">
        <f t="shared" si="19"/>
        <v>TAK</v>
      </c>
      <c r="K272" t="str">
        <f t="shared" si="20"/>
        <v>C</v>
      </c>
    </row>
    <row r="273" spans="1:11" x14ac:dyDescent="0.25">
      <c r="A273">
        <v>272</v>
      </c>
      <c r="B273">
        <v>13.7</v>
      </c>
      <c r="C273">
        <v>9</v>
      </c>
      <c r="D273" t="s">
        <v>6</v>
      </c>
      <c r="E273" cm="1">
        <f t="array" ref="E273">_xlfn.IFS(E272=0,1,AND(E272=1,E271=1,E270=1),2,AND(E272=2,E271=2,E270=2),3,AND(E272=3,E271=3,E270=3),4,AND(E272=5,C272&gt;=20),0,AND(OR(E272=4,E272=5),OR(E271=4,E271=5),OR(E270=4,E270=5)), 5, TRUE,E272)</f>
        <v>2</v>
      </c>
      <c r="F273">
        <v>2</v>
      </c>
      <c r="H273" t="str">
        <f t="shared" si="18"/>
        <v>TAK</v>
      </c>
      <c r="I273" s="5" t="str" cm="1">
        <f t="array" ref="I273">_xlfn.IFS(I272=0,IF(B273&gt;=10,"C","S"),F273=0,0,TRUE,I272)</f>
        <v>C</v>
      </c>
      <c r="J273" t="str">
        <f t="shared" si="19"/>
        <v>TAK</v>
      </c>
      <c r="K273" t="str">
        <f t="shared" si="20"/>
        <v>C</v>
      </c>
    </row>
    <row r="274" spans="1:11" x14ac:dyDescent="0.25">
      <c r="A274">
        <v>273</v>
      </c>
      <c r="B274">
        <v>12.9</v>
      </c>
      <c r="C274">
        <v>7</v>
      </c>
      <c r="D274" t="s">
        <v>6</v>
      </c>
      <c r="E274" cm="1">
        <f t="array" ref="E274">_xlfn.IFS(E273=0,1,AND(E273=1,E272=1,E271=1),2,AND(E273=2,E272=2,E271=2),3,AND(E273=3,E272=3,E271=3),4,AND(E273=5,C273&gt;=20),0,AND(OR(E273=4,E273=5),OR(E272=4,E272=5),OR(E271=4,E271=5)), 5, TRUE,E273)</f>
        <v>2</v>
      </c>
      <c r="F274">
        <v>2</v>
      </c>
      <c r="H274" t="str">
        <f t="shared" si="18"/>
        <v>TAK</v>
      </c>
      <c r="I274" s="5" t="str" cm="1">
        <f t="array" ref="I274">_xlfn.IFS(I273=0,IF(B274&gt;=10,"C","S"),F274=0,0,TRUE,I273)</f>
        <v>C</v>
      </c>
      <c r="J274" t="str">
        <f t="shared" si="19"/>
        <v>TAK</v>
      </c>
      <c r="K274" t="str">
        <f t="shared" si="20"/>
        <v>C</v>
      </c>
    </row>
    <row r="275" spans="1:11" x14ac:dyDescent="0.25">
      <c r="A275">
        <v>274</v>
      </c>
      <c r="B275">
        <v>13.5</v>
      </c>
      <c r="C275">
        <v>1</v>
      </c>
      <c r="D275" t="s">
        <v>6</v>
      </c>
      <c r="E275" cm="1">
        <f t="array" ref="E275">_xlfn.IFS(E274=0,1,AND(E274=1,E273=1,E272=1),2,AND(E274=2,E273=2,E272=2),3,AND(E274=3,E273=3,E272=3),4,AND(E274=5,C274&gt;=20),0,AND(OR(E274=4,E274=5),OR(E273=4,E273=5),OR(E272=4,E272=5)), 5, TRUE,E274)</f>
        <v>2</v>
      </c>
      <c r="F275">
        <v>2</v>
      </c>
      <c r="H275" t="str">
        <f t="shared" si="18"/>
        <v>TAK</v>
      </c>
      <c r="I275" s="5" t="str" cm="1">
        <f t="array" ref="I275">_xlfn.IFS(I274=0,IF(B275&gt;=10,"C","S"),F275=0,0,TRUE,I274)</f>
        <v>C</v>
      </c>
      <c r="J275" t="str">
        <f t="shared" si="19"/>
        <v>TAK</v>
      </c>
      <c r="K275" t="str">
        <f t="shared" si="20"/>
        <v>C</v>
      </c>
    </row>
    <row r="276" spans="1:11" x14ac:dyDescent="0.25">
      <c r="A276">
        <v>275</v>
      </c>
      <c r="B276">
        <v>15</v>
      </c>
      <c r="C276">
        <v>18</v>
      </c>
      <c r="D276" t="s">
        <v>6</v>
      </c>
      <c r="E276" cm="1">
        <f t="array" ref="E276">_xlfn.IFS(E275=0,1,AND(E275=1,E274=1,E273=1),2,AND(E275=2,E274=2,E273=2),3,AND(E275=3,E274=3,E273=3),4,AND(E275=5,C275&gt;=20),0,AND(OR(E275=4,E275=5),OR(E274=4,E274=5),OR(E273=4,E273=5)), 5, TRUE,E275)</f>
        <v>3</v>
      </c>
      <c r="F276">
        <v>3</v>
      </c>
      <c r="H276" t="str">
        <f t="shared" si="18"/>
        <v>TAK</v>
      </c>
      <c r="I276" s="5" t="str" cm="1">
        <f t="array" ref="I276">_xlfn.IFS(I275=0,IF(B276&gt;=10,"C","S"),F276=0,0,TRUE,I275)</f>
        <v>C</v>
      </c>
      <c r="J276" t="str">
        <f t="shared" si="19"/>
        <v>TAK</v>
      </c>
      <c r="K276" t="str">
        <f t="shared" si="20"/>
        <v>C</v>
      </c>
    </row>
    <row r="277" spans="1:11" x14ac:dyDescent="0.25">
      <c r="A277">
        <v>276</v>
      </c>
      <c r="B277">
        <v>16.399999999999999</v>
      </c>
      <c r="C277">
        <v>13</v>
      </c>
      <c r="D277" t="s">
        <v>6</v>
      </c>
      <c r="E277" cm="1">
        <f t="array" ref="E277">_xlfn.IFS(E276=0,1,AND(E276=1,E275=1,E274=1),2,AND(E276=2,E275=2,E274=2),3,AND(E276=3,E275=3,E274=3),4,AND(E276=5,C276&gt;=20),0,AND(OR(E276=4,E276=5),OR(E275=4,E275=5),OR(E274=4,E274=5)), 5, TRUE,E276)</f>
        <v>3</v>
      </c>
      <c r="F277">
        <v>3</v>
      </c>
      <c r="H277" t="str">
        <f t="shared" si="18"/>
        <v>TAK</v>
      </c>
      <c r="I277" s="5" t="str" cm="1">
        <f t="array" ref="I277">_xlfn.IFS(I276=0,IF(B277&gt;=10,"C","S"),F277=0,0,TRUE,I276)</f>
        <v>C</v>
      </c>
      <c r="J277" t="str">
        <f t="shared" si="19"/>
        <v>TAK</v>
      </c>
      <c r="K277" t="str">
        <f t="shared" si="20"/>
        <v>C</v>
      </c>
    </row>
    <row r="278" spans="1:11" x14ac:dyDescent="0.25">
      <c r="A278">
        <v>277</v>
      </c>
      <c r="B278">
        <v>17.100000000000001</v>
      </c>
      <c r="C278">
        <v>2</v>
      </c>
      <c r="D278" t="s">
        <v>6</v>
      </c>
      <c r="E278" cm="1">
        <f t="array" ref="E278">_xlfn.IFS(E277=0,1,AND(E277=1,E276=1,E275=1),2,AND(E277=2,E276=2,E275=2),3,AND(E277=3,E276=3,E275=3),4,AND(E277=5,C277&gt;=20),0,AND(OR(E277=4,E277=5),OR(E276=4,E276=5),OR(E275=4,E275=5)), 5, TRUE,E277)</f>
        <v>3</v>
      </c>
      <c r="F278">
        <v>3</v>
      </c>
      <c r="H278" t="str">
        <f t="shared" si="18"/>
        <v>TAK</v>
      </c>
      <c r="I278" s="5" t="str" cm="1">
        <f t="array" ref="I278">_xlfn.IFS(I277=0,IF(B278&gt;=10,"C","S"),F278=0,0,TRUE,I277)</f>
        <v>C</v>
      </c>
      <c r="J278" t="str">
        <f t="shared" si="19"/>
        <v>TAK</v>
      </c>
      <c r="K278" t="str">
        <f t="shared" si="20"/>
        <v>C</v>
      </c>
    </row>
    <row r="279" spans="1:11" x14ac:dyDescent="0.25">
      <c r="A279">
        <v>278</v>
      </c>
      <c r="B279">
        <v>16.3</v>
      </c>
      <c r="C279">
        <v>10</v>
      </c>
      <c r="D279" t="s">
        <v>6</v>
      </c>
      <c r="E279" cm="1">
        <f t="array" ref="E279">_xlfn.IFS(E278=0,1,AND(E278=1,E277=1,E276=1),2,AND(E278=2,E277=2,E276=2),3,AND(E278=3,E277=3,E276=3),4,AND(E278=5,C278&gt;=20),0,AND(OR(E278=4,E278=5),OR(E277=4,E277=5),OR(E276=4,E276=5)), 5, TRUE,E278)</f>
        <v>4</v>
      </c>
      <c r="F279">
        <v>4</v>
      </c>
      <c r="H279" t="str">
        <f t="shared" si="18"/>
        <v>TAK</v>
      </c>
      <c r="I279" s="5" t="str" cm="1">
        <f t="array" ref="I279">_xlfn.IFS(I278=0,IF(B279&gt;=10,"C","S"),F279=0,0,TRUE,I278)</f>
        <v>C</v>
      </c>
      <c r="J279" t="str">
        <f t="shared" si="19"/>
        <v>TAK</v>
      </c>
      <c r="K279" t="str">
        <f t="shared" si="20"/>
        <v>C</v>
      </c>
    </row>
    <row r="280" spans="1:11" x14ac:dyDescent="0.25">
      <c r="A280">
        <v>279</v>
      </c>
      <c r="B280">
        <v>14</v>
      </c>
      <c r="C280">
        <v>6</v>
      </c>
      <c r="D280" t="s">
        <v>6</v>
      </c>
      <c r="E280" cm="1">
        <f t="array" ref="E280">_xlfn.IFS(E279=0,1,AND(E279=1,E278=1,E277=1),2,AND(E279=2,E278=2,E277=2),3,AND(E279=3,E278=3,E277=3),4,AND(E279=5,C279&gt;=20),0,AND(OR(E279=4,E279=5),OR(E278=4,E278=5),OR(E277=4,E277=5)), 5, TRUE,E279)</f>
        <v>4</v>
      </c>
      <c r="F280">
        <v>4</v>
      </c>
      <c r="H280" t="str">
        <f>IF(E280=F280,"TAK","NIE")</f>
        <v>TAK</v>
      </c>
      <c r="I280" s="5" t="str" cm="1">
        <f t="array" ref="I280">_xlfn.IFS(I279=0,IF(B280&gt;=10,"C","S"),F280=0,0,TRUE,I279)</f>
        <v>C</v>
      </c>
      <c r="J280" t="str">
        <f>IF(I280=D280,"TAK","NIE")</f>
        <v>TAK</v>
      </c>
      <c r="K280" t="str">
        <f>D280</f>
        <v>C</v>
      </c>
    </row>
    <row r="281" spans="1:11" x14ac:dyDescent="0.25">
      <c r="A281">
        <v>280</v>
      </c>
      <c r="B281">
        <v>10.5</v>
      </c>
      <c r="C281">
        <v>20</v>
      </c>
      <c r="D281" t="s">
        <v>6</v>
      </c>
      <c r="E281" cm="1">
        <f t="array" ref="E281">_xlfn.IFS(E280=0,1,AND(E280=1,E279=1,E278=1),2,AND(E280=2,E279=2,E278=2),3,AND(E280=3,E279=3,E278=3),4,AND(E280=5,C280&gt;=20),0,AND(OR(E280=4,E280=5),OR(E279=4,E279=5),OR(E278=4,E278=5)), 5, TRUE,E280)</f>
        <v>4</v>
      </c>
      <c r="F281">
        <v>4</v>
      </c>
      <c r="H281" t="str">
        <f t="shared" si="18"/>
        <v>TAK</v>
      </c>
      <c r="I281" s="5" t="str" cm="1">
        <f t="array" ref="I281">_xlfn.IFS(I280=0,IF(B281&gt;=10,"C","S"),F281=0,0,TRUE,I280)</f>
        <v>C</v>
      </c>
      <c r="J281" t="str">
        <f t="shared" si="19"/>
        <v>TAK</v>
      </c>
      <c r="K281" t="str">
        <f t="shared" si="20"/>
        <v>C</v>
      </c>
    </row>
    <row r="282" spans="1:11" x14ac:dyDescent="0.25">
      <c r="A282">
        <v>281</v>
      </c>
      <c r="B282">
        <v>6.7</v>
      </c>
      <c r="C282">
        <v>17</v>
      </c>
      <c r="D282" t="s">
        <v>6</v>
      </c>
      <c r="E282" cm="1">
        <f t="array" ref="E282">_xlfn.IFS(E281=0,1,AND(E281=1,E280=1,E279=1),2,AND(E281=2,E280=2,E279=2),3,AND(E281=3,E280=3,E279=3),4,AND(E281=5,C281&gt;=20),0,AND(OR(E281=4,E281=5),OR(E280=4,E280=5),OR(E279=4,E279=5)), 5, TRUE,E281)</f>
        <v>5</v>
      </c>
      <c r="F282">
        <v>5</v>
      </c>
      <c r="H282" t="str">
        <f t="shared" si="18"/>
        <v>TAK</v>
      </c>
      <c r="I282" s="5" t="str" cm="1">
        <f t="array" ref="I282">_xlfn.IFS(I281=0,IF(B282&gt;=10,"C","S"),F282=0,0,TRUE,I281)</f>
        <v>C</v>
      </c>
      <c r="J282" t="str">
        <f t="shared" si="19"/>
        <v>TAK</v>
      </c>
      <c r="K282" t="str">
        <f t="shared" si="20"/>
        <v>C</v>
      </c>
    </row>
    <row r="283" spans="1:11" x14ac:dyDescent="0.25">
      <c r="A283">
        <v>282</v>
      </c>
      <c r="B283">
        <v>3.5</v>
      </c>
      <c r="C283">
        <v>13</v>
      </c>
      <c r="D283" t="s">
        <v>6</v>
      </c>
      <c r="E283" cm="1">
        <f t="array" ref="E283">_xlfn.IFS(E282=0,1,AND(E282=1,E281=1,E280=1),2,AND(E282=2,E281=2,E280=2),3,AND(E282=3,E281=3,E280=3),4,AND(E282=5,C282&gt;=20),0,AND(OR(E282=4,E282=5),OR(E281=4,E281=5),OR(E280=4,E280=5)), 5, TRUE,E282)</f>
        <v>5</v>
      </c>
      <c r="F283">
        <v>5</v>
      </c>
      <c r="H283" t="str">
        <f t="shared" si="18"/>
        <v>TAK</v>
      </c>
      <c r="I283" s="5" t="str" cm="1">
        <f t="array" ref="I283">_xlfn.IFS(I282=0,IF(B283&gt;=10,"C","S"),F283=0,0,TRUE,I282)</f>
        <v>C</v>
      </c>
      <c r="J283" t="str">
        <f t="shared" si="19"/>
        <v>TAK</v>
      </c>
      <c r="K283" t="str">
        <f t="shared" si="20"/>
        <v>C</v>
      </c>
    </row>
    <row r="284" spans="1:11" x14ac:dyDescent="0.25">
      <c r="A284">
        <v>283</v>
      </c>
      <c r="B284">
        <v>1.6</v>
      </c>
      <c r="C284">
        <v>18</v>
      </c>
      <c r="D284" t="s">
        <v>6</v>
      </c>
      <c r="E284" cm="1">
        <f t="array" ref="E284">_xlfn.IFS(E283=0,1,AND(E283=1,E282=1,E281=1),2,AND(E283=2,E282=2,E281=2),3,AND(E283=3,E282=3,E281=3),4,AND(E283=5,C283&gt;=20),0,AND(OR(E283=4,E283=5),OR(E282=4,E282=5),OR(E281=4,E281=5)), 5, TRUE,E283)</f>
        <v>5</v>
      </c>
      <c r="F284">
        <v>5</v>
      </c>
      <c r="H284" t="str">
        <f t="shared" si="18"/>
        <v>TAK</v>
      </c>
      <c r="I284" s="5" t="str" cm="1">
        <f t="array" ref="I284">_xlfn.IFS(I283=0,IF(B284&gt;=10,"C","S"),F284=0,0,TRUE,I283)</f>
        <v>C</v>
      </c>
      <c r="J284" t="str">
        <f t="shared" si="19"/>
        <v>TAK</v>
      </c>
      <c r="K284" t="str">
        <f t="shared" si="20"/>
        <v>C</v>
      </c>
    </row>
    <row r="285" spans="1:11" x14ac:dyDescent="0.25">
      <c r="A285">
        <v>284</v>
      </c>
      <c r="B285">
        <v>1.4</v>
      </c>
      <c r="C285">
        <v>20</v>
      </c>
      <c r="D285" t="s">
        <v>6</v>
      </c>
      <c r="E285" cm="1">
        <f t="array" ref="E285">_xlfn.IFS(E284=0,1,AND(E284=1,E283=1,E282=1),2,AND(E284=2,E283=2,E282=2),3,AND(E284=3,E283=3,E282=3),4,AND(E284=5,C284&gt;=20),0,AND(OR(E284=4,E284=5),OR(E283=4,E283=5),OR(E282=4,E282=5)), 5, TRUE,E284)</f>
        <v>5</v>
      </c>
      <c r="F285">
        <v>5</v>
      </c>
      <c r="H285" t="str">
        <f t="shared" si="18"/>
        <v>TAK</v>
      </c>
      <c r="I285" s="5" t="str" cm="1">
        <f t="array" ref="I285">_xlfn.IFS(I284=0,IF(B285&gt;=10,"C","S"),F285=0,0,TRUE,I284)</f>
        <v>C</v>
      </c>
      <c r="J285" t="str">
        <f t="shared" si="19"/>
        <v>TAK</v>
      </c>
      <c r="K285" t="str">
        <f t="shared" si="20"/>
        <v>C</v>
      </c>
    </row>
    <row r="286" spans="1:11" x14ac:dyDescent="0.25">
      <c r="A286">
        <v>285</v>
      </c>
      <c r="B286">
        <v>2.8</v>
      </c>
      <c r="C286">
        <v>0</v>
      </c>
      <c r="D286">
        <v>0</v>
      </c>
      <c r="E286" cm="1">
        <f t="array" ref="E286">_xlfn.IFS(E285=0,1,AND(E285=1,E284=1,E283=1),2,AND(E285=2,E284=2,E283=2),3,AND(E285=3,E284=3,E283=3),4,AND(E285=5,C285&gt;=20),0,AND(OR(E285=4,E285=5),OR(E284=4,E284=5),OR(E283=4,E283=5)), 5, TRUE,E285)</f>
        <v>0</v>
      </c>
      <c r="F286">
        <v>0</v>
      </c>
      <c r="H286" t="str">
        <f t="shared" si="18"/>
        <v>TAK</v>
      </c>
      <c r="I286" s="5" cm="1">
        <f t="array" ref="I286">_xlfn.IFS(I285=0,IF(B286&gt;=10,"C","S"),F286=0,0,TRUE,I285)</f>
        <v>0</v>
      </c>
      <c r="J286" t="str">
        <f t="shared" si="19"/>
        <v>TAK</v>
      </c>
      <c r="K286">
        <f t="shared" si="20"/>
        <v>0</v>
      </c>
    </row>
    <row r="287" spans="1:11" x14ac:dyDescent="0.25">
      <c r="A287">
        <v>286</v>
      </c>
      <c r="B287">
        <v>5.2</v>
      </c>
      <c r="C287">
        <v>6</v>
      </c>
      <c r="D287" t="s">
        <v>7</v>
      </c>
      <c r="E287" cm="1">
        <f t="array" ref="E287">_xlfn.IFS(E286=0,1,AND(E286=1,E285=1,E284=1),2,AND(E286=2,E285=2,E284=2),3,AND(E286=3,E285=3,E284=3),4,AND(E286=5,C286&gt;=20),0,AND(OR(E286=4,E286=5),OR(E285=4,E285=5),OR(E284=4,E284=5)), 5, TRUE,E286)</f>
        <v>1</v>
      </c>
      <c r="F287">
        <v>1</v>
      </c>
      <c r="H287" t="str">
        <f t="shared" si="18"/>
        <v>TAK</v>
      </c>
      <c r="I287" s="5" t="str" cm="1">
        <f t="array" ref="I287">_xlfn.IFS(I286=0,IF(B287&gt;=10,"C","S"),F287=0,0,TRUE,I286)</f>
        <v>S</v>
      </c>
      <c r="J287" t="str">
        <f t="shared" si="19"/>
        <v>TAK</v>
      </c>
      <c r="K287" t="str">
        <f t="shared" si="20"/>
        <v>S</v>
      </c>
    </row>
    <row r="288" spans="1:11" x14ac:dyDescent="0.25">
      <c r="A288">
        <v>287</v>
      </c>
      <c r="B288">
        <v>7.7</v>
      </c>
      <c r="C288">
        <v>5</v>
      </c>
      <c r="D288" t="s">
        <v>7</v>
      </c>
      <c r="E288" cm="1">
        <f t="array" ref="E288">_xlfn.IFS(E287=0,1,AND(E287=1,E286=1,E285=1),2,AND(E287=2,E286=2,E285=2),3,AND(E287=3,E286=3,E285=3),4,AND(E287=5,C287&gt;=20),0,AND(OR(E287=4,E287=5),OR(E286=4,E286=5),OR(E285=4,E285=5)), 5, TRUE,E287)</f>
        <v>1</v>
      </c>
      <c r="F288">
        <v>1</v>
      </c>
      <c r="H288" t="str">
        <f t="shared" si="18"/>
        <v>TAK</v>
      </c>
      <c r="I288" s="5" t="str" cm="1">
        <f t="array" ref="I288">_xlfn.IFS(I287=0,IF(B288&gt;=10,"C","S"),F288=0,0,TRUE,I287)</f>
        <v>S</v>
      </c>
      <c r="J288" t="str">
        <f t="shared" si="19"/>
        <v>TAK</v>
      </c>
      <c r="K288" t="str">
        <f t="shared" si="20"/>
        <v>S</v>
      </c>
    </row>
    <row r="289" spans="1:11" x14ac:dyDescent="0.25">
      <c r="A289">
        <v>288</v>
      </c>
      <c r="B289">
        <v>9.6</v>
      </c>
      <c r="C289">
        <v>1</v>
      </c>
      <c r="D289" t="s">
        <v>7</v>
      </c>
      <c r="E289" cm="1">
        <f t="array" ref="E289">_xlfn.IFS(E288=0,1,AND(E288=1,E287=1,E286=1),2,AND(E288=2,E287=2,E286=2),3,AND(E288=3,E287=3,E286=3),4,AND(E288=5,C288&gt;=20),0,AND(OR(E288=4,E288=5),OR(E287=4,E287=5),OR(E286=4,E286=5)), 5, TRUE,E288)</f>
        <v>1</v>
      </c>
      <c r="F289">
        <v>1</v>
      </c>
      <c r="H289" t="str">
        <f t="shared" si="18"/>
        <v>TAK</v>
      </c>
      <c r="I289" s="5" t="str" cm="1">
        <f t="array" ref="I289">_xlfn.IFS(I288=0,IF(B289&gt;=10,"C","S"),F289=0,0,TRUE,I288)</f>
        <v>S</v>
      </c>
      <c r="J289" t="str">
        <f t="shared" si="19"/>
        <v>TAK</v>
      </c>
      <c r="K289" t="str">
        <f t="shared" si="20"/>
        <v>S</v>
      </c>
    </row>
    <row r="290" spans="1:11" x14ac:dyDescent="0.25">
      <c r="A290">
        <v>289</v>
      </c>
      <c r="B290">
        <v>10.1</v>
      </c>
      <c r="C290">
        <v>8</v>
      </c>
      <c r="D290" t="s">
        <v>7</v>
      </c>
      <c r="E290" cm="1">
        <f t="array" ref="E290">_xlfn.IFS(E289=0,1,AND(E289=1,E288=1,E287=1),2,AND(E289=2,E288=2,E287=2),3,AND(E289=3,E288=3,E287=3),4,AND(E289=5,C289&gt;=20),0,AND(OR(E289=4,E289=5),OR(E288=4,E288=5),OR(E287=4,E287=5)), 5, TRUE,E289)</f>
        <v>2</v>
      </c>
      <c r="F290">
        <v>2</v>
      </c>
      <c r="H290" t="str">
        <f>IF(E290=F290,"TAK","NIE")</f>
        <v>TAK</v>
      </c>
      <c r="I290" s="5" t="str" cm="1">
        <f t="array" ref="I290">_xlfn.IFS(I289=0,IF(B290&gt;=10,"C","S"),F290=0,0,TRUE,I289)</f>
        <v>S</v>
      </c>
      <c r="J290" t="str">
        <f>IF(I290=D290,"TAK","NIE")</f>
        <v>TAK</v>
      </c>
      <c r="K290" t="str">
        <f>D290</f>
        <v>S</v>
      </c>
    </row>
    <row r="291" spans="1:11" x14ac:dyDescent="0.25">
      <c r="A291">
        <v>290</v>
      </c>
      <c r="B291">
        <v>9.3000000000000007</v>
      </c>
      <c r="C291">
        <v>3</v>
      </c>
      <c r="D291" t="s">
        <v>7</v>
      </c>
      <c r="E291" cm="1">
        <f t="array" ref="E291">_xlfn.IFS(E290=0,1,AND(E290=1,E289=1,E288=1),2,AND(E290=2,E289=2,E288=2),3,AND(E290=3,E289=3,E288=3),4,AND(E290=5,C290&gt;=20),0,AND(OR(E290=4,E290=5),OR(E289=4,E289=5),OR(E288=4,E288=5)), 5, TRUE,E290)</f>
        <v>2</v>
      </c>
      <c r="F291">
        <v>2</v>
      </c>
      <c r="H291" t="str">
        <f t="shared" si="18"/>
        <v>TAK</v>
      </c>
      <c r="I291" s="5" t="str" cm="1">
        <f t="array" ref="I291">_xlfn.IFS(I290=0,IF(B291&gt;=10,"C","S"),F291=0,0,TRUE,I290)</f>
        <v>S</v>
      </c>
      <c r="J291" t="str">
        <f t="shared" si="19"/>
        <v>TAK</v>
      </c>
      <c r="K291" t="str">
        <f t="shared" si="20"/>
        <v>S</v>
      </c>
    </row>
    <row r="292" spans="1:11" x14ac:dyDescent="0.25">
      <c r="A292">
        <v>291</v>
      </c>
      <c r="B292">
        <v>7.4</v>
      </c>
      <c r="C292">
        <v>5</v>
      </c>
      <c r="D292" t="s">
        <v>7</v>
      </c>
      <c r="E292" cm="1">
        <f t="array" ref="E292">_xlfn.IFS(E291=0,1,AND(E291=1,E290=1,E289=1),2,AND(E291=2,E290=2,E289=2),3,AND(E291=3,E290=3,E289=3),4,AND(E291=5,C291&gt;=20),0,AND(OR(E291=4,E291=5),OR(E290=4,E290=5),OR(E289=4,E289=5)), 5, TRUE,E291)</f>
        <v>2</v>
      </c>
      <c r="F292">
        <v>2</v>
      </c>
      <c r="H292" t="str">
        <f t="shared" si="18"/>
        <v>TAK</v>
      </c>
      <c r="I292" s="5" t="str" cm="1">
        <f t="array" ref="I292">_xlfn.IFS(I291=0,IF(B292&gt;=10,"C","S"),F292=0,0,TRUE,I291)</f>
        <v>S</v>
      </c>
      <c r="J292" t="str">
        <f t="shared" si="19"/>
        <v>TAK</v>
      </c>
      <c r="K292" t="str">
        <f t="shared" si="20"/>
        <v>S</v>
      </c>
    </row>
    <row r="293" spans="1:11" x14ac:dyDescent="0.25">
      <c r="A293">
        <v>292</v>
      </c>
      <c r="B293">
        <v>5.0999999999999996</v>
      </c>
      <c r="C293">
        <v>17</v>
      </c>
      <c r="D293" t="s">
        <v>7</v>
      </c>
      <c r="E293" cm="1">
        <f t="array" ref="E293">_xlfn.IFS(E292=0,1,AND(E292=1,E291=1,E290=1),2,AND(E292=2,E291=2,E290=2),3,AND(E292=3,E291=3,E290=3),4,AND(E292=5,C292&gt;=20),0,AND(OR(E292=4,E292=5),OR(E291=4,E291=5),OR(E290=4,E290=5)), 5, TRUE,E292)</f>
        <v>3</v>
      </c>
      <c r="F293">
        <v>3</v>
      </c>
      <c r="H293" t="str">
        <f t="shared" si="18"/>
        <v>TAK</v>
      </c>
      <c r="I293" s="5" t="str" cm="1">
        <f t="array" ref="I293">_xlfn.IFS(I292=0,IF(B293&gt;=10,"C","S"),F293=0,0,TRUE,I292)</f>
        <v>S</v>
      </c>
      <c r="J293" t="str">
        <f t="shared" si="19"/>
        <v>TAK</v>
      </c>
      <c r="K293" t="str">
        <f t="shared" si="20"/>
        <v>S</v>
      </c>
    </row>
    <row r="294" spans="1:11" x14ac:dyDescent="0.25">
      <c r="A294">
        <v>293</v>
      </c>
      <c r="B294">
        <v>3.5</v>
      </c>
      <c r="C294">
        <v>9</v>
      </c>
      <c r="D294" t="s">
        <v>7</v>
      </c>
      <c r="E294" cm="1">
        <f t="array" ref="E294">_xlfn.IFS(E293=0,1,AND(E293=1,E292=1,E291=1),2,AND(E293=2,E292=2,E291=2),3,AND(E293=3,E292=3,E291=3),4,AND(E293=5,C293&gt;=20),0,AND(OR(E293=4,E293=5),OR(E292=4,E292=5),OR(E291=4,E291=5)), 5, TRUE,E293)</f>
        <v>3</v>
      </c>
      <c r="F294">
        <v>3</v>
      </c>
      <c r="H294" t="str">
        <f t="shared" si="18"/>
        <v>TAK</v>
      </c>
      <c r="I294" s="5" t="str" cm="1">
        <f t="array" ref="I294">_xlfn.IFS(I293=0,IF(B294&gt;=10,"C","S"),F294=0,0,TRUE,I293)</f>
        <v>S</v>
      </c>
      <c r="J294" t="str">
        <f t="shared" si="19"/>
        <v>TAK</v>
      </c>
      <c r="K294" t="str">
        <f t="shared" si="20"/>
        <v>S</v>
      </c>
    </row>
    <row r="295" spans="1:11" x14ac:dyDescent="0.25">
      <c r="A295">
        <v>294</v>
      </c>
      <c r="B295">
        <v>3.2</v>
      </c>
      <c r="C295">
        <v>4</v>
      </c>
      <c r="D295" t="s">
        <v>7</v>
      </c>
      <c r="E295" cm="1">
        <f t="array" ref="E295">_xlfn.IFS(E294=0,1,AND(E294=1,E293=1,E292=1),2,AND(E294=2,E293=2,E292=2),3,AND(E294=3,E293=3,E292=3),4,AND(E294=5,C294&gt;=20),0,AND(OR(E294=4,E294=5),OR(E293=4,E293=5),OR(E292=4,E292=5)), 5, TRUE,E294)</f>
        <v>3</v>
      </c>
      <c r="F295">
        <v>3</v>
      </c>
      <c r="H295" t="str">
        <f t="shared" si="18"/>
        <v>TAK</v>
      </c>
      <c r="I295" s="5" t="str" cm="1">
        <f t="array" ref="I295">_xlfn.IFS(I294=0,IF(B295&gt;=10,"C","S"),F295=0,0,TRUE,I294)</f>
        <v>S</v>
      </c>
      <c r="J295" t="str">
        <f t="shared" si="19"/>
        <v>TAK</v>
      </c>
      <c r="K295" t="str">
        <f t="shared" si="20"/>
        <v>S</v>
      </c>
    </row>
    <row r="296" spans="1:11" x14ac:dyDescent="0.25">
      <c r="A296">
        <v>295</v>
      </c>
      <c r="B296">
        <v>4.5999999999999996</v>
      </c>
      <c r="C296">
        <v>24</v>
      </c>
      <c r="D296" t="s">
        <v>7</v>
      </c>
      <c r="E296" cm="1">
        <f t="array" ref="E296">_xlfn.IFS(E295=0,1,AND(E295=1,E294=1,E293=1),2,AND(E295=2,E294=2,E293=2),3,AND(E295=3,E294=3,E293=3),4,AND(E295=5,C295&gt;=20),0,AND(OR(E295=4,E295=5),OR(E294=4,E294=5),OR(E293=4,E293=5)), 5, TRUE,E295)</f>
        <v>4</v>
      </c>
      <c r="F296">
        <v>4</v>
      </c>
      <c r="H296" t="str">
        <f t="shared" si="18"/>
        <v>TAK</v>
      </c>
      <c r="I296" s="5" t="str" cm="1">
        <f t="array" ref="I296">_xlfn.IFS(I295=0,IF(B296&gt;=10,"C","S"),F296=0,0,TRUE,I295)</f>
        <v>S</v>
      </c>
      <c r="J296" t="str">
        <f t="shared" si="19"/>
        <v>TAK</v>
      </c>
      <c r="K296" t="str">
        <f t="shared" si="20"/>
        <v>S</v>
      </c>
    </row>
    <row r="297" spans="1:11" x14ac:dyDescent="0.25">
      <c r="A297">
        <v>296</v>
      </c>
      <c r="B297">
        <v>7.5</v>
      </c>
      <c r="C297">
        <v>21</v>
      </c>
      <c r="D297" t="s">
        <v>7</v>
      </c>
      <c r="E297" cm="1">
        <f t="array" ref="E297">_xlfn.IFS(E296=0,1,AND(E296=1,E295=1,E294=1),2,AND(E296=2,E295=2,E294=2),3,AND(E296=3,E295=3,E294=3),4,AND(E296=5,C296&gt;=20),0,AND(OR(E296=4,E296=5),OR(E295=4,E295=5),OR(E294=4,E294=5)), 5, TRUE,E296)</f>
        <v>4</v>
      </c>
      <c r="F297">
        <v>4</v>
      </c>
      <c r="H297" t="str">
        <f t="shared" si="18"/>
        <v>TAK</v>
      </c>
      <c r="I297" s="5" t="str" cm="1">
        <f t="array" ref="I297">_xlfn.IFS(I296=0,IF(B297&gt;=10,"C","S"),F297=0,0,TRUE,I296)</f>
        <v>S</v>
      </c>
      <c r="J297" t="str">
        <f t="shared" si="19"/>
        <v>TAK</v>
      </c>
      <c r="K297" t="str">
        <f t="shared" si="20"/>
        <v>S</v>
      </c>
    </row>
    <row r="298" spans="1:11" x14ac:dyDescent="0.25">
      <c r="A298">
        <v>297</v>
      </c>
      <c r="B298">
        <v>11.3</v>
      </c>
      <c r="C298">
        <v>8</v>
      </c>
      <c r="D298" t="s">
        <v>7</v>
      </c>
      <c r="E298" cm="1">
        <f t="array" ref="E298">_xlfn.IFS(E297=0,1,AND(E297=1,E296=1,E295=1),2,AND(E297=2,E296=2,E295=2),3,AND(E297=3,E296=3,E295=3),4,AND(E297=5,C297&gt;=20),0,AND(OR(E297=4,E297=5),OR(E296=4,E296=5),OR(E295=4,E295=5)), 5, TRUE,E297)</f>
        <v>4</v>
      </c>
      <c r="F298">
        <v>5</v>
      </c>
      <c r="H298" t="str">
        <f t="shared" si="18"/>
        <v>NIE</v>
      </c>
      <c r="I298" s="5" t="str" cm="1">
        <f t="array" ref="I298">_xlfn.IFS(I297=0,IF(B298&gt;=10,"C","S"),F298=0,0,TRUE,I297)</f>
        <v>S</v>
      </c>
      <c r="J298" t="str">
        <f t="shared" si="19"/>
        <v>TAK</v>
      </c>
      <c r="K298" t="str">
        <f t="shared" si="20"/>
        <v>S</v>
      </c>
    </row>
    <row r="299" spans="1:11" x14ac:dyDescent="0.25">
      <c r="A299">
        <v>298</v>
      </c>
      <c r="B299">
        <v>15.2</v>
      </c>
      <c r="C299">
        <v>23</v>
      </c>
      <c r="D299" t="s">
        <v>7</v>
      </c>
      <c r="E299" cm="1">
        <f t="array" ref="E299">_xlfn.IFS(E298=0,1,AND(E298=1,E297=1,E296=1),2,AND(E298=2,E297=2,E296=2),3,AND(E298=3,E297=3,E296=3),4,AND(E298=5,C298&gt;=20),0,AND(OR(E298=4,E298=5),OR(E297=4,E297=5),OR(E296=4,E296=5)), 5, TRUE,E298)</f>
        <v>5</v>
      </c>
      <c r="F299">
        <v>5</v>
      </c>
      <c r="H299" t="str">
        <f t="shared" si="18"/>
        <v>TAK</v>
      </c>
      <c r="I299" s="5" t="str" cm="1">
        <f t="array" ref="I299">_xlfn.IFS(I298=0,IF(B299&gt;=10,"C","S"),F299=0,0,TRUE,I298)</f>
        <v>S</v>
      </c>
      <c r="J299" t="str">
        <f t="shared" si="19"/>
        <v>TAK</v>
      </c>
      <c r="K299" t="str">
        <f t="shared" si="20"/>
        <v>S</v>
      </c>
    </row>
    <row r="300" spans="1:11" x14ac:dyDescent="0.25">
      <c r="A300">
        <v>299</v>
      </c>
      <c r="B300">
        <v>18.3</v>
      </c>
      <c r="C300">
        <v>0</v>
      </c>
      <c r="D300">
        <v>0</v>
      </c>
      <c r="E300" cm="1">
        <f t="array" ref="E300">_xlfn.IFS(E299=0,1,AND(E299=1,E298=1,E297=1),2,AND(E299=2,E298=2,E297=2),3,AND(E299=3,E298=3,E297=3),4,AND(E299=5,C299&gt;=20),0,AND(OR(E299=4,E299=5),OR(E298=4,E298=5),OR(E297=4,E297=5)), 5, TRUE,E299)</f>
        <v>0</v>
      </c>
      <c r="F300">
        <v>0</v>
      </c>
      <c r="H300" t="str">
        <f>IF(E300=F300,"TAK","NIE")</f>
        <v>TAK</v>
      </c>
      <c r="I300" s="5" cm="1">
        <f t="array" ref="I300">_xlfn.IFS(I299=0,IF(B300&gt;=10,"C","S"),F300=0,0,TRUE,I299)</f>
        <v>0</v>
      </c>
      <c r="J300" t="str">
        <f>IF(I300=D300,"TAK","NIE")</f>
        <v>TAK</v>
      </c>
      <c r="K300">
        <f>D300</f>
        <v>0</v>
      </c>
    </row>
    <row r="301" spans="1:11" x14ac:dyDescent="0.25">
      <c r="A301">
        <v>300</v>
      </c>
      <c r="B301">
        <v>19.899999999999999</v>
      </c>
      <c r="C301">
        <v>5</v>
      </c>
      <c r="D301" t="s">
        <v>6</v>
      </c>
      <c r="E301" cm="1">
        <f t="array" ref="E301">_xlfn.IFS(E300=0,1,AND(E300=1,E299=1,E298=1),2,AND(E300=2,E299=2,E298=2),3,AND(E300=3,E299=3,E298=3),4,AND(E300=5,C300&gt;=20),0,AND(OR(E300=4,E300=5),OR(E299=4,E299=5),OR(E298=4,E298=5)), 5, TRUE,E300)</f>
        <v>1</v>
      </c>
      <c r="F301">
        <v>1</v>
      </c>
      <c r="H301" t="str">
        <f>IF(E301=F301,"TAK","NIE")</f>
        <v>TAK</v>
      </c>
      <c r="I301" s="5" t="str" cm="1">
        <f t="array" ref="I301">_xlfn.IFS(I300=0,IF(B301&gt;=10,"C","S"),F301=0,0,TRUE,I300)</f>
        <v>C</v>
      </c>
      <c r="J301" t="str">
        <f>IF(I301=D301,"TAK","NIE")</f>
        <v>TAK</v>
      </c>
      <c r="K301" t="str">
        <f>D301</f>
        <v>C</v>
      </c>
    </row>
    <row r="502" spans="6:6" x14ac:dyDescent="0.25">
      <c r="F502">
        <v>0</v>
      </c>
    </row>
  </sheetData>
  <conditionalFormatting sqref="D2:D301">
    <cfRule type="uniqu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834AFD-B6D5-4A4F-8FD4-3014878D6B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import</vt:lpstr>
      <vt:lpstr>5.1</vt:lpstr>
      <vt:lpstr>5.2</vt:lpstr>
      <vt:lpstr>5.3 - tabela</vt:lpstr>
      <vt:lpstr>5.3</vt:lpstr>
      <vt:lpstr>5.4.a</vt:lpstr>
      <vt:lpstr>5.4 b,c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Marasek</dc:creator>
  <cp:lastModifiedBy>Mikołaj Marasek</cp:lastModifiedBy>
  <dcterms:created xsi:type="dcterms:W3CDTF">2025-12-07T21:38:09Z</dcterms:created>
  <dcterms:modified xsi:type="dcterms:W3CDTF">2025-12-10T20:58:40Z</dcterms:modified>
</cp:coreProperties>
</file>