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zen_ST17\Documents\mikolaj_marasek\matura\maj_2025\"/>
    </mc:Choice>
  </mc:AlternateContent>
  <xr:revisionPtr revIDLastSave="0" documentId="13_ncr:1_{7297926D-683B-4D82-A80E-E1C28DEBEB0A}" xr6:coauthVersionLast="36" xr6:coauthVersionMax="36" xr10:uidLastSave="{00000000-0000-0000-0000-000000000000}"/>
  <bookViews>
    <workbookView xWindow="0" yWindow="0" windowWidth="21570" windowHeight="7980" xr2:uid="{7491B131-1CA1-4ACB-94A6-EE44B444E771}"/>
  </bookViews>
  <sheets>
    <sheet name="Arkusz4" sheetId="4" r:id="rId1"/>
    <sheet name="Arkusz2" sheetId="2" r:id="rId2"/>
    <sheet name="6.2" sheetId="3" r:id="rId3"/>
    <sheet name="Arkusz1" sheetId="1" r:id="rId4"/>
  </sheets>
  <definedNames>
    <definedName name="DaneZewnętrzne_1" localSheetId="1" hidden="1">Arkusz2!$A$1:$D$2073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F15" i="2"/>
  <c r="F22" i="2"/>
  <c r="F29" i="2"/>
  <c r="F36" i="2"/>
  <c r="F43" i="2"/>
  <c r="F50" i="2"/>
  <c r="F57" i="2"/>
  <c r="F64" i="2"/>
  <c r="F71" i="2"/>
  <c r="F78" i="2"/>
  <c r="F85" i="2"/>
  <c r="F92" i="2"/>
  <c r="F99" i="2"/>
  <c r="F106" i="2"/>
  <c r="F113" i="2"/>
  <c r="F120" i="2"/>
  <c r="F127" i="2"/>
  <c r="F134" i="2"/>
  <c r="F141" i="2"/>
  <c r="F148" i="2"/>
  <c r="F155" i="2"/>
  <c r="F162" i="2"/>
  <c r="F169" i="2"/>
  <c r="F176" i="2"/>
  <c r="F183" i="2"/>
  <c r="F190" i="2"/>
  <c r="F197" i="2"/>
  <c r="F204" i="2"/>
  <c r="F211" i="2"/>
  <c r="F218" i="2"/>
  <c r="F225" i="2"/>
  <c r="F232" i="2"/>
  <c r="F239" i="2"/>
  <c r="F246" i="2"/>
  <c r="F253" i="2"/>
  <c r="F260" i="2"/>
  <c r="F267" i="2"/>
  <c r="F274" i="2"/>
  <c r="F281" i="2"/>
  <c r="F288" i="2"/>
  <c r="F295" i="2"/>
  <c r="F302" i="2"/>
  <c r="F309" i="2"/>
  <c r="F316" i="2"/>
  <c r="F323" i="2"/>
  <c r="F330" i="2"/>
  <c r="F337" i="2"/>
  <c r="F344" i="2"/>
  <c r="F351" i="2"/>
  <c r="F358" i="2"/>
  <c r="F365" i="2"/>
  <c r="F372" i="2"/>
  <c r="F379" i="2"/>
  <c r="F386" i="2"/>
  <c r="F393" i="2"/>
  <c r="F400" i="2"/>
  <c r="F407" i="2"/>
  <c r="F414" i="2"/>
  <c r="F421" i="2"/>
  <c r="F428" i="2"/>
  <c r="F435" i="2"/>
  <c r="F442" i="2"/>
  <c r="F449" i="2"/>
  <c r="F456" i="2"/>
  <c r="F463" i="2"/>
  <c r="F470" i="2"/>
  <c r="F477" i="2"/>
  <c r="F484" i="2"/>
  <c r="F491" i="2"/>
  <c r="F498" i="2"/>
  <c r="F505" i="2"/>
  <c r="F512" i="2"/>
  <c r="F519" i="2"/>
  <c r="F526" i="2"/>
  <c r="F533" i="2"/>
  <c r="F540" i="2"/>
  <c r="F547" i="2"/>
  <c r="F554" i="2"/>
  <c r="F561" i="2"/>
  <c r="F568" i="2"/>
  <c r="F575" i="2"/>
  <c r="F582" i="2"/>
  <c r="F589" i="2"/>
  <c r="F596" i="2"/>
  <c r="F603" i="2"/>
  <c r="F610" i="2"/>
  <c r="F617" i="2"/>
  <c r="F624" i="2"/>
  <c r="F631" i="2"/>
  <c r="F638" i="2"/>
  <c r="F645" i="2"/>
  <c r="F652" i="2"/>
  <c r="F659" i="2"/>
  <c r="F666" i="2"/>
  <c r="F673" i="2"/>
  <c r="F680" i="2"/>
  <c r="F687" i="2"/>
  <c r="F694" i="2"/>
  <c r="F701" i="2"/>
  <c r="F708" i="2"/>
  <c r="F715" i="2"/>
  <c r="F722" i="2"/>
  <c r="F729" i="2"/>
  <c r="F736" i="2"/>
  <c r="F743" i="2"/>
  <c r="F750" i="2"/>
  <c r="F757" i="2"/>
  <c r="F764" i="2"/>
  <c r="F771" i="2"/>
  <c r="F778" i="2"/>
  <c r="F785" i="2"/>
  <c r="F792" i="2"/>
  <c r="F799" i="2"/>
  <c r="F806" i="2"/>
  <c r="F813" i="2"/>
  <c r="F820" i="2"/>
  <c r="F827" i="2"/>
  <c r="F834" i="2"/>
  <c r="F841" i="2"/>
  <c r="F848" i="2"/>
  <c r="F855" i="2"/>
  <c r="F862" i="2"/>
  <c r="F869" i="2"/>
  <c r="F876" i="2"/>
  <c r="F883" i="2"/>
  <c r="F890" i="2"/>
  <c r="F897" i="2"/>
  <c r="F904" i="2"/>
  <c r="F911" i="2"/>
  <c r="F918" i="2"/>
  <c r="F925" i="2"/>
  <c r="F932" i="2"/>
  <c r="F939" i="2"/>
  <c r="F946" i="2"/>
  <c r="F953" i="2"/>
  <c r="F960" i="2"/>
  <c r="F967" i="2"/>
  <c r="F974" i="2"/>
  <c r="F981" i="2"/>
  <c r="F988" i="2"/>
  <c r="F995" i="2"/>
  <c r="F1002" i="2"/>
  <c r="F1009" i="2"/>
  <c r="F1016" i="2"/>
  <c r="F1023" i="2"/>
  <c r="F1030" i="2"/>
  <c r="F1037" i="2"/>
  <c r="F1044" i="2"/>
  <c r="F1051" i="2"/>
  <c r="F1058" i="2"/>
  <c r="F1065" i="2"/>
  <c r="F1072" i="2"/>
  <c r="F1079" i="2"/>
  <c r="F1086" i="2"/>
  <c r="F1093" i="2"/>
  <c r="F1100" i="2"/>
  <c r="F1107" i="2"/>
  <c r="F1114" i="2"/>
  <c r="F1121" i="2"/>
  <c r="F1128" i="2"/>
  <c r="F1135" i="2"/>
  <c r="F1142" i="2"/>
  <c r="F1149" i="2"/>
  <c r="F1156" i="2"/>
  <c r="F1163" i="2"/>
  <c r="F1170" i="2"/>
  <c r="F1177" i="2"/>
  <c r="F1184" i="2"/>
  <c r="F1191" i="2"/>
  <c r="F1198" i="2"/>
  <c r="F1205" i="2"/>
  <c r="F1212" i="2"/>
  <c r="F1219" i="2"/>
  <c r="F1226" i="2"/>
  <c r="F1233" i="2"/>
  <c r="F1240" i="2"/>
  <c r="F1247" i="2"/>
  <c r="F1254" i="2"/>
  <c r="F1261" i="2"/>
  <c r="F1268" i="2"/>
  <c r="F1275" i="2"/>
  <c r="F1282" i="2"/>
  <c r="F1289" i="2"/>
  <c r="F1296" i="2"/>
  <c r="F1303" i="2"/>
  <c r="F1310" i="2"/>
  <c r="F1317" i="2"/>
  <c r="F1324" i="2"/>
  <c r="F1331" i="2"/>
  <c r="F1338" i="2"/>
  <c r="F1345" i="2"/>
  <c r="F1352" i="2"/>
  <c r="F1359" i="2"/>
  <c r="F1366" i="2"/>
  <c r="F1373" i="2"/>
  <c r="F1380" i="2"/>
  <c r="F1387" i="2"/>
  <c r="F1394" i="2"/>
  <c r="F1401" i="2"/>
  <c r="F1408" i="2"/>
  <c r="F1415" i="2"/>
  <c r="F1422" i="2"/>
  <c r="F1429" i="2"/>
  <c r="F1436" i="2"/>
  <c r="F1443" i="2"/>
  <c r="F1450" i="2"/>
  <c r="F1457" i="2"/>
  <c r="F1464" i="2"/>
  <c r="F1471" i="2"/>
  <c r="F1478" i="2"/>
  <c r="F1485" i="2"/>
  <c r="F1492" i="2"/>
  <c r="F1499" i="2"/>
  <c r="F1506" i="2"/>
  <c r="F1513" i="2"/>
  <c r="F1520" i="2"/>
  <c r="F1527" i="2"/>
  <c r="F1534" i="2"/>
  <c r="F1541" i="2"/>
  <c r="F1548" i="2"/>
  <c r="F1555" i="2"/>
  <c r="F1562" i="2"/>
  <c r="F1569" i="2"/>
  <c r="F1576" i="2"/>
  <c r="F1583" i="2"/>
  <c r="F1590" i="2"/>
  <c r="F1597" i="2"/>
  <c r="F1604" i="2"/>
  <c r="F1611" i="2"/>
  <c r="F1618" i="2"/>
  <c r="F1625" i="2"/>
  <c r="F1632" i="2"/>
  <c r="F1639" i="2"/>
  <c r="F1646" i="2"/>
  <c r="F1653" i="2"/>
  <c r="F1660" i="2"/>
  <c r="F1667" i="2"/>
  <c r="F1674" i="2"/>
  <c r="F1681" i="2"/>
  <c r="F1688" i="2"/>
  <c r="F1695" i="2"/>
  <c r="F1702" i="2"/>
  <c r="F1709" i="2"/>
  <c r="F1716" i="2"/>
  <c r="F1723" i="2"/>
  <c r="F1730" i="2"/>
  <c r="F1737" i="2"/>
  <c r="F1744" i="2"/>
  <c r="F1751" i="2"/>
  <c r="F1758" i="2"/>
  <c r="F1765" i="2"/>
  <c r="F1772" i="2"/>
  <c r="F1779" i="2"/>
  <c r="F1786" i="2"/>
  <c r="F1793" i="2"/>
  <c r="F1800" i="2"/>
  <c r="F1807" i="2"/>
  <c r="F1814" i="2"/>
  <c r="F1821" i="2"/>
  <c r="F1828" i="2"/>
  <c r="F1835" i="2"/>
  <c r="F1842" i="2"/>
  <c r="F1849" i="2"/>
  <c r="F1856" i="2"/>
  <c r="F1863" i="2"/>
  <c r="F1870" i="2"/>
  <c r="F1877" i="2"/>
  <c r="F1884" i="2"/>
  <c r="F1891" i="2"/>
  <c r="F1898" i="2"/>
  <c r="F1905" i="2"/>
  <c r="F1912" i="2"/>
  <c r="F1919" i="2"/>
  <c r="F1926" i="2"/>
  <c r="F1933" i="2"/>
  <c r="F1940" i="2"/>
  <c r="F1947" i="2"/>
  <c r="F1954" i="2"/>
  <c r="F1961" i="2"/>
  <c r="F1968" i="2"/>
  <c r="F1975" i="2"/>
  <c r="F1982" i="2"/>
  <c r="F1989" i="2"/>
  <c r="F1996" i="2"/>
  <c r="F2003" i="2"/>
  <c r="F2010" i="2"/>
  <c r="F2017" i="2"/>
  <c r="F2024" i="2"/>
  <c r="F2031" i="2"/>
  <c r="F2038" i="2"/>
  <c r="F2045" i="2"/>
  <c r="F2052" i="2"/>
  <c r="F2059" i="2"/>
  <c r="F2066" i="2"/>
  <c r="F2073" i="2"/>
  <c r="F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N3" i="2"/>
  <c r="M3" i="2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6B3DA9-BEAF-4FC5-BAA4-AE57435308D6}" keepAlive="1" name="Zapytanie — martianeum" description="Połączenie z zapytaniem „martianeum” w skoroszycie." type="5" refreshedVersion="6" background="1" saveData="1">
    <dbPr connection="Provider=Microsoft.Mashup.OleDb.1;Data Source=$Workbook$;Location=martianeum;Extended Properties=&quot;&quot;" command="SELECT * FROM [martianeum]"/>
  </connection>
</connections>
</file>

<file path=xl/sharedStrings.xml><?xml version="1.0" encoding="utf-8"?>
<sst xmlns="http://schemas.openxmlformats.org/spreadsheetml/2006/main" count="2140" uniqueCount="58">
  <si>
    <t>data</t>
  </si>
  <si>
    <t>nazwa_obszaru</t>
  </si>
  <si>
    <t>masa [kg]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</si>
  <si>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</si>
  <si>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</si>
  <si>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</si>
  <si>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</si>
  <si>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</si>
  <si>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</si>
  <si>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</si>
  <si>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</si>
  <si>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</si>
  <si>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</si>
  <si>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</si>
  <si>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</si>
  <si>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</si>
  <si>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</si>
  <si>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</si>
  <si>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</si>
  <si>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</si>
  <si>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</si>
  <si>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</si>
  <si>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</si>
  <si>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</si>
  <si>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</si>
  <si>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</si>
  <si>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</si>
  <si>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</si>
  <si>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</si>
  <si>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</si>
  <si>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</si>
  <si>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</si>
  <si>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</si>
  <si>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zawartosc</t>
  </si>
  <si>
    <t>Suma końcowa</t>
  </si>
  <si>
    <t>Średnia z masa [kg]</t>
  </si>
  <si>
    <t>Etykiety wierszy</t>
  </si>
  <si>
    <t>masa mat</t>
  </si>
  <si>
    <t>6.1 - dron</t>
  </si>
  <si>
    <t>6.1 - dron mat</t>
  </si>
  <si>
    <t>okres</t>
  </si>
  <si>
    <t>6.3</t>
  </si>
  <si>
    <t>Kwartał1</t>
  </si>
  <si>
    <t>Kwartał2</t>
  </si>
  <si>
    <t>Kwartał3</t>
  </si>
  <si>
    <t>Kwartał4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</si>
  <si>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</si>
  <si>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</si>
  <si>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</si>
  <si>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</si>
  <si>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</si>
  <si>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</si>
  <si>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</si>
  <si>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</si>
  <si>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</si>
  <si>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</si>
  <si>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sty</t>
  </si>
  <si>
    <t>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</si>
</sst>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2" borderId="0" xfId="0" applyFill="1"/>
    <xf numFmtId="49" fontId="0" fillId="0" borderId="0" xfId="0" applyNumberFormat="1"/>
    <xf numFmtId="2" fontId="0" fillId="2" borderId="0" xfId="0" applyNumberFormat="1" applyFill="1"/>
    <xf numFmtId="22" fontId="0" fillId="2" borderId="1" xfId="0" applyNumberFormat="1" applyFont="1" applyFill="1" applyBorder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ny" xfId="0" builtinId="0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czen_ST17" refreshedDate="45951.612063078705" createdVersion="6" refreshedVersion="6" minRefreshableVersion="3" recordCount="2072" xr:uid="{55059EC4-2C48-4E63-9C80-4F2D8B807F67}">
  <cacheSource type="worksheet">
    <worksheetSource name="martianeum"/>
  </cacheSource>
  <cacheFields count="6">
    <cacheField name="data" numFmtId="22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5" base="0">
        <rangePr groupBy="months" startDate="2033-03-03T00:00:00" endDate="2038-11-04T00:00:00"/>
        <groupItems count="14">
          <s v="&lt;0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11.2038"/>
        </groupItems>
      </fieldGroup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" numFmtId="0">
      <sharedItems containsSemiMixedTypes="0" containsString="0" containsNumber="1" minValue="0" maxValue="50.4"/>
    </cacheField>
    <cacheField name="Kwartały" numFmtId="0" databaseField="0">
      <fieldGroup base="0">
        <rangePr groupBy="quarters" startDate="2033-03-03T00:00:00" endDate="2038-11-04T00:00:00"/>
        <groupItems count="6">
          <s v="&lt;03.03.2033"/>
          <s v="Kwartał1"/>
          <s v="Kwartał2"/>
          <s v="Kwartał3"/>
          <s v="Kwartał4"/>
          <s v="&gt;04.11.2038"/>
        </groupItems>
      </fieldGroup>
    </cacheField>
    <cacheField name="Lata" numFmtId="0" databaseField="0">
      <fieldGroup base="0">
        <rangePr groupBy="years" startDate="2033-03-03T00:00:00" endDate="2038-11-04T00:00:00"/>
        <groupItems count="8">
          <s v="&lt;03.03.2033"/>
          <s v="2033"/>
          <s v="2034"/>
          <s v="2035"/>
          <s v="2036"/>
          <s v="2037"/>
          <s v="2038"/>
          <s v="&gt;0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</r>
  <r>
    <x v="1"/>
    <x v="1"/>
    <n v="11.8"/>
    <n v="1.7"/>
  </r>
  <r>
    <x v="2"/>
    <x v="2"/>
    <n v="21"/>
    <n v="6"/>
  </r>
  <r>
    <x v="3"/>
    <x v="3"/>
    <n v="26.3"/>
    <n v="11.4"/>
  </r>
  <r>
    <x v="4"/>
    <x v="4"/>
    <n v="28.8"/>
    <n v="0"/>
  </r>
  <r>
    <x v="5"/>
    <x v="5"/>
    <n v="29.2"/>
    <n v="0"/>
  </r>
  <r>
    <x v="6"/>
    <x v="6"/>
    <n v="25.6"/>
    <n v="28.7"/>
  </r>
  <r>
    <x v="7"/>
    <x v="7"/>
    <n v="10.1"/>
    <n v="7.7"/>
  </r>
  <r>
    <x v="8"/>
    <x v="8"/>
    <n v="14.6"/>
    <n v="0"/>
  </r>
  <r>
    <x v="9"/>
    <x v="9"/>
    <n v="11.5"/>
    <n v="1.9"/>
  </r>
  <r>
    <x v="10"/>
    <x v="5"/>
    <n v="15.2"/>
    <n v="0"/>
  </r>
  <r>
    <x v="11"/>
    <x v="6"/>
    <n v="10.199999999999999"/>
    <n v="13.3"/>
  </r>
  <r>
    <x v="12"/>
    <x v="10"/>
    <n v="20.399999999999999"/>
    <n v="4.5999999999999996"/>
  </r>
  <r>
    <x v="13"/>
    <x v="10"/>
    <n v="13.6"/>
    <n v="8"/>
  </r>
  <r>
    <x v="14"/>
    <x v="11"/>
    <n v="11"/>
    <n v="11.6"/>
  </r>
  <r>
    <x v="15"/>
    <x v="12"/>
    <n v="14.1"/>
    <n v="0"/>
  </r>
  <r>
    <x v="16"/>
    <x v="6"/>
    <n v="19.2"/>
    <n v="0"/>
  </r>
  <r>
    <x v="17"/>
    <x v="6"/>
    <n v="20.7"/>
    <n v="0"/>
  </r>
  <r>
    <x v="18"/>
    <x v="13"/>
    <n v="29.5"/>
    <n v="2.1"/>
  </r>
  <r>
    <x v="19"/>
    <x v="7"/>
    <n v="24.4"/>
    <n v="10.1"/>
  </r>
  <r>
    <x v="20"/>
    <x v="14"/>
    <n v="15.6"/>
    <n v="6.6"/>
  </r>
  <r>
    <x v="21"/>
    <x v="5"/>
    <n v="22.7"/>
    <n v="2.9"/>
  </r>
  <r>
    <x v="22"/>
    <x v="11"/>
    <n v="15.1"/>
    <n v="0"/>
  </r>
  <r>
    <x v="23"/>
    <x v="15"/>
    <n v="14.1"/>
    <n v="0.8"/>
  </r>
  <r>
    <x v="24"/>
    <x v="3"/>
    <n v="24.9"/>
    <n v="2.2000000000000002"/>
  </r>
  <r>
    <x v="25"/>
    <x v="16"/>
    <n v="14.8"/>
    <n v="0"/>
  </r>
  <r>
    <x v="26"/>
    <x v="10"/>
    <n v="18.8"/>
    <n v="0"/>
  </r>
  <r>
    <x v="27"/>
    <x v="11"/>
    <n v="29.3"/>
    <n v="8"/>
  </r>
  <r>
    <x v="28"/>
    <x v="17"/>
    <n v="29.4"/>
    <n v="2.4"/>
  </r>
  <r>
    <x v="29"/>
    <x v="18"/>
    <n v="16.8"/>
    <n v="2.9"/>
  </r>
  <r>
    <x v="30"/>
    <x v="8"/>
    <n v="21.4"/>
    <n v="6.3"/>
  </r>
  <r>
    <x v="31"/>
    <x v="3"/>
    <n v="23.9"/>
    <n v="0"/>
  </r>
  <r>
    <x v="32"/>
    <x v="8"/>
    <n v="26.7"/>
    <n v="0"/>
  </r>
  <r>
    <x v="33"/>
    <x v="3"/>
    <n v="12.4"/>
    <n v="0"/>
  </r>
  <r>
    <x v="34"/>
    <x v="8"/>
    <n v="10.4"/>
    <n v="10.7"/>
  </r>
  <r>
    <x v="35"/>
    <x v="5"/>
    <n v="17.899999999999999"/>
    <n v="0"/>
  </r>
  <r>
    <x v="36"/>
    <x v="16"/>
    <n v="17.399999999999999"/>
    <n v="1.6"/>
  </r>
  <r>
    <x v="37"/>
    <x v="7"/>
    <n v="29.4"/>
    <n v="21.7"/>
  </r>
  <r>
    <x v="38"/>
    <x v="15"/>
    <n v="22.9"/>
    <n v="26.9"/>
  </r>
  <r>
    <x v="39"/>
    <x v="15"/>
    <n v="18.899999999999999"/>
    <n v="11.3"/>
  </r>
  <r>
    <x v="40"/>
    <x v="1"/>
    <n v="23.5"/>
    <n v="0"/>
  </r>
  <r>
    <x v="41"/>
    <x v="14"/>
    <n v="13.4"/>
    <n v="14.2"/>
  </r>
  <r>
    <x v="42"/>
    <x v="16"/>
    <n v="18.899999999999999"/>
    <n v="1.5"/>
  </r>
  <r>
    <x v="43"/>
    <x v="13"/>
    <n v="13.5"/>
    <n v="1.4"/>
  </r>
  <r>
    <x v="44"/>
    <x v="1"/>
    <n v="17.7"/>
    <n v="5.9"/>
  </r>
  <r>
    <x v="45"/>
    <x v="7"/>
    <n v="24.7"/>
    <n v="0"/>
  </r>
  <r>
    <x v="46"/>
    <x v="14"/>
    <n v="25.6"/>
    <n v="1.9"/>
  </r>
  <r>
    <x v="47"/>
    <x v="18"/>
    <n v="18.399999999999999"/>
    <n v="0"/>
  </r>
  <r>
    <x v="48"/>
    <x v="19"/>
    <n v="27"/>
    <n v="0"/>
  </r>
  <r>
    <x v="49"/>
    <x v="6"/>
    <n v="16"/>
    <n v="0"/>
  </r>
  <r>
    <x v="50"/>
    <x v="3"/>
    <n v="18.600000000000001"/>
    <n v="7.4"/>
  </r>
  <r>
    <x v="51"/>
    <x v="6"/>
    <n v="12.7"/>
    <n v="30.8"/>
  </r>
  <r>
    <x v="52"/>
    <x v="15"/>
    <n v="14.5"/>
    <n v="0"/>
  </r>
  <r>
    <x v="53"/>
    <x v="20"/>
    <n v="12.2"/>
    <n v="3.5"/>
  </r>
  <r>
    <x v="54"/>
    <x v="21"/>
    <n v="19.899999999999999"/>
    <n v="0"/>
  </r>
  <r>
    <x v="55"/>
    <x v="22"/>
    <n v="28.1"/>
    <n v="5.3"/>
  </r>
  <r>
    <x v="56"/>
    <x v="6"/>
    <n v="27.7"/>
    <n v="45.3"/>
  </r>
  <r>
    <x v="57"/>
    <x v="1"/>
    <n v="14.6"/>
    <n v="5.2"/>
  </r>
  <r>
    <x v="58"/>
    <x v="14"/>
    <n v="10.8"/>
    <n v="0"/>
  </r>
  <r>
    <x v="59"/>
    <x v="23"/>
    <n v="12.4"/>
    <n v="3.2"/>
  </r>
  <r>
    <x v="60"/>
    <x v="6"/>
    <n v="25.2"/>
    <n v="0"/>
  </r>
  <r>
    <x v="61"/>
    <x v="6"/>
    <n v="28.9"/>
    <n v="0"/>
  </r>
  <r>
    <x v="62"/>
    <x v="15"/>
    <n v="13.2"/>
    <n v="23.3"/>
  </r>
  <r>
    <x v="63"/>
    <x v="6"/>
    <n v="27.9"/>
    <n v="0"/>
  </r>
  <r>
    <x v="64"/>
    <x v="3"/>
    <n v="10.9"/>
    <n v="3.5"/>
  </r>
  <r>
    <x v="65"/>
    <x v="11"/>
    <n v="25.5"/>
    <n v="20"/>
  </r>
  <r>
    <x v="66"/>
    <x v="5"/>
    <n v="26"/>
    <n v="0"/>
  </r>
  <r>
    <x v="67"/>
    <x v="21"/>
    <n v="25.8"/>
    <n v="0.1"/>
  </r>
  <r>
    <x v="68"/>
    <x v="10"/>
    <n v="17.5"/>
    <n v="0.5"/>
  </r>
  <r>
    <x v="69"/>
    <x v="6"/>
    <n v="17.8"/>
    <n v="3.3"/>
  </r>
  <r>
    <x v="70"/>
    <x v="6"/>
    <n v="17.5"/>
    <n v="0"/>
  </r>
  <r>
    <x v="71"/>
    <x v="9"/>
    <n v="16.100000000000001"/>
    <n v="0"/>
  </r>
  <r>
    <x v="72"/>
    <x v="1"/>
    <n v="11.8"/>
    <n v="7"/>
  </r>
  <r>
    <x v="73"/>
    <x v="11"/>
    <n v="26.2"/>
    <n v="0"/>
  </r>
  <r>
    <x v="74"/>
    <x v="2"/>
    <n v="28.8"/>
    <n v="2.9"/>
  </r>
  <r>
    <x v="75"/>
    <x v="6"/>
    <n v="18.7"/>
    <n v="0"/>
  </r>
  <r>
    <x v="76"/>
    <x v="14"/>
    <n v="10.3"/>
    <n v="9.1999999999999993"/>
  </r>
  <r>
    <x v="77"/>
    <x v="2"/>
    <n v="29.8"/>
    <n v="3.4"/>
  </r>
  <r>
    <x v="78"/>
    <x v="6"/>
    <n v="26.2"/>
    <n v="32.299999999999997"/>
  </r>
  <r>
    <x v="79"/>
    <x v="15"/>
    <n v="13.8"/>
    <n v="15.9"/>
  </r>
  <r>
    <x v="80"/>
    <x v="15"/>
    <n v="22.4"/>
    <n v="24.5"/>
  </r>
  <r>
    <x v="81"/>
    <x v="15"/>
    <n v="24.5"/>
    <n v="0.9"/>
  </r>
  <r>
    <x v="82"/>
    <x v="24"/>
    <n v="23.1"/>
    <n v="0.3"/>
  </r>
  <r>
    <x v="83"/>
    <x v="21"/>
    <n v="29.8"/>
    <n v="0"/>
  </r>
  <r>
    <x v="84"/>
    <x v="0"/>
    <n v="11.2"/>
    <n v="0"/>
  </r>
  <r>
    <x v="85"/>
    <x v="15"/>
    <n v="18.7"/>
    <n v="0"/>
  </r>
  <r>
    <x v="86"/>
    <x v="14"/>
    <n v="11.4"/>
    <n v="8.1"/>
  </r>
  <r>
    <x v="87"/>
    <x v="9"/>
    <n v="21.3"/>
    <n v="13.4"/>
  </r>
  <r>
    <x v="88"/>
    <x v="1"/>
    <n v="24.5"/>
    <n v="2.6"/>
  </r>
  <r>
    <x v="89"/>
    <x v="15"/>
    <n v="20"/>
    <n v="13.2"/>
  </r>
  <r>
    <x v="90"/>
    <x v="6"/>
    <n v="28.4"/>
    <n v="12"/>
  </r>
  <r>
    <x v="91"/>
    <x v="7"/>
    <n v="14.8"/>
    <n v="10.1"/>
  </r>
  <r>
    <x v="92"/>
    <x v="25"/>
    <n v="27.9"/>
    <n v="0.6"/>
  </r>
  <r>
    <x v="93"/>
    <x v="8"/>
    <n v="19.899999999999999"/>
    <n v="9.8000000000000007"/>
  </r>
  <r>
    <x v="94"/>
    <x v="15"/>
    <n v="22.5"/>
    <n v="0"/>
  </r>
  <r>
    <x v="95"/>
    <x v="4"/>
    <n v="21.6"/>
    <n v="4.9000000000000004"/>
  </r>
  <r>
    <x v="96"/>
    <x v="6"/>
    <n v="28.1"/>
    <n v="0"/>
  </r>
  <r>
    <x v="97"/>
    <x v="8"/>
    <n v="21.5"/>
    <n v="8.6"/>
  </r>
  <r>
    <x v="98"/>
    <x v="10"/>
    <n v="22.7"/>
    <n v="0.1"/>
  </r>
  <r>
    <x v="99"/>
    <x v="6"/>
    <n v="27.4"/>
    <n v="21.8"/>
  </r>
  <r>
    <x v="100"/>
    <x v="15"/>
    <n v="18.3"/>
    <n v="17.3"/>
  </r>
  <r>
    <x v="101"/>
    <x v="15"/>
    <n v="29"/>
    <n v="27.3"/>
  </r>
  <r>
    <x v="102"/>
    <x v="14"/>
    <n v="18.100000000000001"/>
    <n v="0"/>
  </r>
  <r>
    <x v="103"/>
    <x v="16"/>
    <n v="16.399999999999999"/>
    <n v="1.1000000000000001"/>
  </r>
  <r>
    <x v="104"/>
    <x v="2"/>
    <n v="21.8"/>
    <n v="0"/>
  </r>
  <r>
    <x v="105"/>
    <x v="25"/>
    <n v="27.2"/>
    <n v="0"/>
  </r>
  <r>
    <x v="106"/>
    <x v="18"/>
    <n v="21.2"/>
    <n v="0"/>
  </r>
  <r>
    <x v="107"/>
    <x v="15"/>
    <n v="17.7"/>
    <n v="13.9"/>
  </r>
  <r>
    <x v="108"/>
    <x v="18"/>
    <n v="10.6"/>
    <n v="6.9"/>
  </r>
  <r>
    <x v="109"/>
    <x v="23"/>
    <n v="10.4"/>
    <n v="1.1000000000000001"/>
  </r>
  <r>
    <x v="110"/>
    <x v="6"/>
    <n v="15.8"/>
    <n v="7.1"/>
  </r>
  <r>
    <x v="111"/>
    <x v="5"/>
    <n v="19.899999999999999"/>
    <n v="10.8"/>
  </r>
  <r>
    <x v="112"/>
    <x v="7"/>
    <n v="13"/>
    <n v="0"/>
  </r>
  <r>
    <x v="113"/>
    <x v="3"/>
    <n v="28.1"/>
    <n v="15"/>
  </r>
  <r>
    <x v="114"/>
    <x v="8"/>
    <n v="22.5"/>
    <n v="8.6"/>
  </r>
  <r>
    <x v="115"/>
    <x v="15"/>
    <n v="14"/>
    <n v="36.1"/>
  </r>
  <r>
    <x v="116"/>
    <x v="6"/>
    <n v="10.6"/>
    <n v="18.399999999999999"/>
  </r>
  <r>
    <x v="117"/>
    <x v="19"/>
    <n v="22.3"/>
    <n v="0"/>
  </r>
  <r>
    <x v="118"/>
    <x v="15"/>
    <n v="14.5"/>
    <n v="26"/>
  </r>
  <r>
    <x v="119"/>
    <x v="1"/>
    <n v="21"/>
    <n v="1.7"/>
  </r>
  <r>
    <x v="120"/>
    <x v="0"/>
    <n v="17.7"/>
    <n v="0.4"/>
  </r>
  <r>
    <x v="121"/>
    <x v="3"/>
    <n v="24.3"/>
    <n v="9.6999999999999993"/>
  </r>
  <r>
    <x v="122"/>
    <x v="11"/>
    <n v="18.8"/>
    <n v="6.4"/>
  </r>
  <r>
    <x v="123"/>
    <x v="9"/>
    <n v="15.9"/>
    <n v="5.2"/>
  </r>
  <r>
    <x v="124"/>
    <x v="3"/>
    <n v="26.1"/>
    <n v="0"/>
  </r>
  <r>
    <x v="125"/>
    <x v="15"/>
    <n v="29.4"/>
    <n v="8.8000000000000007"/>
  </r>
  <r>
    <x v="126"/>
    <x v="9"/>
    <n v="10.5"/>
    <n v="14.5"/>
  </r>
  <r>
    <x v="127"/>
    <x v="26"/>
    <n v="18.100000000000001"/>
    <n v="0"/>
  </r>
  <r>
    <x v="128"/>
    <x v="11"/>
    <n v="20.6"/>
    <n v="0"/>
  </r>
  <r>
    <x v="129"/>
    <x v="11"/>
    <n v="17.100000000000001"/>
    <n v="0"/>
  </r>
  <r>
    <x v="130"/>
    <x v="18"/>
    <n v="17"/>
    <n v="0.3"/>
  </r>
  <r>
    <x v="131"/>
    <x v="19"/>
    <n v="14.7"/>
    <n v="2.2999999999999998"/>
  </r>
  <r>
    <x v="132"/>
    <x v="11"/>
    <n v="21.7"/>
    <n v="0"/>
  </r>
  <r>
    <x v="133"/>
    <x v="12"/>
    <n v="12.5"/>
    <n v="0"/>
  </r>
  <r>
    <x v="134"/>
    <x v="4"/>
    <n v="17.8"/>
    <n v="4.0999999999999996"/>
  </r>
  <r>
    <x v="135"/>
    <x v="6"/>
    <n v="28.9"/>
    <n v="38.700000000000003"/>
  </r>
  <r>
    <x v="136"/>
    <x v="7"/>
    <n v="21"/>
    <n v="3.5"/>
  </r>
  <r>
    <x v="137"/>
    <x v="17"/>
    <n v="13"/>
    <n v="0.1"/>
  </r>
  <r>
    <x v="138"/>
    <x v="6"/>
    <n v="23.1"/>
    <n v="0"/>
  </r>
  <r>
    <x v="139"/>
    <x v="11"/>
    <n v="28.5"/>
    <n v="0"/>
  </r>
  <r>
    <x v="140"/>
    <x v="11"/>
    <n v="12.8"/>
    <n v="0"/>
  </r>
  <r>
    <x v="141"/>
    <x v="27"/>
    <n v="26.8"/>
    <n v="0"/>
  </r>
  <r>
    <x v="142"/>
    <x v="6"/>
    <n v="15.1"/>
    <n v="24.8"/>
  </r>
  <r>
    <x v="143"/>
    <x v="14"/>
    <n v="14.4"/>
    <n v="13.5"/>
  </r>
  <r>
    <x v="144"/>
    <x v="7"/>
    <n v="29.2"/>
    <n v="15.7"/>
  </r>
  <r>
    <x v="145"/>
    <x v="6"/>
    <n v="28.9"/>
    <n v="47.2"/>
  </r>
  <r>
    <x v="146"/>
    <x v="16"/>
    <n v="18.399999999999999"/>
    <n v="3.9"/>
  </r>
  <r>
    <x v="147"/>
    <x v="13"/>
    <n v="26.2"/>
    <n v="4"/>
  </r>
  <r>
    <x v="148"/>
    <x v="6"/>
    <n v="14.3"/>
    <n v="45.1"/>
  </r>
  <r>
    <x v="149"/>
    <x v="3"/>
    <n v="14.5"/>
    <n v="0"/>
  </r>
  <r>
    <x v="150"/>
    <x v="6"/>
    <n v="18.600000000000001"/>
    <n v="5.5"/>
  </r>
  <r>
    <x v="151"/>
    <x v="3"/>
    <n v="26.3"/>
    <n v="14.5"/>
  </r>
  <r>
    <x v="152"/>
    <x v="28"/>
    <n v="25.9"/>
    <n v="0.7"/>
  </r>
  <r>
    <x v="153"/>
    <x v="8"/>
    <n v="29.8"/>
    <n v="0"/>
  </r>
  <r>
    <x v="154"/>
    <x v="6"/>
    <n v="18.3"/>
    <n v="18.7"/>
  </r>
  <r>
    <x v="155"/>
    <x v="8"/>
    <n v="24.5"/>
    <n v="6.7"/>
  </r>
  <r>
    <x v="156"/>
    <x v="15"/>
    <n v="18.7"/>
    <n v="0"/>
  </r>
  <r>
    <x v="157"/>
    <x v="15"/>
    <n v="29.2"/>
    <n v="34.9"/>
  </r>
  <r>
    <x v="158"/>
    <x v="5"/>
    <n v="21.4"/>
    <n v="10.7"/>
  </r>
  <r>
    <x v="159"/>
    <x v="11"/>
    <n v="25.6"/>
    <n v="3.1"/>
  </r>
  <r>
    <x v="160"/>
    <x v="11"/>
    <n v="15.7"/>
    <n v="5.0999999999999996"/>
  </r>
  <r>
    <x v="161"/>
    <x v="2"/>
    <n v="27.3"/>
    <n v="11"/>
  </r>
  <r>
    <x v="162"/>
    <x v="21"/>
    <n v="28.4"/>
    <n v="2.7"/>
  </r>
  <r>
    <x v="163"/>
    <x v="7"/>
    <n v="22"/>
    <n v="3.3"/>
  </r>
  <r>
    <x v="164"/>
    <x v="4"/>
    <n v="19.399999999999999"/>
    <n v="0"/>
  </r>
  <r>
    <x v="165"/>
    <x v="11"/>
    <n v="22.7"/>
    <n v="14.8"/>
  </r>
  <r>
    <x v="166"/>
    <x v="3"/>
    <n v="22.6"/>
    <n v="16.5"/>
  </r>
  <r>
    <x v="167"/>
    <x v="13"/>
    <n v="26.1"/>
    <n v="0"/>
  </r>
  <r>
    <x v="168"/>
    <x v="11"/>
    <n v="27.6"/>
    <n v="6.7"/>
  </r>
  <r>
    <x v="169"/>
    <x v="8"/>
    <n v="13.2"/>
    <n v="0"/>
  </r>
  <r>
    <x v="170"/>
    <x v="17"/>
    <n v="22"/>
    <n v="0"/>
  </r>
  <r>
    <x v="171"/>
    <x v="5"/>
    <n v="10.8"/>
    <n v="7.6"/>
  </r>
  <r>
    <x v="172"/>
    <x v="6"/>
    <n v="15.6"/>
    <n v="38.4"/>
  </r>
  <r>
    <x v="173"/>
    <x v="22"/>
    <n v="11.7"/>
    <n v="0.5"/>
  </r>
  <r>
    <x v="174"/>
    <x v="6"/>
    <n v="27.2"/>
    <n v="8.3000000000000007"/>
  </r>
  <r>
    <x v="175"/>
    <x v="6"/>
    <n v="24.7"/>
    <n v="28.9"/>
  </r>
  <r>
    <x v="176"/>
    <x v="7"/>
    <n v="18.2"/>
    <n v="12.5"/>
  </r>
  <r>
    <x v="177"/>
    <x v="7"/>
    <n v="14.6"/>
    <n v="17.899999999999999"/>
  </r>
  <r>
    <x v="178"/>
    <x v="7"/>
    <n v="16.5"/>
    <n v="13.9"/>
  </r>
  <r>
    <x v="179"/>
    <x v="14"/>
    <n v="29.4"/>
    <n v="0"/>
  </r>
  <r>
    <x v="180"/>
    <x v="6"/>
    <n v="17.899999999999999"/>
    <n v="0"/>
  </r>
  <r>
    <x v="181"/>
    <x v="13"/>
    <n v="29.8"/>
    <n v="0"/>
  </r>
  <r>
    <x v="182"/>
    <x v="0"/>
    <n v="18.7"/>
    <n v="0"/>
  </r>
  <r>
    <x v="183"/>
    <x v="8"/>
    <n v="24.3"/>
    <n v="7.8"/>
  </r>
  <r>
    <x v="184"/>
    <x v="9"/>
    <n v="29.3"/>
    <n v="4.5999999999999996"/>
  </r>
  <r>
    <x v="185"/>
    <x v="3"/>
    <n v="18.399999999999999"/>
    <n v="0"/>
  </r>
  <r>
    <x v="186"/>
    <x v="3"/>
    <n v="10.3"/>
    <n v="16"/>
  </r>
  <r>
    <x v="187"/>
    <x v="6"/>
    <n v="27.5"/>
    <n v="0"/>
  </r>
  <r>
    <x v="188"/>
    <x v="3"/>
    <n v="20.6"/>
    <n v="15.7"/>
  </r>
  <r>
    <x v="189"/>
    <x v="7"/>
    <n v="21.3"/>
    <n v="0"/>
  </r>
  <r>
    <x v="190"/>
    <x v="15"/>
    <n v="26.2"/>
    <n v="0"/>
  </r>
  <r>
    <x v="191"/>
    <x v="6"/>
    <n v="23.9"/>
    <n v="0"/>
  </r>
  <r>
    <x v="192"/>
    <x v="23"/>
    <n v="26.6"/>
    <n v="1.6"/>
  </r>
  <r>
    <x v="193"/>
    <x v="6"/>
    <n v="18.600000000000001"/>
    <n v="20.399999999999999"/>
  </r>
  <r>
    <x v="194"/>
    <x v="14"/>
    <n v="22.3"/>
    <n v="1.7"/>
  </r>
  <r>
    <x v="195"/>
    <x v="13"/>
    <n v="18.399999999999999"/>
    <n v="3.9"/>
  </r>
  <r>
    <x v="196"/>
    <x v="23"/>
    <n v="28"/>
    <n v="4.4000000000000004"/>
  </r>
  <r>
    <x v="197"/>
    <x v="6"/>
    <n v="10.9"/>
    <n v="32.9"/>
  </r>
  <r>
    <x v="198"/>
    <x v="15"/>
    <n v="25.1"/>
    <n v="33.299999999999997"/>
  </r>
  <r>
    <x v="199"/>
    <x v="24"/>
    <n v="10.7"/>
    <n v="0.3"/>
  </r>
  <r>
    <x v="200"/>
    <x v="6"/>
    <n v="26.1"/>
    <n v="31"/>
  </r>
  <r>
    <x v="201"/>
    <x v="7"/>
    <n v="15.2"/>
    <n v="12.7"/>
  </r>
  <r>
    <x v="202"/>
    <x v="10"/>
    <n v="28.8"/>
    <n v="4.3"/>
  </r>
  <r>
    <x v="203"/>
    <x v="22"/>
    <n v="10.3"/>
    <n v="0"/>
  </r>
  <r>
    <x v="204"/>
    <x v="2"/>
    <n v="14.9"/>
    <n v="0.1"/>
  </r>
  <r>
    <x v="205"/>
    <x v="6"/>
    <n v="11.3"/>
    <n v="0"/>
  </r>
  <r>
    <x v="206"/>
    <x v="6"/>
    <n v="20.8"/>
    <n v="34.9"/>
  </r>
  <r>
    <x v="207"/>
    <x v="15"/>
    <n v="18.2"/>
    <n v="0"/>
  </r>
  <r>
    <x v="208"/>
    <x v="13"/>
    <n v="12.7"/>
    <n v="5.3"/>
  </r>
  <r>
    <x v="209"/>
    <x v="10"/>
    <n v="21.4"/>
    <n v="8.3000000000000007"/>
  </r>
  <r>
    <x v="210"/>
    <x v="2"/>
    <n v="21.3"/>
    <n v="11.8"/>
  </r>
  <r>
    <x v="211"/>
    <x v="13"/>
    <n v="20.7"/>
    <n v="3.9"/>
  </r>
  <r>
    <x v="212"/>
    <x v="16"/>
    <n v="19.7"/>
    <n v="0"/>
  </r>
  <r>
    <x v="213"/>
    <x v="7"/>
    <n v="27.2"/>
    <n v="17.600000000000001"/>
  </r>
  <r>
    <x v="214"/>
    <x v="21"/>
    <n v="16.600000000000001"/>
    <n v="1.7"/>
  </r>
  <r>
    <x v="215"/>
    <x v="7"/>
    <n v="22.3"/>
    <n v="0"/>
  </r>
  <r>
    <x v="216"/>
    <x v="6"/>
    <n v="18"/>
    <n v="40.799999999999997"/>
  </r>
  <r>
    <x v="217"/>
    <x v="20"/>
    <n v="21.8"/>
    <n v="0"/>
  </r>
  <r>
    <x v="218"/>
    <x v="2"/>
    <n v="22.2"/>
    <n v="11.2"/>
  </r>
  <r>
    <x v="219"/>
    <x v="2"/>
    <n v="20"/>
    <n v="0"/>
  </r>
  <r>
    <x v="220"/>
    <x v="28"/>
    <n v="29.4"/>
    <n v="0.7"/>
  </r>
  <r>
    <x v="221"/>
    <x v="6"/>
    <n v="23.6"/>
    <n v="0"/>
  </r>
  <r>
    <x v="222"/>
    <x v="3"/>
    <n v="16.3"/>
    <n v="22"/>
  </r>
  <r>
    <x v="223"/>
    <x v="11"/>
    <n v="15"/>
    <n v="0"/>
  </r>
  <r>
    <x v="224"/>
    <x v="10"/>
    <n v="10.8"/>
    <n v="0"/>
  </r>
  <r>
    <x v="225"/>
    <x v="15"/>
    <n v="10.5"/>
    <n v="0"/>
  </r>
  <r>
    <x v="226"/>
    <x v="1"/>
    <n v="20.3"/>
    <n v="0"/>
  </r>
  <r>
    <x v="227"/>
    <x v="6"/>
    <n v="13.1"/>
    <n v="50.4"/>
  </r>
  <r>
    <x v="228"/>
    <x v="8"/>
    <n v="24.8"/>
    <n v="7.9"/>
  </r>
  <r>
    <x v="229"/>
    <x v="7"/>
    <n v="23.6"/>
    <n v="0.8"/>
  </r>
  <r>
    <x v="230"/>
    <x v="13"/>
    <n v="17.899999999999999"/>
    <n v="0"/>
  </r>
  <r>
    <x v="231"/>
    <x v="8"/>
    <n v="23.2"/>
    <n v="3"/>
  </r>
  <r>
    <x v="232"/>
    <x v="4"/>
    <n v="21.8"/>
    <n v="2"/>
  </r>
  <r>
    <x v="233"/>
    <x v="22"/>
    <n v="22.2"/>
    <n v="3.1"/>
  </r>
  <r>
    <x v="234"/>
    <x v="11"/>
    <n v="29"/>
    <n v="16.399999999999999"/>
  </r>
  <r>
    <x v="235"/>
    <x v="20"/>
    <n v="24.6"/>
    <n v="1.7"/>
  </r>
  <r>
    <x v="236"/>
    <x v="8"/>
    <n v="23.4"/>
    <n v="0.6"/>
  </r>
  <r>
    <x v="237"/>
    <x v="11"/>
    <n v="21"/>
    <n v="0"/>
  </r>
  <r>
    <x v="238"/>
    <x v="1"/>
    <n v="22"/>
    <n v="0"/>
  </r>
  <r>
    <x v="239"/>
    <x v="5"/>
    <n v="29.9"/>
    <n v="8"/>
  </r>
  <r>
    <x v="240"/>
    <x v="3"/>
    <n v="27.2"/>
    <n v="19.2"/>
  </r>
  <r>
    <x v="241"/>
    <x v="15"/>
    <n v="10.9"/>
    <n v="9"/>
  </r>
  <r>
    <x v="242"/>
    <x v="5"/>
    <n v="22.6"/>
    <n v="5.9"/>
  </r>
  <r>
    <x v="243"/>
    <x v="19"/>
    <n v="12"/>
    <n v="3.9"/>
  </r>
  <r>
    <x v="244"/>
    <x v="11"/>
    <n v="19.5"/>
    <n v="14.2"/>
  </r>
  <r>
    <x v="245"/>
    <x v="6"/>
    <n v="27"/>
    <n v="10.9"/>
  </r>
  <r>
    <x v="246"/>
    <x v="18"/>
    <n v="10.7"/>
    <n v="5.6"/>
  </r>
  <r>
    <x v="247"/>
    <x v="15"/>
    <n v="29.1"/>
    <n v="0"/>
  </r>
  <r>
    <x v="248"/>
    <x v="23"/>
    <n v="25.3"/>
    <n v="0"/>
  </r>
  <r>
    <x v="249"/>
    <x v="2"/>
    <n v="13.3"/>
    <n v="4.4000000000000004"/>
  </r>
  <r>
    <x v="250"/>
    <x v="3"/>
    <n v="16.899999999999999"/>
    <n v="0"/>
  </r>
  <r>
    <x v="251"/>
    <x v="11"/>
    <n v="26.4"/>
    <n v="6.8"/>
  </r>
  <r>
    <x v="252"/>
    <x v="10"/>
    <n v="29.7"/>
    <n v="0"/>
  </r>
  <r>
    <x v="253"/>
    <x v="3"/>
    <n v="17.600000000000001"/>
    <n v="8.6999999999999993"/>
  </r>
  <r>
    <x v="254"/>
    <x v="13"/>
    <n v="13.2"/>
    <n v="3.3"/>
  </r>
  <r>
    <x v="255"/>
    <x v="11"/>
    <n v="21.2"/>
    <n v="0"/>
  </r>
  <r>
    <x v="256"/>
    <x v="11"/>
    <n v="23"/>
    <n v="7.7"/>
  </r>
  <r>
    <x v="257"/>
    <x v="7"/>
    <n v="23"/>
    <n v="0"/>
  </r>
  <r>
    <x v="258"/>
    <x v="7"/>
    <n v="23.4"/>
    <n v="0"/>
  </r>
  <r>
    <x v="259"/>
    <x v="3"/>
    <n v="28.7"/>
    <n v="3.3"/>
  </r>
  <r>
    <x v="260"/>
    <x v="22"/>
    <n v="23.6"/>
    <n v="4.3"/>
  </r>
  <r>
    <x v="261"/>
    <x v="2"/>
    <n v="10.199999999999999"/>
    <n v="8.6999999999999993"/>
  </r>
  <r>
    <x v="262"/>
    <x v="5"/>
    <n v="13.8"/>
    <n v="0"/>
  </r>
  <r>
    <x v="263"/>
    <x v="4"/>
    <n v="27.7"/>
    <n v="0"/>
  </r>
  <r>
    <x v="264"/>
    <x v="3"/>
    <n v="13.3"/>
    <n v="7.2"/>
  </r>
  <r>
    <x v="265"/>
    <x v="7"/>
    <n v="26"/>
    <n v="0.7"/>
  </r>
  <r>
    <x v="266"/>
    <x v="2"/>
    <n v="16.3"/>
    <n v="11"/>
  </r>
  <r>
    <x v="267"/>
    <x v="11"/>
    <n v="23.5"/>
    <n v="15.5"/>
  </r>
  <r>
    <x v="268"/>
    <x v="23"/>
    <n v="15.7"/>
    <n v="0"/>
  </r>
  <r>
    <x v="269"/>
    <x v="22"/>
    <n v="26"/>
    <n v="6.4"/>
  </r>
  <r>
    <x v="270"/>
    <x v="15"/>
    <n v="22.7"/>
    <n v="0"/>
  </r>
  <r>
    <x v="271"/>
    <x v="5"/>
    <n v="26.2"/>
    <n v="5.7"/>
  </r>
  <r>
    <x v="272"/>
    <x v="18"/>
    <n v="14.1"/>
    <n v="0"/>
  </r>
  <r>
    <x v="273"/>
    <x v="7"/>
    <n v="23.6"/>
    <n v="19.7"/>
  </r>
  <r>
    <x v="274"/>
    <x v="15"/>
    <n v="25.2"/>
    <n v="37.200000000000003"/>
  </r>
  <r>
    <x v="275"/>
    <x v="9"/>
    <n v="23"/>
    <n v="0"/>
  </r>
  <r>
    <x v="276"/>
    <x v="2"/>
    <n v="29.7"/>
    <n v="6.8"/>
  </r>
  <r>
    <x v="277"/>
    <x v="5"/>
    <n v="17.2"/>
    <n v="3.5"/>
  </r>
  <r>
    <x v="278"/>
    <x v="5"/>
    <n v="21.7"/>
    <n v="2.5"/>
  </r>
  <r>
    <x v="279"/>
    <x v="7"/>
    <n v="25.8"/>
    <n v="3.8"/>
  </r>
  <r>
    <x v="280"/>
    <x v="22"/>
    <n v="12.9"/>
    <n v="1.6"/>
  </r>
  <r>
    <x v="281"/>
    <x v="12"/>
    <n v="18.2"/>
    <n v="0"/>
  </r>
  <r>
    <x v="282"/>
    <x v="6"/>
    <n v="20"/>
    <n v="25.7"/>
  </r>
  <r>
    <x v="283"/>
    <x v="15"/>
    <n v="17.100000000000001"/>
    <n v="33"/>
  </r>
  <r>
    <x v="284"/>
    <x v="1"/>
    <n v="23.2"/>
    <n v="2.2999999999999998"/>
  </r>
  <r>
    <x v="285"/>
    <x v="11"/>
    <n v="23.1"/>
    <n v="2.2000000000000002"/>
  </r>
  <r>
    <x v="286"/>
    <x v="6"/>
    <n v="22.4"/>
    <n v="33.5"/>
  </r>
  <r>
    <x v="287"/>
    <x v="29"/>
    <n v="25.4"/>
    <n v="0.9"/>
  </r>
  <r>
    <x v="288"/>
    <x v="6"/>
    <n v="15.4"/>
    <n v="1.6"/>
  </r>
  <r>
    <x v="289"/>
    <x v="21"/>
    <n v="23.5"/>
    <n v="0.6"/>
  </r>
  <r>
    <x v="290"/>
    <x v="11"/>
    <n v="10.3"/>
    <n v="15.4"/>
  </r>
  <r>
    <x v="291"/>
    <x v="6"/>
    <n v="15.5"/>
    <n v="20.2"/>
  </r>
  <r>
    <x v="292"/>
    <x v="20"/>
    <n v="20.7"/>
    <n v="3"/>
  </r>
  <r>
    <x v="293"/>
    <x v="9"/>
    <n v="12.7"/>
    <n v="14.4"/>
  </r>
  <r>
    <x v="294"/>
    <x v="19"/>
    <n v="22.8"/>
    <n v="3.3"/>
  </r>
  <r>
    <x v="295"/>
    <x v="26"/>
    <n v="20.5"/>
    <n v="0"/>
  </r>
  <r>
    <x v="296"/>
    <x v="18"/>
    <n v="13.1"/>
    <n v="5.9"/>
  </r>
  <r>
    <x v="297"/>
    <x v="17"/>
    <n v="29"/>
    <n v="1"/>
  </r>
  <r>
    <x v="298"/>
    <x v="15"/>
    <n v="15.4"/>
    <n v="0"/>
  </r>
  <r>
    <x v="299"/>
    <x v="6"/>
    <n v="20.3"/>
    <n v="10.7"/>
  </r>
  <r>
    <x v="300"/>
    <x v="6"/>
    <n v="15"/>
    <n v="0"/>
  </r>
  <r>
    <x v="301"/>
    <x v="14"/>
    <n v="16.600000000000001"/>
    <n v="0"/>
  </r>
  <r>
    <x v="302"/>
    <x v="7"/>
    <n v="28.6"/>
    <n v="0"/>
  </r>
  <r>
    <x v="303"/>
    <x v="13"/>
    <n v="11.4"/>
    <n v="3.6"/>
  </r>
  <r>
    <x v="304"/>
    <x v="5"/>
    <n v="15.5"/>
    <n v="1"/>
  </r>
  <r>
    <x v="305"/>
    <x v="2"/>
    <n v="18.3"/>
    <n v="0.7"/>
  </r>
  <r>
    <x v="306"/>
    <x v="15"/>
    <n v="14.9"/>
    <n v="6.1"/>
  </r>
  <r>
    <x v="307"/>
    <x v="7"/>
    <n v="29.7"/>
    <n v="13.3"/>
  </r>
  <r>
    <x v="308"/>
    <x v="3"/>
    <n v="28.9"/>
    <n v="13.8"/>
  </r>
  <r>
    <x v="309"/>
    <x v="13"/>
    <n v="24.3"/>
    <n v="0"/>
  </r>
  <r>
    <x v="310"/>
    <x v="6"/>
    <n v="24"/>
    <n v="19.7"/>
  </r>
  <r>
    <x v="311"/>
    <x v="11"/>
    <n v="11.8"/>
    <n v="13.3"/>
  </r>
  <r>
    <x v="312"/>
    <x v="6"/>
    <n v="26.5"/>
    <n v="19.7"/>
  </r>
  <r>
    <x v="313"/>
    <x v="22"/>
    <n v="12.4"/>
    <n v="5.0999999999999996"/>
  </r>
  <r>
    <x v="314"/>
    <x v="6"/>
    <n v="21.9"/>
    <n v="6.6"/>
  </r>
  <r>
    <x v="315"/>
    <x v="6"/>
    <n v="20.3"/>
    <n v="0"/>
  </r>
  <r>
    <x v="316"/>
    <x v="28"/>
    <n v="27.7"/>
    <n v="0.3"/>
  </r>
  <r>
    <x v="317"/>
    <x v="15"/>
    <n v="28.5"/>
    <n v="30"/>
  </r>
  <r>
    <x v="318"/>
    <x v="17"/>
    <n v="28.7"/>
    <n v="1.9"/>
  </r>
  <r>
    <x v="319"/>
    <x v="0"/>
    <n v="10.9"/>
    <n v="0"/>
  </r>
  <r>
    <x v="320"/>
    <x v="5"/>
    <n v="13.7"/>
    <n v="0"/>
  </r>
  <r>
    <x v="321"/>
    <x v="7"/>
    <n v="28.2"/>
    <n v="0"/>
  </r>
  <r>
    <x v="322"/>
    <x v="15"/>
    <n v="20.100000000000001"/>
    <n v="0"/>
  </r>
  <r>
    <x v="323"/>
    <x v="7"/>
    <n v="20.6"/>
    <n v="0"/>
  </r>
  <r>
    <x v="324"/>
    <x v="9"/>
    <n v="15.5"/>
    <n v="16.8"/>
  </r>
  <r>
    <x v="325"/>
    <x v="8"/>
    <n v="22.2"/>
    <n v="2.4"/>
  </r>
  <r>
    <x v="326"/>
    <x v="9"/>
    <n v="15"/>
    <n v="4.0999999999999996"/>
  </r>
  <r>
    <x v="327"/>
    <x v="15"/>
    <n v="18.399999999999999"/>
    <n v="30.4"/>
  </r>
  <r>
    <x v="328"/>
    <x v="28"/>
    <n v="29.3"/>
    <n v="0.4"/>
  </r>
  <r>
    <x v="329"/>
    <x v="19"/>
    <n v="23.9"/>
    <n v="3.3"/>
  </r>
  <r>
    <x v="330"/>
    <x v="16"/>
    <n v="29.8"/>
    <n v="3.3"/>
  </r>
  <r>
    <x v="331"/>
    <x v="6"/>
    <n v="29.1"/>
    <n v="23"/>
  </r>
  <r>
    <x v="332"/>
    <x v="7"/>
    <n v="22.5"/>
    <n v="17.2"/>
  </r>
  <r>
    <x v="333"/>
    <x v="15"/>
    <n v="15.3"/>
    <n v="21.5"/>
  </r>
  <r>
    <x v="334"/>
    <x v="6"/>
    <n v="13.8"/>
    <n v="40.4"/>
  </r>
  <r>
    <x v="335"/>
    <x v="3"/>
    <n v="12.3"/>
    <n v="0"/>
  </r>
  <r>
    <x v="336"/>
    <x v="1"/>
    <n v="18.5"/>
    <n v="4.2"/>
  </r>
  <r>
    <x v="337"/>
    <x v="16"/>
    <n v="10.3"/>
    <n v="3.2"/>
  </r>
  <r>
    <x v="338"/>
    <x v="15"/>
    <n v="24.9"/>
    <n v="12.1"/>
  </r>
  <r>
    <x v="339"/>
    <x v="6"/>
    <n v="26.4"/>
    <n v="0"/>
  </r>
  <r>
    <x v="340"/>
    <x v="3"/>
    <n v="11.8"/>
    <n v="0"/>
  </r>
  <r>
    <x v="341"/>
    <x v="2"/>
    <n v="11"/>
    <n v="7.5"/>
  </r>
  <r>
    <x v="342"/>
    <x v="6"/>
    <n v="15.4"/>
    <n v="5.2"/>
  </r>
  <r>
    <x v="343"/>
    <x v="23"/>
    <n v="25.7"/>
    <n v="5.8"/>
  </r>
  <r>
    <x v="344"/>
    <x v="9"/>
    <n v="14.8"/>
    <n v="0"/>
  </r>
  <r>
    <x v="345"/>
    <x v="27"/>
    <n v="21.5"/>
    <n v="0.8"/>
  </r>
  <r>
    <x v="346"/>
    <x v="15"/>
    <n v="26.2"/>
    <n v="8.9"/>
  </r>
  <r>
    <x v="347"/>
    <x v="0"/>
    <n v="20.6"/>
    <n v="0.1"/>
  </r>
  <r>
    <x v="348"/>
    <x v="6"/>
    <n v="14.1"/>
    <n v="20.9"/>
  </r>
  <r>
    <x v="349"/>
    <x v="20"/>
    <n v="20.8"/>
    <n v="0.7"/>
  </r>
  <r>
    <x v="350"/>
    <x v="14"/>
    <n v="17.600000000000001"/>
    <n v="10.5"/>
  </r>
  <r>
    <x v="351"/>
    <x v="6"/>
    <n v="16.8"/>
    <n v="38.9"/>
  </r>
  <r>
    <x v="352"/>
    <x v="0"/>
    <n v="23.1"/>
    <n v="0"/>
  </r>
  <r>
    <x v="353"/>
    <x v="23"/>
    <n v="16.3"/>
    <n v="3.4"/>
  </r>
  <r>
    <x v="354"/>
    <x v="3"/>
    <n v="15.7"/>
    <n v="10.9"/>
  </r>
  <r>
    <x v="355"/>
    <x v="14"/>
    <n v="29.3"/>
    <n v="2.1"/>
  </r>
  <r>
    <x v="356"/>
    <x v="18"/>
    <n v="24"/>
    <n v="7.3"/>
  </r>
  <r>
    <x v="357"/>
    <x v="2"/>
    <n v="27"/>
    <n v="0.6"/>
  </r>
  <r>
    <x v="358"/>
    <x v="6"/>
    <n v="26.3"/>
    <n v="1.2"/>
  </r>
  <r>
    <x v="359"/>
    <x v="11"/>
    <n v="26.3"/>
    <n v="8.1999999999999993"/>
  </r>
  <r>
    <x v="360"/>
    <x v="2"/>
    <n v="25.2"/>
    <n v="4.7"/>
  </r>
  <r>
    <x v="361"/>
    <x v="6"/>
    <n v="22.1"/>
    <n v="0"/>
  </r>
  <r>
    <x v="362"/>
    <x v="6"/>
    <n v="11.9"/>
    <n v="41.6"/>
  </r>
  <r>
    <x v="363"/>
    <x v="9"/>
    <n v="19.600000000000001"/>
    <n v="0"/>
  </r>
  <r>
    <x v="364"/>
    <x v="23"/>
    <n v="15.9"/>
    <n v="0"/>
  </r>
  <r>
    <x v="365"/>
    <x v="8"/>
    <n v="24.3"/>
    <n v="1.7"/>
  </r>
  <r>
    <x v="366"/>
    <x v="10"/>
    <n v="20"/>
    <n v="0"/>
  </r>
  <r>
    <x v="367"/>
    <x v="6"/>
    <n v="14.2"/>
    <n v="32.200000000000003"/>
  </r>
  <r>
    <x v="368"/>
    <x v="3"/>
    <n v="20.5"/>
    <n v="18.3"/>
  </r>
  <r>
    <x v="369"/>
    <x v="6"/>
    <n v="22.4"/>
    <n v="0"/>
  </r>
  <r>
    <x v="370"/>
    <x v="18"/>
    <n v="19.100000000000001"/>
    <n v="0"/>
  </r>
  <r>
    <x v="371"/>
    <x v="11"/>
    <n v="20.399999999999999"/>
    <n v="4.3"/>
  </r>
  <r>
    <x v="372"/>
    <x v="15"/>
    <n v="29.8"/>
    <n v="0"/>
  </r>
  <r>
    <x v="373"/>
    <x v="29"/>
    <n v="13.7"/>
    <n v="0.7"/>
  </r>
  <r>
    <x v="374"/>
    <x v="4"/>
    <n v="20.2"/>
    <n v="3.7"/>
  </r>
  <r>
    <x v="375"/>
    <x v="7"/>
    <n v="18.2"/>
    <n v="1.6"/>
  </r>
  <r>
    <x v="376"/>
    <x v="9"/>
    <n v="14.2"/>
    <n v="2"/>
  </r>
  <r>
    <x v="377"/>
    <x v="11"/>
    <n v="11.2"/>
    <n v="14.3"/>
  </r>
  <r>
    <x v="378"/>
    <x v="28"/>
    <n v="13.9"/>
    <n v="0.2"/>
  </r>
  <r>
    <x v="379"/>
    <x v="7"/>
    <n v="22.6"/>
    <n v="15.1"/>
  </r>
  <r>
    <x v="380"/>
    <x v="11"/>
    <n v="29.8"/>
    <n v="0"/>
  </r>
  <r>
    <x v="381"/>
    <x v="16"/>
    <n v="12.7"/>
    <n v="2.6"/>
  </r>
  <r>
    <x v="382"/>
    <x v="23"/>
    <n v="14.4"/>
    <n v="0"/>
  </r>
  <r>
    <x v="383"/>
    <x v="29"/>
    <n v="18.399999999999999"/>
    <n v="0.2"/>
  </r>
  <r>
    <x v="384"/>
    <x v="5"/>
    <n v="27.2"/>
    <n v="9.6"/>
  </r>
  <r>
    <x v="385"/>
    <x v="18"/>
    <n v="12.5"/>
    <n v="8.8000000000000007"/>
  </r>
  <r>
    <x v="386"/>
    <x v="22"/>
    <n v="22.6"/>
    <n v="3.5"/>
  </r>
  <r>
    <x v="387"/>
    <x v="3"/>
    <n v="21.8"/>
    <n v="6.5"/>
  </r>
  <r>
    <x v="388"/>
    <x v="19"/>
    <n v="17.2"/>
    <n v="0"/>
  </r>
  <r>
    <x v="389"/>
    <x v="9"/>
    <n v="13.4"/>
    <n v="14.1"/>
  </r>
  <r>
    <x v="390"/>
    <x v="5"/>
    <n v="13.8"/>
    <n v="9.9"/>
  </r>
  <r>
    <x v="391"/>
    <x v="20"/>
    <n v="10.6"/>
    <n v="1.2"/>
  </r>
  <r>
    <x v="392"/>
    <x v="12"/>
    <n v="28.8"/>
    <n v="0.1"/>
  </r>
  <r>
    <x v="393"/>
    <x v="24"/>
    <n v="16.899999999999999"/>
    <n v="0.7"/>
  </r>
  <r>
    <x v="394"/>
    <x v="14"/>
    <n v="11.2"/>
    <n v="4.8"/>
  </r>
  <r>
    <x v="395"/>
    <x v="6"/>
    <n v="13.9"/>
    <n v="23"/>
  </r>
  <r>
    <x v="396"/>
    <x v="7"/>
    <n v="25.3"/>
    <n v="21.9"/>
  </r>
  <r>
    <x v="397"/>
    <x v="6"/>
    <n v="14.7"/>
    <n v="0"/>
  </r>
  <r>
    <x v="398"/>
    <x v="8"/>
    <n v="20.3"/>
    <n v="5.3"/>
  </r>
  <r>
    <x v="399"/>
    <x v="11"/>
    <n v="25"/>
    <n v="3.8"/>
  </r>
  <r>
    <x v="400"/>
    <x v="14"/>
    <n v="19.600000000000001"/>
    <n v="0.6"/>
  </r>
  <r>
    <x v="401"/>
    <x v="8"/>
    <n v="10.8"/>
    <n v="0"/>
  </r>
  <r>
    <x v="402"/>
    <x v="17"/>
    <n v="17.100000000000001"/>
    <n v="0.7"/>
  </r>
  <r>
    <x v="403"/>
    <x v="10"/>
    <n v="15.1"/>
    <n v="0"/>
  </r>
  <r>
    <x v="404"/>
    <x v="14"/>
    <n v="26.4"/>
    <n v="1.9"/>
  </r>
  <r>
    <x v="405"/>
    <x v="6"/>
    <n v="11.6"/>
    <n v="14.4"/>
  </r>
  <r>
    <x v="406"/>
    <x v="6"/>
    <n v="16.600000000000001"/>
    <n v="40.6"/>
  </r>
  <r>
    <x v="407"/>
    <x v="15"/>
    <n v="19.5"/>
    <n v="24.9"/>
  </r>
  <r>
    <x v="408"/>
    <x v="13"/>
    <n v="24.9"/>
    <n v="6.5"/>
  </r>
  <r>
    <x v="409"/>
    <x v="19"/>
    <n v="19.3"/>
    <n v="0.8"/>
  </r>
  <r>
    <x v="410"/>
    <x v="13"/>
    <n v="26.2"/>
    <n v="2.8"/>
  </r>
  <r>
    <x v="411"/>
    <x v="3"/>
    <n v="28.1"/>
    <n v="0.6"/>
  </r>
  <r>
    <x v="412"/>
    <x v="10"/>
    <n v="17"/>
    <n v="4.8"/>
  </r>
  <r>
    <x v="413"/>
    <x v="13"/>
    <n v="28.5"/>
    <n v="7.1"/>
  </r>
  <r>
    <x v="414"/>
    <x v="1"/>
    <n v="14.2"/>
    <n v="2.1"/>
  </r>
  <r>
    <x v="415"/>
    <x v="3"/>
    <n v="24.9"/>
    <n v="8.3000000000000007"/>
  </r>
  <r>
    <x v="416"/>
    <x v="13"/>
    <n v="19.100000000000001"/>
    <n v="3.4"/>
  </r>
  <r>
    <x v="417"/>
    <x v="6"/>
    <n v="14.9"/>
    <n v="23.1"/>
  </r>
  <r>
    <x v="418"/>
    <x v="23"/>
    <n v="16.899999999999999"/>
    <n v="6.8"/>
  </r>
  <r>
    <x v="419"/>
    <x v="8"/>
    <n v="15.9"/>
    <n v="6.8"/>
  </r>
  <r>
    <x v="420"/>
    <x v="25"/>
    <n v="26.3"/>
    <n v="0.7"/>
  </r>
  <r>
    <x v="421"/>
    <x v="6"/>
    <n v="12.2"/>
    <n v="0"/>
  </r>
  <r>
    <x v="422"/>
    <x v="3"/>
    <n v="27.5"/>
    <n v="0"/>
  </r>
  <r>
    <x v="423"/>
    <x v="17"/>
    <n v="23"/>
    <n v="0"/>
  </r>
  <r>
    <x v="424"/>
    <x v="15"/>
    <n v="17.899999999999999"/>
    <n v="36.799999999999997"/>
  </r>
  <r>
    <x v="425"/>
    <x v="15"/>
    <n v="27.3"/>
    <n v="0"/>
  </r>
  <r>
    <x v="426"/>
    <x v="0"/>
    <n v="19.3"/>
    <n v="0.4"/>
  </r>
  <r>
    <x v="427"/>
    <x v="10"/>
    <n v="25.5"/>
    <n v="0"/>
  </r>
  <r>
    <x v="428"/>
    <x v="2"/>
    <n v="13.7"/>
    <n v="11.7"/>
  </r>
  <r>
    <x v="429"/>
    <x v="15"/>
    <n v="18.399999999999999"/>
    <n v="0"/>
  </r>
  <r>
    <x v="430"/>
    <x v="14"/>
    <n v="11.1"/>
    <n v="0"/>
  </r>
  <r>
    <x v="431"/>
    <x v="8"/>
    <n v="28"/>
    <n v="0"/>
  </r>
  <r>
    <x v="432"/>
    <x v="2"/>
    <n v="16.2"/>
    <n v="13.7"/>
  </r>
  <r>
    <x v="433"/>
    <x v="15"/>
    <n v="12.1"/>
    <n v="37.200000000000003"/>
  </r>
  <r>
    <x v="434"/>
    <x v="16"/>
    <n v="21.4"/>
    <n v="3.1"/>
  </r>
  <r>
    <x v="435"/>
    <x v="6"/>
    <n v="11.2"/>
    <n v="0"/>
  </r>
  <r>
    <x v="436"/>
    <x v="24"/>
    <n v="18.399999999999999"/>
    <n v="0.2"/>
  </r>
  <r>
    <x v="437"/>
    <x v="8"/>
    <n v="13.7"/>
    <n v="0"/>
  </r>
  <r>
    <x v="438"/>
    <x v="15"/>
    <n v="10.4"/>
    <n v="15.6"/>
  </r>
  <r>
    <x v="439"/>
    <x v="27"/>
    <n v="21.8"/>
    <n v="0"/>
  </r>
  <r>
    <x v="440"/>
    <x v="3"/>
    <n v="11"/>
    <n v="0.4"/>
  </r>
  <r>
    <x v="441"/>
    <x v="6"/>
    <n v="19"/>
    <n v="21.9"/>
  </r>
  <r>
    <x v="442"/>
    <x v="6"/>
    <n v="12.5"/>
    <n v="0"/>
  </r>
  <r>
    <x v="443"/>
    <x v="11"/>
    <n v="13.6"/>
    <n v="12.6"/>
  </r>
  <r>
    <x v="444"/>
    <x v="6"/>
    <n v="20.2"/>
    <n v="17.899999999999999"/>
  </r>
  <r>
    <x v="445"/>
    <x v="6"/>
    <n v="28.7"/>
    <n v="0"/>
  </r>
  <r>
    <x v="446"/>
    <x v="16"/>
    <n v="13.4"/>
    <n v="4.8"/>
  </r>
  <r>
    <x v="447"/>
    <x v="11"/>
    <n v="12"/>
    <n v="8.9"/>
  </r>
  <r>
    <x v="448"/>
    <x v="7"/>
    <n v="28.9"/>
    <n v="13.9"/>
  </r>
  <r>
    <x v="449"/>
    <x v="18"/>
    <n v="25.2"/>
    <n v="0"/>
  </r>
  <r>
    <x v="450"/>
    <x v="7"/>
    <n v="18.600000000000001"/>
    <n v="1.8"/>
  </r>
  <r>
    <x v="451"/>
    <x v="22"/>
    <n v="20"/>
    <n v="2.4"/>
  </r>
  <r>
    <x v="452"/>
    <x v="5"/>
    <n v="14.3"/>
    <n v="3.9"/>
  </r>
  <r>
    <x v="453"/>
    <x v="6"/>
    <n v="28.8"/>
    <n v="25.1"/>
  </r>
  <r>
    <x v="454"/>
    <x v="15"/>
    <n v="26.8"/>
    <n v="10.8"/>
  </r>
  <r>
    <x v="455"/>
    <x v="15"/>
    <n v="20.399999999999999"/>
    <n v="0"/>
  </r>
  <r>
    <x v="456"/>
    <x v="18"/>
    <n v="14.1"/>
    <n v="4.5"/>
  </r>
  <r>
    <x v="457"/>
    <x v="10"/>
    <n v="28.1"/>
    <n v="6.3"/>
  </r>
  <r>
    <x v="458"/>
    <x v="9"/>
    <n v="15.7"/>
    <n v="11.5"/>
  </r>
  <r>
    <x v="459"/>
    <x v="25"/>
    <n v="27.7"/>
    <n v="0.6"/>
  </r>
  <r>
    <x v="460"/>
    <x v="3"/>
    <n v="22.9"/>
    <n v="22.6"/>
  </r>
  <r>
    <x v="461"/>
    <x v="9"/>
    <n v="10.3"/>
    <n v="0"/>
  </r>
  <r>
    <x v="462"/>
    <x v="19"/>
    <n v="28.4"/>
    <n v="4"/>
  </r>
  <r>
    <x v="463"/>
    <x v="14"/>
    <n v="18.7"/>
    <n v="15"/>
  </r>
  <r>
    <x v="464"/>
    <x v="15"/>
    <n v="13.7"/>
    <n v="9.4"/>
  </r>
  <r>
    <x v="465"/>
    <x v="10"/>
    <n v="16.3"/>
    <n v="3.6"/>
  </r>
  <r>
    <x v="466"/>
    <x v="23"/>
    <n v="14"/>
    <n v="0"/>
  </r>
  <r>
    <x v="467"/>
    <x v="11"/>
    <n v="26"/>
    <n v="5.5"/>
  </r>
  <r>
    <x v="468"/>
    <x v="15"/>
    <n v="27"/>
    <n v="38.6"/>
  </r>
  <r>
    <x v="469"/>
    <x v="6"/>
    <n v="26.6"/>
    <n v="49.7"/>
  </r>
  <r>
    <x v="470"/>
    <x v="15"/>
    <n v="20.9"/>
    <n v="30"/>
  </r>
  <r>
    <x v="471"/>
    <x v="18"/>
    <n v="28.5"/>
    <n v="5.3"/>
  </r>
  <r>
    <x v="472"/>
    <x v="1"/>
    <n v="10.4"/>
    <n v="0"/>
  </r>
  <r>
    <x v="473"/>
    <x v="14"/>
    <n v="25.9"/>
    <n v="9.1999999999999993"/>
  </r>
  <r>
    <x v="474"/>
    <x v="7"/>
    <n v="24.6"/>
    <n v="11"/>
  </r>
  <r>
    <x v="475"/>
    <x v="12"/>
    <n v="22"/>
    <n v="0"/>
  </r>
  <r>
    <x v="476"/>
    <x v="4"/>
    <n v="16.8"/>
    <n v="2.4"/>
  </r>
  <r>
    <x v="477"/>
    <x v="6"/>
    <n v="21.7"/>
    <n v="44.1"/>
  </r>
  <r>
    <x v="478"/>
    <x v="8"/>
    <n v="28.9"/>
    <n v="0"/>
  </r>
  <r>
    <x v="479"/>
    <x v="9"/>
    <n v="26.6"/>
    <n v="0.4"/>
  </r>
  <r>
    <x v="480"/>
    <x v="11"/>
    <n v="28"/>
    <n v="16.7"/>
  </r>
  <r>
    <x v="481"/>
    <x v="13"/>
    <n v="27.5"/>
    <n v="0"/>
  </r>
  <r>
    <x v="482"/>
    <x v="18"/>
    <n v="18.2"/>
    <n v="0"/>
  </r>
  <r>
    <x v="483"/>
    <x v="14"/>
    <n v="25.1"/>
    <n v="0"/>
  </r>
  <r>
    <x v="484"/>
    <x v="0"/>
    <n v="10.1"/>
    <n v="0.2"/>
  </r>
  <r>
    <x v="485"/>
    <x v="11"/>
    <n v="13.1"/>
    <n v="7.9"/>
  </r>
  <r>
    <x v="486"/>
    <x v="5"/>
    <n v="22.9"/>
    <n v="0"/>
  </r>
  <r>
    <x v="487"/>
    <x v="5"/>
    <n v="26.3"/>
    <n v="4"/>
  </r>
  <r>
    <x v="488"/>
    <x v="15"/>
    <n v="11.3"/>
    <n v="19.8"/>
  </r>
  <r>
    <x v="489"/>
    <x v="6"/>
    <n v="30"/>
    <n v="0"/>
  </r>
  <r>
    <x v="490"/>
    <x v="18"/>
    <n v="20.399999999999999"/>
    <n v="0"/>
  </r>
  <r>
    <x v="491"/>
    <x v="3"/>
    <n v="24.5"/>
    <n v="8.6999999999999993"/>
  </r>
  <r>
    <x v="492"/>
    <x v="7"/>
    <n v="17"/>
    <n v="2.7"/>
  </r>
  <r>
    <x v="493"/>
    <x v="15"/>
    <n v="21"/>
    <n v="5.6"/>
  </r>
  <r>
    <x v="494"/>
    <x v="15"/>
    <n v="20.7"/>
    <n v="0"/>
  </r>
  <r>
    <x v="495"/>
    <x v="8"/>
    <n v="26.7"/>
    <n v="9.8000000000000007"/>
  </r>
  <r>
    <x v="496"/>
    <x v="26"/>
    <n v="10.199999999999999"/>
    <n v="0.1"/>
  </r>
  <r>
    <x v="497"/>
    <x v="6"/>
    <n v="15.7"/>
    <n v="5.8"/>
  </r>
  <r>
    <x v="498"/>
    <x v="29"/>
    <n v="15.9"/>
    <n v="2.2000000000000002"/>
  </r>
  <r>
    <x v="499"/>
    <x v="15"/>
    <n v="21"/>
    <n v="13.1"/>
  </r>
  <r>
    <x v="500"/>
    <x v="5"/>
    <n v="10.9"/>
    <n v="8.1"/>
  </r>
  <r>
    <x v="501"/>
    <x v="18"/>
    <n v="20.9"/>
    <n v="5.9"/>
  </r>
  <r>
    <x v="502"/>
    <x v="15"/>
    <n v="21.8"/>
    <n v="15.9"/>
  </r>
  <r>
    <x v="503"/>
    <x v="11"/>
    <n v="11.9"/>
    <n v="18.100000000000001"/>
  </r>
  <r>
    <x v="504"/>
    <x v="9"/>
    <n v="12.9"/>
    <n v="0"/>
  </r>
  <r>
    <x v="505"/>
    <x v="15"/>
    <n v="14.9"/>
    <n v="4.8"/>
  </r>
  <r>
    <x v="506"/>
    <x v="6"/>
    <n v="29.5"/>
    <n v="0"/>
  </r>
  <r>
    <x v="507"/>
    <x v="15"/>
    <n v="18.100000000000001"/>
    <n v="0"/>
  </r>
  <r>
    <x v="508"/>
    <x v="2"/>
    <n v="10.8"/>
    <n v="11.8"/>
  </r>
  <r>
    <x v="509"/>
    <x v="5"/>
    <n v="13.5"/>
    <n v="5.4"/>
  </r>
  <r>
    <x v="510"/>
    <x v="18"/>
    <n v="15.9"/>
    <n v="0"/>
  </r>
  <r>
    <x v="511"/>
    <x v="22"/>
    <n v="23.1"/>
    <n v="0"/>
  </r>
  <r>
    <x v="512"/>
    <x v="12"/>
    <n v="26.7"/>
    <n v="0"/>
  </r>
  <r>
    <x v="513"/>
    <x v="6"/>
    <n v="26"/>
    <n v="29.1"/>
  </r>
  <r>
    <x v="514"/>
    <x v="14"/>
    <n v="23.6"/>
    <n v="9.1"/>
  </r>
  <r>
    <x v="515"/>
    <x v="22"/>
    <n v="29.8"/>
    <n v="5.7"/>
  </r>
  <r>
    <x v="516"/>
    <x v="15"/>
    <n v="18.600000000000001"/>
    <n v="0"/>
  </r>
  <r>
    <x v="517"/>
    <x v="11"/>
    <n v="17.600000000000001"/>
    <n v="2.4"/>
  </r>
  <r>
    <x v="518"/>
    <x v="11"/>
    <n v="12.6"/>
    <n v="9.1999999999999993"/>
  </r>
  <r>
    <x v="519"/>
    <x v="13"/>
    <n v="25.4"/>
    <n v="5.4"/>
  </r>
  <r>
    <x v="520"/>
    <x v="16"/>
    <n v="12.8"/>
    <n v="3.6"/>
  </r>
  <r>
    <x v="521"/>
    <x v="7"/>
    <n v="18.7"/>
    <n v="0"/>
  </r>
  <r>
    <x v="522"/>
    <x v="29"/>
    <n v="22.3"/>
    <n v="0"/>
  </r>
  <r>
    <x v="523"/>
    <x v="14"/>
    <n v="26.4"/>
    <n v="0.5"/>
  </r>
  <r>
    <x v="524"/>
    <x v="3"/>
    <n v="28.5"/>
    <n v="3.2"/>
  </r>
  <r>
    <x v="525"/>
    <x v="13"/>
    <n v="16.8"/>
    <n v="5.5"/>
  </r>
  <r>
    <x v="526"/>
    <x v="23"/>
    <n v="24.7"/>
    <n v="0.8"/>
  </r>
  <r>
    <x v="527"/>
    <x v="5"/>
    <n v="29.6"/>
    <n v="0"/>
  </r>
  <r>
    <x v="528"/>
    <x v="6"/>
    <n v="23.3"/>
    <n v="29.4"/>
  </r>
  <r>
    <x v="529"/>
    <x v="5"/>
    <n v="28.8"/>
    <n v="11.5"/>
  </r>
  <r>
    <x v="530"/>
    <x v="5"/>
    <n v="26.5"/>
    <n v="0"/>
  </r>
  <r>
    <x v="531"/>
    <x v="19"/>
    <n v="17.100000000000001"/>
    <n v="3.6"/>
  </r>
  <r>
    <x v="532"/>
    <x v="5"/>
    <n v="17.8"/>
    <n v="7"/>
  </r>
  <r>
    <x v="533"/>
    <x v="23"/>
    <n v="24.7"/>
    <n v="1.5"/>
  </r>
  <r>
    <x v="534"/>
    <x v="15"/>
    <n v="25.1"/>
    <n v="0"/>
  </r>
  <r>
    <x v="535"/>
    <x v="28"/>
    <n v="27"/>
    <n v="0"/>
  </r>
  <r>
    <x v="536"/>
    <x v="14"/>
    <n v="18.2"/>
    <n v="13.9"/>
  </r>
  <r>
    <x v="537"/>
    <x v="11"/>
    <n v="10.8"/>
    <n v="7.9"/>
  </r>
  <r>
    <x v="538"/>
    <x v="3"/>
    <n v="27.9"/>
    <n v="9.9"/>
  </r>
  <r>
    <x v="539"/>
    <x v="20"/>
    <n v="14.1"/>
    <n v="0.7"/>
  </r>
  <r>
    <x v="540"/>
    <x v="14"/>
    <n v="17.5"/>
    <n v="3.2"/>
  </r>
  <r>
    <x v="541"/>
    <x v="6"/>
    <n v="14.3"/>
    <n v="0"/>
  </r>
  <r>
    <x v="542"/>
    <x v="16"/>
    <n v="15.4"/>
    <n v="0"/>
  </r>
  <r>
    <x v="543"/>
    <x v="15"/>
    <n v="17.5"/>
    <n v="0"/>
  </r>
  <r>
    <x v="544"/>
    <x v="9"/>
    <n v="11.6"/>
    <n v="4.0999999999999996"/>
  </r>
  <r>
    <x v="545"/>
    <x v="5"/>
    <n v="27.9"/>
    <n v="10.3"/>
  </r>
  <r>
    <x v="546"/>
    <x v="15"/>
    <n v="11.8"/>
    <n v="20.2"/>
  </r>
  <r>
    <x v="547"/>
    <x v="3"/>
    <n v="12"/>
    <n v="8.5"/>
  </r>
  <r>
    <x v="548"/>
    <x v="6"/>
    <n v="11.8"/>
    <n v="7.8"/>
  </r>
  <r>
    <x v="549"/>
    <x v="13"/>
    <n v="22.2"/>
    <n v="0"/>
  </r>
  <r>
    <x v="550"/>
    <x v="3"/>
    <n v="13.3"/>
    <n v="3.8"/>
  </r>
  <r>
    <x v="551"/>
    <x v="9"/>
    <n v="24.6"/>
    <n v="2.1"/>
  </r>
  <r>
    <x v="552"/>
    <x v="15"/>
    <n v="15.7"/>
    <n v="0"/>
  </r>
  <r>
    <x v="553"/>
    <x v="14"/>
    <n v="26.7"/>
    <n v="16.2"/>
  </r>
  <r>
    <x v="554"/>
    <x v="11"/>
    <n v="28.1"/>
    <n v="1.1000000000000001"/>
  </r>
  <r>
    <x v="555"/>
    <x v="6"/>
    <n v="29.1"/>
    <n v="3"/>
  </r>
  <r>
    <x v="556"/>
    <x v="3"/>
    <n v="26.2"/>
    <n v="0"/>
  </r>
  <r>
    <x v="557"/>
    <x v="27"/>
    <n v="23.3"/>
    <n v="0"/>
  </r>
  <r>
    <x v="558"/>
    <x v="15"/>
    <n v="21.7"/>
    <n v="10.4"/>
  </r>
  <r>
    <x v="559"/>
    <x v="14"/>
    <n v="18.8"/>
    <n v="15.6"/>
  </r>
  <r>
    <x v="560"/>
    <x v="11"/>
    <n v="25.4"/>
    <n v="7.4"/>
  </r>
  <r>
    <x v="561"/>
    <x v="7"/>
    <n v="21.1"/>
    <n v="1"/>
  </r>
  <r>
    <x v="562"/>
    <x v="7"/>
    <n v="25.1"/>
    <n v="20"/>
  </r>
  <r>
    <x v="563"/>
    <x v="3"/>
    <n v="17.600000000000001"/>
    <n v="0"/>
  </r>
  <r>
    <x v="564"/>
    <x v="11"/>
    <n v="21.2"/>
    <n v="3.4"/>
  </r>
  <r>
    <x v="565"/>
    <x v="3"/>
    <n v="26.4"/>
    <n v="14.7"/>
  </r>
  <r>
    <x v="566"/>
    <x v="1"/>
    <n v="13.5"/>
    <n v="0"/>
  </r>
  <r>
    <x v="567"/>
    <x v="18"/>
    <n v="25.1"/>
    <n v="0"/>
  </r>
  <r>
    <x v="568"/>
    <x v="7"/>
    <n v="10.4"/>
    <n v="11"/>
  </r>
  <r>
    <x v="569"/>
    <x v="11"/>
    <n v="24.3"/>
    <n v="4.9000000000000004"/>
  </r>
  <r>
    <x v="570"/>
    <x v="8"/>
    <n v="18.7"/>
    <n v="6.2"/>
  </r>
  <r>
    <x v="571"/>
    <x v="29"/>
    <n v="14.1"/>
    <n v="0"/>
  </r>
  <r>
    <x v="572"/>
    <x v="19"/>
    <n v="24.2"/>
    <n v="0"/>
  </r>
  <r>
    <x v="573"/>
    <x v="18"/>
    <n v="26.4"/>
    <n v="0"/>
  </r>
  <r>
    <x v="574"/>
    <x v="6"/>
    <n v="24.5"/>
    <n v="4"/>
  </r>
  <r>
    <x v="575"/>
    <x v="10"/>
    <n v="25.5"/>
    <n v="2.9"/>
  </r>
  <r>
    <x v="576"/>
    <x v="7"/>
    <n v="11.8"/>
    <n v="13.5"/>
  </r>
  <r>
    <x v="577"/>
    <x v="18"/>
    <n v="14.3"/>
    <n v="5.4"/>
  </r>
  <r>
    <x v="578"/>
    <x v="5"/>
    <n v="12.4"/>
    <n v="1.2"/>
  </r>
  <r>
    <x v="579"/>
    <x v="15"/>
    <n v="29.3"/>
    <n v="19.8"/>
  </r>
  <r>
    <x v="580"/>
    <x v="3"/>
    <n v="29.4"/>
    <n v="0"/>
  </r>
  <r>
    <x v="581"/>
    <x v="9"/>
    <n v="29.8"/>
    <n v="16"/>
  </r>
  <r>
    <x v="582"/>
    <x v="15"/>
    <n v="29.9"/>
    <n v="13.3"/>
  </r>
  <r>
    <x v="583"/>
    <x v="5"/>
    <n v="11.6"/>
    <n v="9.6999999999999993"/>
  </r>
  <r>
    <x v="584"/>
    <x v="7"/>
    <n v="10.199999999999999"/>
    <n v="0"/>
  </r>
  <r>
    <x v="585"/>
    <x v="5"/>
    <n v="10.7"/>
    <n v="11.9"/>
  </r>
  <r>
    <x v="586"/>
    <x v="26"/>
    <n v="11.7"/>
    <n v="0.1"/>
  </r>
  <r>
    <x v="587"/>
    <x v="14"/>
    <n v="29.4"/>
    <n v="9.6"/>
  </r>
  <r>
    <x v="588"/>
    <x v="16"/>
    <n v="29.1"/>
    <n v="2.6"/>
  </r>
  <r>
    <x v="589"/>
    <x v="6"/>
    <n v="20.5"/>
    <n v="30.1"/>
  </r>
  <r>
    <x v="590"/>
    <x v="3"/>
    <n v="26.2"/>
    <n v="19"/>
  </r>
  <r>
    <x v="591"/>
    <x v="11"/>
    <n v="22.6"/>
    <n v="0"/>
  </r>
  <r>
    <x v="592"/>
    <x v="10"/>
    <n v="17.7"/>
    <n v="0"/>
  </r>
  <r>
    <x v="593"/>
    <x v="15"/>
    <n v="21.2"/>
    <n v="0"/>
  </r>
  <r>
    <x v="594"/>
    <x v="29"/>
    <n v="10.3"/>
    <n v="0.2"/>
  </r>
  <r>
    <x v="595"/>
    <x v="21"/>
    <n v="10.1"/>
    <n v="2.1"/>
  </r>
  <r>
    <x v="596"/>
    <x v="4"/>
    <n v="23.4"/>
    <n v="3.9"/>
  </r>
  <r>
    <x v="597"/>
    <x v="27"/>
    <n v="11.7"/>
    <n v="0"/>
  </r>
  <r>
    <x v="598"/>
    <x v="1"/>
    <n v="26"/>
    <n v="2.1"/>
  </r>
  <r>
    <x v="599"/>
    <x v="26"/>
    <n v="29.5"/>
    <n v="0.4"/>
  </r>
  <r>
    <x v="600"/>
    <x v="10"/>
    <n v="13"/>
    <n v="4.4000000000000004"/>
  </r>
  <r>
    <x v="601"/>
    <x v="5"/>
    <n v="17.100000000000001"/>
    <n v="3.8"/>
  </r>
  <r>
    <x v="602"/>
    <x v="23"/>
    <n v="12.6"/>
    <n v="0.2"/>
  </r>
  <r>
    <x v="603"/>
    <x v="6"/>
    <n v="23.6"/>
    <n v="24.1"/>
  </r>
  <r>
    <x v="604"/>
    <x v="7"/>
    <n v="14.9"/>
    <n v="14.2"/>
  </r>
  <r>
    <x v="605"/>
    <x v="8"/>
    <n v="17"/>
    <n v="0"/>
  </r>
  <r>
    <x v="606"/>
    <x v="7"/>
    <n v="12.8"/>
    <n v="0"/>
  </r>
  <r>
    <x v="607"/>
    <x v="9"/>
    <n v="17.5"/>
    <n v="0"/>
  </r>
  <r>
    <x v="608"/>
    <x v="6"/>
    <n v="13.9"/>
    <n v="15.3"/>
  </r>
  <r>
    <x v="609"/>
    <x v="15"/>
    <n v="25.9"/>
    <n v="14.5"/>
  </r>
  <r>
    <x v="610"/>
    <x v="13"/>
    <n v="12.1"/>
    <n v="0"/>
  </r>
  <r>
    <x v="611"/>
    <x v="3"/>
    <n v="25.8"/>
    <n v="12.3"/>
  </r>
  <r>
    <x v="612"/>
    <x v="5"/>
    <n v="29.1"/>
    <n v="0"/>
  </r>
  <r>
    <x v="613"/>
    <x v="6"/>
    <n v="13.2"/>
    <n v="0"/>
  </r>
  <r>
    <x v="614"/>
    <x v="3"/>
    <n v="29.4"/>
    <n v="12.8"/>
  </r>
  <r>
    <x v="615"/>
    <x v="11"/>
    <n v="21"/>
    <n v="0"/>
  </r>
  <r>
    <x v="616"/>
    <x v="2"/>
    <n v="22.7"/>
    <n v="12.4"/>
  </r>
  <r>
    <x v="617"/>
    <x v="6"/>
    <n v="25.1"/>
    <n v="43.4"/>
  </r>
  <r>
    <x v="618"/>
    <x v="6"/>
    <n v="26.8"/>
    <n v="26.9"/>
  </r>
  <r>
    <x v="619"/>
    <x v="25"/>
    <n v="15.9"/>
    <n v="0.5"/>
  </r>
  <r>
    <x v="620"/>
    <x v="14"/>
    <n v="27.6"/>
    <n v="0"/>
  </r>
  <r>
    <x v="621"/>
    <x v="21"/>
    <n v="20.8"/>
    <n v="0"/>
  </r>
  <r>
    <x v="622"/>
    <x v="2"/>
    <n v="23.9"/>
    <n v="9.9"/>
  </r>
  <r>
    <x v="623"/>
    <x v="23"/>
    <n v="24.8"/>
    <n v="4.7"/>
  </r>
  <r>
    <x v="624"/>
    <x v="15"/>
    <n v="16.3"/>
    <n v="0"/>
  </r>
  <r>
    <x v="625"/>
    <x v="14"/>
    <n v="20.100000000000001"/>
    <n v="0"/>
  </r>
  <r>
    <x v="626"/>
    <x v="18"/>
    <n v="25.9"/>
    <n v="8.9"/>
  </r>
  <r>
    <x v="627"/>
    <x v="15"/>
    <n v="27.3"/>
    <n v="15.8"/>
  </r>
  <r>
    <x v="628"/>
    <x v="2"/>
    <n v="19.100000000000001"/>
    <n v="6.3"/>
  </r>
  <r>
    <x v="629"/>
    <x v="6"/>
    <n v="16.899999999999999"/>
    <n v="0"/>
  </r>
  <r>
    <x v="630"/>
    <x v="3"/>
    <n v="13.4"/>
    <n v="20.100000000000001"/>
  </r>
  <r>
    <x v="631"/>
    <x v="20"/>
    <n v="24.8"/>
    <n v="0.4"/>
  </r>
  <r>
    <x v="632"/>
    <x v="13"/>
    <n v="28.4"/>
    <n v="1.6"/>
  </r>
  <r>
    <x v="633"/>
    <x v="19"/>
    <n v="25.3"/>
    <n v="1.8"/>
  </r>
  <r>
    <x v="634"/>
    <x v="14"/>
    <n v="25.9"/>
    <n v="1.6"/>
  </r>
  <r>
    <x v="635"/>
    <x v="2"/>
    <n v="12.2"/>
    <n v="0.8"/>
  </r>
  <r>
    <x v="636"/>
    <x v="29"/>
    <n v="22.8"/>
    <n v="2.2999999999999998"/>
  </r>
  <r>
    <x v="637"/>
    <x v="15"/>
    <n v="12.7"/>
    <n v="0"/>
  </r>
  <r>
    <x v="638"/>
    <x v="22"/>
    <n v="13"/>
    <n v="5.0999999999999996"/>
  </r>
  <r>
    <x v="639"/>
    <x v="6"/>
    <n v="13.5"/>
    <n v="4.9000000000000004"/>
  </r>
  <r>
    <x v="640"/>
    <x v="9"/>
    <n v="17.8"/>
    <n v="5"/>
  </r>
  <r>
    <x v="641"/>
    <x v="6"/>
    <n v="21.5"/>
    <n v="47.1"/>
  </r>
  <r>
    <x v="642"/>
    <x v="4"/>
    <n v="20.5"/>
    <n v="0.1"/>
  </r>
  <r>
    <x v="643"/>
    <x v="9"/>
    <n v="14.4"/>
    <n v="0"/>
  </r>
  <r>
    <x v="644"/>
    <x v="11"/>
    <n v="12.3"/>
    <n v="0"/>
  </r>
  <r>
    <x v="645"/>
    <x v="9"/>
    <n v="26.5"/>
    <n v="14"/>
  </r>
  <r>
    <x v="646"/>
    <x v="9"/>
    <n v="17.7"/>
    <n v="0"/>
  </r>
  <r>
    <x v="647"/>
    <x v="22"/>
    <n v="15.7"/>
    <n v="1"/>
  </r>
  <r>
    <x v="648"/>
    <x v="16"/>
    <n v="16.2"/>
    <n v="0"/>
  </r>
  <r>
    <x v="649"/>
    <x v="17"/>
    <n v="18.600000000000001"/>
    <n v="1.4"/>
  </r>
  <r>
    <x v="650"/>
    <x v="14"/>
    <n v="23.9"/>
    <n v="4"/>
  </r>
  <r>
    <x v="651"/>
    <x v="6"/>
    <n v="15.8"/>
    <n v="50.3"/>
  </r>
  <r>
    <x v="652"/>
    <x v="8"/>
    <n v="26.2"/>
    <n v="8.5"/>
  </r>
  <r>
    <x v="653"/>
    <x v="6"/>
    <n v="23.1"/>
    <n v="0"/>
  </r>
  <r>
    <x v="654"/>
    <x v="17"/>
    <n v="10.8"/>
    <n v="0"/>
  </r>
  <r>
    <x v="655"/>
    <x v="14"/>
    <n v="21.2"/>
    <n v="16.100000000000001"/>
  </r>
  <r>
    <x v="656"/>
    <x v="3"/>
    <n v="26.3"/>
    <n v="21.1"/>
  </r>
  <r>
    <x v="657"/>
    <x v="3"/>
    <n v="22.8"/>
    <n v="22.7"/>
  </r>
  <r>
    <x v="658"/>
    <x v="14"/>
    <n v="24"/>
    <n v="11.5"/>
  </r>
  <r>
    <x v="659"/>
    <x v="10"/>
    <n v="16.8"/>
    <n v="2"/>
  </r>
  <r>
    <x v="660"/>
    <x v="9"/>
    <n v="12.5"/>
    <n v="4.7"/>
  </r>
  <r>
    <x v="661"/>
    <x v="6"/>
    <n v="15"/>
    <n v="1.7"/>
  </r>
  <r>
    <x v="662"/>
    <x v="14"/>
    <n v="16.2"/>
    <n v="0"/>
  </r>
  <r>
    <x v="663"/>
    <x v="3"/>
    <n v="29.3"/>
    <n v="0"/>
  </r>
  <r>
    <x v="664"/>
    <x v="28"/>
    <n v="26.4"/>
    <n v="0.2"/>
  </r>
  <r>
    <x v="665"/>
    <x v="14"/>
    <n v="23"/>
    <n v="0"/>
  </r>
  <r>
    <x v="666"/>
    <x v="7"/>
    <n v="25.4"/>
    <n v="1.2"/>
  </r>
  <r>
    <x v="667"/>
    <x v="6"/>
    <n v="24.5"/>
    <n v="22.5"/>
  </r>
  <r>
    <x v="668"/>
    <x v="15"/>
    <n v="19"/>
    <n v="18.899999999999999"/>
  </r>
  <r>
    <x v="669"/>
    <x v="15"/>
    <n v="10"/>
    <n v="7.6"/>
  </r>
  <r>
    <x v="670"/>
    <x v="6"/>
    <n v="10.4"/>
    <n v="20.6"/>
  </r>
  <r>
    <x v="671"/>
    <x v="17"/>
    <n v="10.5"/>
    <n v="0"/>
  </r>
  <r>
    <x v="672"/>
    <x v="2"/>
    <n v="12.1"/>
    <n v="8.8000000000000007"/>
  </r>
  <r>
    <x v="673"/>
    <x v="6"/>
    <n v="20.5"/>
    <n v="0"/>
  </r>
  <r>
    <x v="674"/>
    <x v="9"/>
    <n v="13.1"/>
    <n v="0"/>
  </r>
  <r>
    <x v="675"/>
    <x v="22"/>
    <n v="29.8"/>
    <n v="1.1000000000000001"/>
  </r>
  <r>
    <x v="676"/>
    <x v="11"/>
    <n v="17.100000000000001"/>
    <n v="5.5"/>
  </r>
  <r>
    <x v="677"/>
    <x v="10"/>
    <n v="29.1"/>
    <n v="0.4"/>
  </r>
  <r>
    <x v="678"/>
    <x v="14"/>
    <n v="10.9"/>
    <n v="0"/>
  </r>
  <r>
    <x v="679"/>
    <x v="28"/>
    <n v="27.4"/>
    <n v="0.3"/>
  </r>
  <r>
    <x v="680"/>
    <x v="15"/>
    <n v="16.3"/>
    <n v="9.8000000000000007"/>
  </r>
  <r>
    <x v="681"/>
    <x v="3"/>
    <n v="14.7"/>
    <n v="0"/>
  </r>
  <r>
    <x v="682"/>
    <x v="8"/>
    <n v="17.2"/>
    <n v="2"/>
  </r>
  <r>
    <x v="683"/>
    <x v="11"/>
    <n v="24.2"/>
    <n v="9.9"/>
  </r>
  <r>
    <x v="684"/>
    <x v="9"/>
    <n v="22.3"/>
    <n v="0"/>
  </r>
  <r>
    <x v="685"/>
    <x v="25"/>
    <n v="26.7"/>
    <n v="0.6"/>
  </r>
  <r>
    <x v="686"/>
    <x v="8"/>
    <n v="10.9"/>
    <n v="3.8"/>
  </r>
  <r>
    <x v="687"/>
    <x v="17"/>
    <n v="23.7"/>
    <n v="0"/>
  </r>
  <r>
    <x v="688"/>
    <x v="6"/>
    <n v="16"/>
    <n v="22.3"/>
  </r>
  <r>
    <x v="689"/>
    <x v="6"/>
    <n v="19.399999999999999"/>
    <n v="41.6"/>
  </r>
  <r>
    <x v="690"/>
    <x v="7"/>
    <n v="26.7"/>
    <n v="10"/>
  </r>
  <r>
    <x v="691"/>
    <x v="15"/>
    <n v="20.8"/>
    <n v="0"/>
  </r>
  <r>
    <x v="692"/>
    <x v="6"/>
    <n v="25.6"/>
    <n v="0"/>
  </r>
  <r>
    <x v="693"/>
    <x v="14"/>
    <n v="18.3"/>
    <n v="0.5"/>
  </r>
  <r>
    <x v="694"/>
    <x v="5"/>
    <n v="27.4"/>
    <n v="4.2"/>
  </r>
  <r>
    <x v="695"/>
    <x v="19"/>
    <n v="16.100000000000001"/>
    <n v="3.4"/>
  </r>
  <r>
    <x v="696"/>
    <x v="10"/>
    <n v="27.5"/>
    <n v="8"/>
  </r>
  <r>
    <x v="697"/>
    <x v="5"/>
    <n v="28.4"/>
    <n v="10.199999999999999"/>
  </r>
  <r>
    <x v="698"/>
    <x v="9"/>
    <n v="16.100000000000001"/>
    <n v="4"/>
  </r>
  <r>
    <x v="699"/>
    <x v="19"/>
    <n v="28.4"/>
    <n v="2.6"/>
  </r>
  <r>
    <x v="700"/>
    <x v="10"/>
    <n v="29.3"/>
    <n v="0"/>
  </r>
  <r>
    <x v="701"/>
    <x v="9"/>
    <n v="19.7"/>
    <n v="16.2"/>
  </r>
  <r>
    <x v="702"/>
    <x v="27"/>
    <n v="11.5"/>
    <n v="0.3"/>
  </r>
  <r>
    <x v="703"/>
    <x v="15"/>
    <n v="19.5"/>
    <n v="0"/>
  </r>
  <r>
    <x v="704"/>
    <x v="16"/>
    <n v="22.7"/>
    <n v="0.7"/>
  </r>
  <r>
    <x v="705"/>
    <x v="3"/>
    <n v="19.7"/>
    <n v="7.3"/>
  </r>
  <r>
    <x v="706"/>
    <x v="22"/>
    <n v="19.399999999999999"/>
    <n v="0.4"/>
  </r>
  <r>
    <x v="707"/>
    <x v="19"/>
    <n v="13.8"/>
    <n v="1.1000000000000001"/>
  </r>
  <r>
    <x v="708"/>
    <x v="9"/>
    <n v="19.600000000000001"/>
    <n v="2.2999999999999998"/>
  </r>
  <r>
    <x v="709"/>
    <x v="15"/>
    <n v="22.6"/>
    <n v="13.3"/>
  </r>
  <r>
    <x v="710"/>
    <x v="2"/>
    <n v="18.2"/>
    <n v="7.6"/>
  </r>
  <r>
    <x v="711"/>
    <x v="15"/>
    <n v="27.3"/>
    <n v="38.4"/>
  </r>
  <r>
    <x v="712"/>
    <x v="15"/>
    <n v="14.7"/>
    <n v="31.8"/>
  </r>
  <r>
    <x v="713"/>
    <x v="18"/>
    <n v="20.6"/>
    <n v="5.9"/>
  </r>
  <r>
    <x v="714"/>
    <x v="6"/>
    <n v="12.6"/>
    <n v="14.4"/>
  </r>
  <r>
    <x v="715"/>
    <x v="7"/>
    <n v="14.5"/>
    <n v="0"/>
  </r>
  <r>
    <x v="716"/>
    <x v="6"/>
    <n v="24.7"/>
    <n v="36"/>
  </r>
  <r>
    <x v="717"/>
    <x v="15"/>
    <n v="17.899999999999999"/>
    <n v="24.9"/>
  </r>
  <r>
    <x v="718"/>
    <x v="10"/>
    <n v="20.2"/>
    <n v="2.9"/>
  </r>
  <r>
    <x v="719"/>
    <x v="4"/>
    <n v="13.4"/>
    <n v="1.7"/>
  </r>
  <r>
    <x v="720"/>
    <x v="13"/>
    <n v="12.2"/>
    <n v="6"/>
  </r>
  <r>
    <x v="721"/>
    <x v="26"/>
    <n v="29.8"/>
    <n v="0.4"/>
  </r>
  <r>
    <x v="722"/>
    <x v="15"/>
    <n v="16.100000000000001"/>
    <n v="28.7"/>
  </r>
  <r>
    <x v="723"/>
    <x v="6"/>
    <n v="18.8"/>
    <n v="0"/>
  </r>
  <r>
    <x v="724"/>
    <x v="11"/>
    <n v="17.100000000000001"/>
    <n v="0"/>
  </r>
  <r>
    <x v="725"/>
    <x v="5"/>
    <n v="11.7"/>
    <n v="7.7"/>
  </r>
  <r>
    <x v="726"/>
    <x v="14"/>
    <n v="25.4"/>
    <n v="14.2"/>
  </r>
  <r>
    <x v="727"/>
    <x v="18"/>
    <n v="12.6"/>
    <n v="9"/>
  </r>
  <r>
    <x v="728"/>
    <x v="6"/>
    <n v="15.8"/>
    <n v="0"/>
  </r>
  <r>
    <x v="729"/>
    <x v="14"/>
    <n v="24.7"/>
    <n v="13.9"/>
  </r>
  <r>
    <x v="730"/>
    <x v="23"/>
    <n v="26.7"/>
    <n v="0"/>
  </r>
  <r>
    <x v="731"/>
    <x v="15"/>
    <n v="21.2"/>
    <n v="5.3"/>
  </r>
  <r>
    <x v="732"/>
    <x v="2"/>
    <n v="10.4"/>
    <n v="8.6"/>
  </r>
  <r>
    <x v="733"/>
    <x v="22"/>
    <n v="25.1"/>
    <n v="3.3"/>
  </r>
  <r>
    <x v="734"/>
    <x v="15"/>
    <n v="27.8"/>
    <n v="20.9"/>
  </r>
  <r>
    <x v="735"/>
    <x v="7"/>
    <n v="26.1"/>
    <n v="0"/>
  </r>
  <r>
    <x v="736"/>
    <x v="9"/>
    <n v="18.3"/>
    <n v="7.8"/>
  </r>
  <r>
    <x v="737"/>
    <x v="7"/>
    <n v="16.3"/>
    <n v="0"/>
  </r>
  <r>
    <x v="738"/>
    <x v="7"/>
    <n v="17.2"/>
    <n v="12.5"/>
  </r>
  <r>
    <x v="739"/>
    <x v="20"/>
    <n v="22.1"/>
    <n v="3.7"/>
  </r>
  <r>
    <x v="740"/>
    <x v="19"/>
    <n v="18.8"/>
    <n v="0"/>
  </r>
  <r>
    <x v="741"/>
    <x v="14"/>
    <n v="12.3"/>
    <n v="7.1"/>
  </r>
  <r>
    <x v="742"/>
    <x v="6"/>
    <n v="27.5"/>
    <n v="34.299999999999997"/>
  </r>
  <r>
    <x v="743"/>
    <x v="14"/>
    <n v="23.1"/>
    <n v="0"/>
  </r>
  <r>
    <x v="744"/>
    <x v="7"/>
    <n v="21.3"/>
    <n v="0"/>
  </r>
  <r>
    <x v="745"/>
    <x v="22"/>
    <n v="13.8"/>
    <n v="5.9"/>
  </r>
  <r>
    <x v="746"/>
    <x v="9"/>
    <n v="20"/>
    <n v="16"/>
  </r>
  <r>
    <x v="747"/>
    <x v="8"/>
    <n v="23.9"/>
    <n v="0"/>
  </r>
  <r>
    <x v="748"/>
    <x v="25"/>
    <n v="15.3"/>
    <n v="0.1"/>
  </r>
  <r>
    <x v="749"/>
    <x v="10"/>
    <n v="16.600000000000001"/>
    <n v="0"/>
  </r>
  <r>
    <x v="750"/>
    <x v="23"/>
    <n v="20.8"/>
    <n v="2"/>
  </r>
  <r>
    <x v="751"/>
    <x v="7"/>
    <n v="10.8"/>
    <n v="12.3"/>
  </r>
  <r>
    <x v="752"/>
    <x v="7"/>
    <n v="12.5"/>
    <n v="18.399999999999999"/>
  </r>
  <r>
    <x v="753"/>
    <x v="5"/>
    <n v="24"/>
    <n v="4.9000000000000004"/>
  </r>
  <r>
    <x v="754"/>
    <x v="6"/>
    <n v="21.4"/>
    <n v="11.1"/>
  </r>
  <r>
    <x v="755"/>
    <x v="18"/>
    <n v="18.3"/>
    <n v="0"/>
  </r>
  <r>
    <x v="756"/>
    <x v="11"/>
    <n v="10.5"/>
    <n v="3.9"/>
  </r>
  <r>
    <x v="757"/>
    <x v="6"/>
    <n v="11.7"/>
    <n v="0"/>
  </r>
  <r>
    <x v="758"/>
    <x v="3"/>
    <n v="26.8"/>
    <n v="0"/>
  </r>
  <r>
    <x v="759"/>
    <x v="6"/>
    <n v="22.1"/>
    <n v="33.799999999999997"/>
  </r>
  <r>
    <x v="760"/>
    <x v="28"/>
    <n v="17.100000000000001"/>
    <n v="0"/>
  </r>
  <r>
    <x v="761"/>
    <x v="9"/>
    <n v="12.1"/>
    <n v="14.4"/>
  </r>
  <r>
    <x v="762"/>
    <x v="15"/>
    <n v="28.6"/>
    <n v="23.2"/>
  </r>
  <r>
    <x v="763"/>
    <x v="2"/>
    <n v="21.2"/>
    <n v="1.5"/>
  </r>
  <r>
    <x v="764"/>
    <x v="5"/>
    <n v="17.2"/>
    <n v="2.4"/>
  </r>
  <r>
    <x v="765"/>
    <x v="6"/>
    <n v="22.3"/>
    <n v="0"/>
  </r>
  <r>
    <x v="766"/>
    <x v="11"/>
    <n v="13.2"/>
    <n v="3.6"/>
  </r>
  <r>
    <x v="767"/>
    <x v="14"/>
    <n v="13.6"/>
    <n v="13.4"/>
  </r>
  <r>
    <x v="768"/>
    <x v="8"/>
    <n v="15.7"/>
    <n v="0"/>
  </r>
  <r>
    <x v="769"/>
    <x v="5"/>
    <n v="24.8"/>
    <n v="0"/>
  </r>
  <r>
    <x v="770"/>
    <x v="6"/>
    <n v="25.1"/>
    <n v="5.0999999999999996"/>
  </r>
  <r>
    <x v="771"/>
    <x v="15"/>
    <n v="14.2"/>
    <n v="23.5"/>
  </r>
  <r>
    <x v="772"/>
    <x v="10"/>
    <n v="21.1"/>
    <n v="1.4"/>
  </r>
  <r>
    <x v="773"/>
    <x v="6"/>
    <n v="25.4"/>
    <n v="28"/>
  </r>
  <r>
    <x v="774"/>
    <x v="6"/>
    <n v="24.7"/>
    <n v="5.7"/>
  </r>
  <r>
    <x v="775"/>
    <x v="9"/>
    <n v="19.8"/>
    <n v="0"/>
  </r>
  <r>
    <x v="776"/>
    <x v="23"/>
    <n v="28.4"/>
    <n v="2.9"/>
  </r>
  <r>
    <x v="777"/>
    <x v="7"/>
    <n v="26.5"/>
    <n v="0"/>
  </r>
  <r>
    <x v="778"/>
    <x v="6"/>
    <n v="14.1"/>
    <n v="13.1"/>
  </r>
  <r>
    <x v="779"/>
    <x v="24"/>
    <n v="15.9"/>
    <n v="0.5"/>
  </r>
  <r>
    <x v="780"/>
    <x v="15"/>
    <n v="28.2"/>
    <n v="26.9"/>
  </r>
  <r>
    <x v="781"/>
    <x v="24"/>
    <n v="17.100000000000001"/>
    <n v="0.5"/>
  </r>
  <r>
    <x v="782"/>
    <x v="15"/>
    <n v="27"/>
    <n v="0"/>
  </r>
  <r>
    <x v="783"/>
    <x v="14"/>
    <n v="24.1"/>
    <n v="0"/>
  </r>
  <r>
    <x v="784"/>
    <x v="8"/>
    <n v="10.4"/>
    <n v="7.2"/>
  </r>
  <r>
    <x v="785"/>
    <x v="9"/>
    <n v="27.2"/>
    <n v="15.1"/>
  </r>
  <r>
    <x v="786"/>
    <x v="18"/>
    <n v="22.1"/>
    <n v="0"/>
  </r>
  <r>
    <x v="787"/>
    <x v="10"/>
    <n v="13.3"/>
    <n v="8.5"/>
  </r>
  <r>
    <x v="788"/>
    <x v="8"/>
    <n v="26.4"/>
    <n v="0"/>
  </r>
  <r>
    <x v="789"/>
    <x v="21"/>
    <n v="25.8"/>
    <n v="2.9"/>
  </r>
  <r>
    <x v="790"/>
    <x v="11"/>
    <n v="23"/>
    <n v="3.8"/>
  </r>
  <r>
    <x v="791"/>
    <x v="9"/>
    <n v="22.7"/>
    <n v="0"/>
  </r>
  <r>
    <x v="792"/>
    <x v="22"/>
    <n v="26.2"/>
    <n v="5.0999999999999996"/>
  </r>
  <r>
    <x v="793"/>
    <x v="10"/>
    <n v="16.600000000000001"/>
    <n v="0"/>
  </r>
  <r>
    <x v="794"/>
    <x v="19"/>
    <n v="23.9"/>
    <n v="0"/>
  </r>
  <r>
    <x v="795"/>
    <x v="3"/>
    <n v="10.6"/>
    <n v="21.3"/>
  </r>
  <r>
    <x v="796"/>
    <x v="6"/>
    <n v="22.8"/>
    <n v="24.6"/>
  </r>
  <r>
    <x v="797"/>
    <x v="1"/>
    <n v="26.8"/>
    <n v="7.5"/>
  </r>
  <r>
    <x v="798"/>
    <x v="15"/>
    <n v="21.3"/>
    <n v="37.700000000000003"/>
  </r>
  <r>
    <x v="799"/>
    <x v="8"/>
    <n v="20.3"/>
    <n v="11"/>
  </r>
  <r>
    <x v="800"/>
    <x v="15"/>
    <n v="25.6"/>
    <n v="20.100000000000001"/>
  </r>
  <r>
    <x v="801"/>
    <x v="9"/>
    <n v="25.1"/>
    <n v="14.7"/>
  </r>
  <r>
    <x v="802"/>
    <x v="3"/>
    <n v="24.3"/>
    <n v="24.3"/>
  </r>
  <r>
    <x v="803"/>
    <x v="10"/>
    <n v="12.9"/>
    <n v="2.7"/>
  </r>
  <r>
    <x v="804"/>
    <x v="15"/>
    <n v="16.7"/>
    <n v="27.7"/>
  </r>
  <r>
    <x v="805"/>
    <x v="6"/>
    <n v="16.2"/>
    <n v="20.5"/>
  </r>
  <r>
    <x v="806"/>
    <x v="8"/>
    <n v="19.5"/>
    <n v="5.0999999999999996"/>
  </r>
  <r>
    <x v="807"/>
    <x v="6"/>
    <n v="22.9"/>
    <n v="6.6"/>
  </r>
  <r>
    <x v="808"/>
    <x v="15"/>
    <n v="25.9"/>
    <n v="4.4000000000000004"/>
  </r>
  <r>
    <x v="809"/>
    <x v="14"/>
    <n v="20.3"/>
    <n v="4.5999999999999996"/>
  </r>
  <r>
    <x v="810"/>
    <x v="24"/>
    <n v="11.3"/>
    <n v="0.3"/>
  </r>
  <r>
    <x v="811"/>
    <x v="6"/>
    <n v="27.4"/>
    <n v="29.9"/>
  </r>
  <r>
    <x v="812"/>
    <x v="15"/>
    <n v="29.2"/>
    <n v="0"/>
  </r>
  <r>
    <x v="813"/>
    <x v="0"/>
    <n v="27.4"/>
    <n v="0"/>
  </r>
  <r>
    <x v="814"/>
    <x v="15"/>
    <n v="10.1"/>
    <n v="8.1"/>
  </r>
  <r>
    <x v="815"/>
    <x v="1"/>
    <n v="12.9"/>
    <n v="5.9"/>
  </r>
  <r>
    <x v="816"/>
    <x v="10"/>
    <n v="18.7"/>
    <n v="0"/>
  </r>
  <r>
    <x v="817"/>
    <x v="28"/>
    <n v="17.8"/>
    <n v="0.3"/>
  </r>
  <r>
    <x v="818"/>
    <x v="6"/>
    <n v="24.7"/>
    <n v="42.9"/>
  </r>
  <r>
    <x v="819"/>
    <x v="6"/>
    <n v="28.7"/>
    <n v="33.799999999999997"/>
  </r>
  <r>
    <x v="820"/>
    <x v="14"/>
    <n v="12.3"/>
    <n v="1.7"/>
  </r>
  <r>
    <x v="821"/>
    <x v="15"/>
    <n v="22.9"/>
    <n v="0"/>
  </r>
  <r>
    <x v="822"/>
    <x v="13"/>
    <n v="20"/>
    <n v="3"/>
  </r>
  <r>
    <x v="823"/>
    <x v="6"/>
    <n v="27.3"/>
    <n v="0"/>
  </r>
  <r>
    <x v="824"/>
    <x v="9"/>
    <n v="29.9"/>
    <n v="7.7"/>
  </r>
  <r>
    <x v="825"/>
    <x v="8"/>
    <n v="27.5"/>
    <n v="2.7"/>
  </r>
  <r>
    <x v="826"/>
    <x v="14"/>
    <n v="16.5"/>
    <n v="13.3"/>
  </r>
  <r>
    <x v="827"/>
    <x v="1"/>
    <n v="23.5"/>
    <n v="5.9"/>
  </r>
  <r>
    <x v="828"/>
    <x v="1"/>
    <n v="21.5"/>
    <n v="4.0999999999999996"/>
  </r>
  <r>
    <x v="829"/>
    <x v="11"/>
    <n v="10.3"/>
    <n v="15.6"/>
  </r>
  <r>
    <x v="830"/>
    <x v="6"/>
    <n v="15"/>
    <n v="0"/>
  </r>
  <r>
    <x v="831"/>
    <x v="2"/>
    <n v="23.3"/>
    <n v="5.3"/>
  </r>
  <r>
    <x v="832"/>
    <x v="11"/>
    <n v="10.5"/>
    <n v="14.4"/>
  </r>
  <r>
    <x v="833"/>
    <x v="6"/>
    <n v="18.5"/>
    <n v="0"/>
  </r>
  <r>
    <x v="834"/>
    <x v="10"/>
    <n v="20.2"/>
    <n v="5.4"/>
  </r>
  <r>
    <x v="835"/>
    <x v="19"/>
    <n v="29"/>
    <n v="4.2"/>
  </r>
  <r>
    <x v="836"/>
    <x v="11"/>
    <n v="12.1"/>
    <n v="18.100000000000001"/>
  </r>
  <r>
    <x v="837"/>
    <x v="9"/>
    <n v="14.1"/>
    <n v="5.6"/>
  </r>
  <r>
    <x v="838"/>
    <x v="6"/>
    <n v="19.5"/>
    <n v="2.7"/>
  </r>
  <r>
    <x v="839"/>
    <x v="23"/>
    <n v="28.7"/>
    <n v="0.3"/>
  </r>
  <r>
    <x v="840"/>
    <x v="15"/>
    <n v="20.3"/>
    <n v="15"/>
  </r>
  <r>
    <x v="841"/>
    <x v="3"/>
    <n v="25.9"/>
    <n v="4.7"/>
  </r>
  <r>
    <x v="842"/>
    <x v="3"/>
    <n v="25.3"/>
    <n v="0"/>
  </r>
  <r>
    <x v="843"/>
    <x v="16"/>
    <n v="22.8"/>
    <n v="0.6"/>
  </r>
  <r>
    <x v="844"/>
    <x v="18"/>
    <n v="28.4"/>
    <n v="2.2999999999999998"/>
  </r>
  <r>
    <x v="845"/>
    <x v="18"/>
    <n v="29.7"/>
    <n v="0"/>
  </r>
  <r>
    <x v="846"/>
    <x v="11"/>
    <n v="11.7"/>
    <n v="6.4"/>
  </r>
  <r>
    <x v="847"/>
    <x v="18"/>
    <n v="12.8"/>
    <n v="6.9"/>
  </r>
  <r>
    <x v="848"/>
    <x v="6"/>
    <n v="11"/>
    <n v="0"/>
  </r>
  <r>
    <x v="849"/>
    <x v="29"/>
    <n v="14.7"/>
    <n v="0.5"/>
  </r>
  <r>
    <x v="850"/>
    <x v="22"/>
    <n v="13.2"/>
    <n v="2.5"/>
  </r>
  <r>
    <x v="851"/>
    <x v="22"/>
    <n v="28"/>
    <n v="3.8"/>
  </r>
  <r>
    <x v="852"/>
    <x v="7"/>
    <n v="27.5"/>
    <n v="10.3"/>
  </r>
  <r>
    <x v="853"/>
    <x v="22"/>
    <n v="12.1"/>
    <n v="4.7"/>
  </r>
  <r>
    <x v="854"/>
    <x v="11"/>
    <n v="24.7"/>
    <n v="7.2"/>
  </r>
  <r>
    <x v="855"/>
    <x v="21"/>
    <n v="27.1"/>
    <n v="2.6"/>
  </r>
  <r>
    <x v="856"/>
    <x v="3"/>
    <n v="28.7"/>
    <n v="3"/>
  </r>
  <r>
    <x v="857"/>
    <x v="6"/>
    <n v="15"/>
    <n v="21.4"/>
  </r>
  <r>
    <x v="858"/>
    <x v="7"/>
    <n v="11.6"/>
    <n v="3.7"/>
  </r>
  <r>
    <x v="859"/>
    <x v="6"/>
    <n v="13.1"/>
    <n v="0"/>
  </r>
  <r>
    <x v="860"/>
    <x v="22"/>
    <n v="25.5"/>
    <n v="0"/>
  </r>
  <r>
    <x v="861"/>
    <x v="24"/>
    <n v="19.399999999999999"/>
    <n v="0.7"/>
  </r>
  <r>
    <x v="862"/>
    <x v="3"/>
    <n v="27.3"/>
    <n v="2.6"/>
  </r>
  <r>
    <x v="863"/>
    <x v="6"/>
    <n v="21"/>
    <n v="27.8"/>
  </r>
  <r>
    <x v="864"/>
    <x v="10"/>
    <n v="11.5"/>
    <n v="0"/>
  </r>
  <r>
    <x v="865"/>
    <x v="17"/>
    <n v="13.6"/>
    <n v="2.7"/>
  </r>
  <r>
    <x v="866"/>
    <x v="4"/>
    <n v="17.8"/>
    <n v="0.3"/>
  </r>
  <r>
    <x v="867"/>
    <x v="4"/>
    <n v="10.8"/>
    <n v="0"/>
  </r>
  <r>
    <x v="868"/>
    <x v="6"/>
    <n v="23"/>
    <n v="3.3"/>
  </r>
  <r>
    <x v="869"/>
    <x v="7"/>
    <n v="14"/>
    <n v="18.100000000000001"/>
  </r>
  <r>
    <x v="870"/>
    <x v="22"/>
    <n v="10.7"/>
    <n v="0.4"/>
  </r>
  <r>
    <x v="871"/>
    <x v="9"/>
    <n v="24.7"/>
    <n v="9.1"/>
  </r>
  <r>
    <x v="872"/>
    <x v="15"/>
    <n v="12.2"/>
    <n v="18.600000000000001"/>
  </r>
  <r>
    <x v="873"/>
    <x v="2"/>
    <n v="23.8"/>
    <n v="7.7"/>
  </r>
  <r>
    <x v="874"/>
    <x v="8"/>
    <n v="18.5"/>
    <n v="0"/>
  </r>
  <r>
    <x v="875"/>
    <x v="13"/>
    <n v="24.6"/>
    <n v="0.4"/>
  </r>
  <r>
    <x v="876"/>
    <x v="15"/>
    <n v="24.6"/>
    <n v="10.4"/>
  </r>
  <r>
    <x v="877"/>
    <x v="8"/>
    <n v="25.4"/>
    <n v="11.2"/>
  </r>
  <r>
    <x v="878"/>
    <x v="7"/>
    <n v="13.1"/>
    <n v="22.2"/>
  </r>
  <r>
    <x v="879"/>
    <x v="6"/>
    <n v="10.1"/>
    <n v="11.6"/>
  </r>
  <r>
    <x v="880"/>
    <x v="11"/>
    <n v="25"/>
    <n v="0"/>
  </r>
  <r>
    <x v="881"/>
    <x v="14"/>
    <n v="20.9"/>
    <n v="11.4"/>
  </r>
  <r>
    <x v="882"/>
    <x v="10"/>
    <n v="27.6"/>
    <n v="2.5"/>
  </r>
  <r>
    <x v="883"/>
    <x v="6"/>
    <n v="22.8"/>
    <n v="0"/>
  </r>
  <r>
    <x v="884"/>
    <x v="5"/>
    <n v="12"/>
    <n v="0"/>
  </r>
  <r>
    <x v="885"/>
    <x v="19"/>
    <n v="16.8"/>
    <n v="4.9000000000000004"/>
  </r>
  <r>
    <x v="886"/>
    <x v="16"/>
    <n v="12.9"/>
    <n v="3"/>
  </r>
  <r>
    <x v="887"/>
    <x v="6"/>
    <n v="18"/>
    <n v="13.6"/>
  </r>
  <r>
    <x v="888"/>
    <x v="15"/>
    <n v="26"/>
    <n v="30.4"/>
  </r>
  <r>
    <x v="889"/>
    <x v="11"/>
    <n v="21.3"/>
    <n v="0"/>
  </r>
  <r>
    <x v="890"/>
    <x v="7"/>
    <n v="15.7"/>
    <n v="5.9"/>
  </r>
  <r>
    <x v="891"/>
    <x v="6"/>
    <n v="19.100000000000001"/>
    <n v="0"/>
  </r>
  <r>
    <x v="892"/>
    <x v="15"/>
    <n v="24.6"/>
    <n v="12.3"/>
  </r>
  <r>
    <x v="893"/>
    <x v="6"/>
    <n v="18.7"/>
    <n v="17.8"/>
  </r>
  <r>
    <x v="894"/>
    <x v="5"/>
    <n v="13.2"/>
    <n v="3.2"/>
  </r>
  <r>
    <x v="895"/>
    <x v="8"/>
    <n v="24.8"/>
    <n v="2.2999999999999998"/>
  </r>
  <r>
    <x v="896"/>
    <x v="11"/>
    <n v="19.3"/>
    <n v="1.8"/>
  </r>
  <r>
    <x v="897"/>
    <x v="14"/>
    <n v="22.7"/>
    <n v="0"/>
  </r>
  <r>
    <x v="898"/>
    <x v="7"/>
    <n v="15.2"/>
    <n v="0"/>
  </r>
  <r>
    <x v="899"/>
    <x v="19"/>
    <n v="28.6"/>
    <n v="0.2"/>
  </r>
  <r>
    <x v="900"/>
    <x v="3"/>
    <n v="17.899999999999999"/>
    <n v="18.600000000000001"/>
  </r>
  <r>
    <x v="901"/>
    <x v="27"/>
    <n v="11.6"/>
    <n v="0"/>
  </r>
  <r>
    <x v="902"/>
    <x v="17"/>
    <n v="19"/>
    <n v="2.2000000000000002"/>
  </r>
  <r>
    <x v="903"/>
    <x v="8"/>
    <n v="17.600000000000001"/>
    <n v="7.2"/>
  </r>
  <r>
    <x v="904"/>
    <x v="3"/>
    <n v="12.1"/>
    <n v="7.2"/>
  </r>
  <r>
    <x v="905"/>
    <x v="9"/>
    <n v="28.3"/>
    <n v="1.8"/>
  </r>
  <r>
    <x v="906"/>
    <x v="14"/>
    <n v="13.3"/>
    <n v="0"/>
  </r>
  <r>
    <x v="907"/>
    <x v="7"/>
    <n v="21"/>
    <n v="4.2"/>
  </r>
  <r>
    <x v="908"/>
    <x v="6"/>
    <n v="12"/>
    <n v="2.2000000000000002"/>
  </r>
  <r>
    <x v="909"/>
    <x v="15"/>
    <n v="12.1"/>
    <n v="0"/>
  </r>
  <r>
    <x v="910"/>
    <x v="7"/>
    <n v="15.8"/>
    <n v="17.2"/>
  </r>
  <r>
    <x v="911"/>
    <x v="8"/>
    <n v="25.7"/>
    <n v="5.9"/>
  </r>
  <r>
    <x v="912"/>
    <x v="6"/>
    <n v="20.5"/>
    <n v="26"/>
  </r>
  <r>
    <x v="913"/>
    <x v="9"/>
    <n v="23.5"/>
    <n v="15.3"/>
  </r>
  <r>
    <x v="914"/>
    <x v="8"/>
    <n v="21.7"/>
    <n v="1.2"/>
  </r>
  <r>
    <x v="915"/>
    <x v="6"/>
    <n v="29.8"/>
    <n v="0"/>
  </r>
  <r>
    <x v="916"/>
    <x v="3"/>
    <n v="27.1"/>
    <n v="0"/>
  </r>
  <r>
    <x v="917"/>
    <x v="8"/>
    <n v="27.3"/>
    <n v="0"/>
  </r>
  <r>
    <x v="918"/>
    <x v="15"/>
    <n v="15.5"/>
    <n v="27.6"/>
  </r>
  <r>
    <x v="919"/>
    <x v="9"/>
    <n v="27.9"/>
    <n v="5.0999999999999996"/>
  </r>
  <r>
    <x v="920"/>
    <x v="6"/>
    <n v="19.7"/>
    <n v="21.4"/>
  </r>
  <r>
    <x v="921"/>
    <x v="6"/>
    <n v="27.8"/>
    <n v="27.6"/>
  </r>
  <r>
    <x v="922"/>
    <x v="18"/>
    <n v="12.3"/>
    <n v="2.9"/>
  </r>
  <r>
    <x v="923"/>
    <x v="14"/>
    <n v="12.8"/>
    <n v="8.8000000000000007"/>
  </r>
  <r>
    <x v="924"/>
    <x v="6"/>
    <n v="15"/>
    <n v="0"/>
  </r>
  <r>
    <x v="925"/>
    <x v="19"/>
    <n v="27.6"/>
    <n v="4.7"/>
  </r>
  <r>
    <x v="926"/>
    <x v="6"/>
    <n v="19.600000000000001"/>
    <n v="0"/>
  </r>
  <r>
    <x v="927"/>
    <x v="26"/>
    <n v="16"/>
    <n v="0.4"/>
  </r>
  <r>
    <x v="928"/>
    <x v="6"/>
    <n v="10.3"/>
    <n v="0"/>
  </r>
  <r>
    <x v="929"/>
    <x v="14"/>
    <n v="20.2"/>
    <n v="13.9"/>
  </r>
  <r>
    <x v="930"/>
    <x v="22"/>
    <n v="26.4"/>
    <n v="6.8"/>
  </r>
  <r>
    <x v="931"/>
    <x v="13"/>
    <n v="20.6"/>
    <n v="0"/>
  </r>
  <r>
    <x v="932"/>
    <x v="15"/>
    <n v="12.3"/>
    <n v="0.2"/>
  </r>
  <r>
    <x v="933"/>
    <x v="15"/>
    <n v="11.2"/>
    <n v="36.200000000000003"/>
  </r>
  <r>
    <x v="934"/>
    <x v="4"/>
    <n v="22.6"/>
    <n v="2.4"/>
  </r>
  <r>
    <x v="935"/>
    <x v="21"/>
    <n v="16.399999999999999"/>
    <n v="0.1"/>
  </r>
  <r>
    <x v="936"/>
    <x v="23"/>
    <n v="23.4"/>
    <n v="0"/>
  </r>
  <r>
    <x v="937"/>
    <x v="19"/>
    <n v="20.2"/>
    <n v="0.3"/>
  </r>
  <r>
    <x v="938"/>
    <x v="7"/>
    <n v="17.600000000000001"/>
    <n v="15"/>
  </r>
  <r>
    <x v="939"/>
    <x v="6"/>
    <n v="21.7"/>
    <n v="33.299999999999997"/>
  </r>
  <r>
    <x v="940"/>
    <x v="6"/>
    <n v="18.399999999999999"/>
    <n v="19.3"/>
  </r>
  <r>
    <x v="941"/>
    <x v="3"/>
    <n v="20.100000000000001"/>
    <n v="15.4"/>
  </r>
  <r>
    <x v="942"/>
    <x v="14"/>
    <n v="16.5"/>
    <n v="14.7"/>
  </r>
  <r>
    <x v="943"/>
    <x v="6"/>
    <n v="12.3"/>
    <n v="30.2"/>
  </r>
  <r>
    <x v="944"/>
    <x v="6"/>
    <n v="29.6"/>
    <n v="42.8"/>
  </r>
  <r>
    <x v="945"/>
    <x v="8"/>
    <n v="26.6"/>
    <n v="9.1999999999999993"/>
  </r>
  <r>
    <x v="946"/>
    <x v="14"/>
    <n v="26.7"/>
    <n v="4"/>
  </r>
  <r>
    <x v="947"/>
    <x v="11"/>
    <n v="23.6"/>
    <n v="0"/>
  </r>
  <r>
    <x v="948"/>
    <x v="21"/>
    <n v="13.6"/>
    <n v="2.8"/>
  </r>
  <r>
    <x v="949"/>
    <x v="1"/>
    <n v="13.8"/>
    <n v="6.5"/>
  </r>
  <r>
    <x v="950"/>
    <x v="2"/>
    <n v="12.3"/>
    <n v="0"/>
  </r>
  <r>
    <x v="951"/>
    <x v="3"/>
    <n v="12.3"/>
    <n v="0"/>
  </r>
  <r>
    <x v="952"/>
    <x v="14"/>
    <n v="22.7"/>
    <n v="10.3"/>
  </r>
  <r>
    <x v="953"/>
    <x v="6"/>
    <n v="19"/>
    <n v="0"/>
  </r>
  <r>
    <x v="954"/>
    <x v="4"/>
    <n v="23.4"/>
    <n v="0"/>
  </r>
  <r>
    <x v="955"/>
    <x v="11"/>
    <n v="28.2"/>
    <n v="0"/>
  </r>
  <r>
    <x v="956"/>
    <x v="11"/>
    <n v="20.100000000000001"/>
    <n v="9.6999999999999993"/>
  </r>
  <r>
    <x v="957"/>
    <x v="13"/>
    <n v="29.6"/>
    <n v="0"/>
  </r>
  <r>
    <x v="958"/>
    <x v="3"/>
    <n v="25.8"/>
    <n v="0"/>
  </r>
  <r>
    <x v="959"/>
    <x v="6"/>
    <n v="19.600000000000001"/>
    <n v="18.5"/>
  </r>
  <r>
    <x v="960"/>
    <x v="15"/>
    <n v="21.5"/>
    <n v="3"/>
  </r>
  <r>
    <x v="961"/>
    <x v="11"/>
    <n v="24.2"/>
    <n v="17.399999999999999"/>
  </r>
  <r>
    <x v="962"/>
    <x v="23"/>
    <n v="12"/>
    <n v="0"/>
  </r>
  <r>
    <x v="963"/>
    <x v="29"/>
    <n v="23"/>
    <n v="0"/>
  </r>
  <r>
    <x v="964"/>
    <x v="15"/>
    <n v="19.8"/>
    <n v="29.2"/>
  </r>
  <r>
    <x v="965"/>
    <x v="1"/>
    <n v="14.9"/>
    <n v="0.8"/>
  </r>
  <r>
    <x v="966"/>
    <x v="11"/>
    <n v="17.899999999999999"/>
    <n v="10.3"/>
  </r>
  <r>
    <x v="967"/>
    <x v="3"/>
    <n v="26"/>
    <n v="0"/>
  </r>
  <r>
    <x v="968"/>
    <x v="8"/>
    <n v="21.5"/>
    <n v="9.3000000000000007"/>
  </r>
  <r>
    <x v="969"/>
    <x v="15"/>
    <n v="29.9"/>
    <n v="2.4"/>
  </r>
  <r>
    <x v="970"/>
    <x v="6"/>
    <n v="12.3"/>
    <n v="35.1"/>
  </r>
  <r>
    <x v="971"/>
    <x v="13"/>
    <n v="21.7"/>
    <n v="3.9"/>
  </r>
  <r>
    <x v="972"/>
    <x v="6"/>
    <n v="10.7"/>
    <n v="0"/>
  </r>
  <r>
    <x v="973"/>
    <x v="1"/>
    <n v="21.5"/>
    <n v="0"/>
  </r>
  <r>
    <x v="974"/>
    <x v="6"/>
    <n v="26"/>
    <n v="33.799999999999997"/>
  </r>
  <r>
    <x v="975"/>
    <x v="11"/>
    <n v="24.4"/>
    <n v="15.4"/>
  </r>
  <r>
    <x v="976"/>
    <x v="1"/>
    <n v="20.8"/>
    <n v="0"/>
  </r>
  <r>
    <x v="977"/>
    <x v="9"/>
    <n v="18.2"/>
    <n v="15.7"/>
  </r>
  <r>
    <x v="978"/>
    <x v="13"/>
    <n v="25.6"/>
    <n v="7"/>
  </r>
  <r>
    <x v="979"/>
    <x v="7"/>
    <n v="25.2"/>
    <n v="0"/>
  </r>
  <r>
    <x v="980"/>
    <x v="8"/>
    <n v="19.5"/>
    <n v="5.3"/>
  </r>
  <r>
    <x v="981"/>
    <x v="20"/>
    <n v="15.2"/>
    <n v="2.1"/>
  </r>
  <r>
    <x v="982"/>
    <x v="11"/>
    <n v="21.3"/>
    <n v="11.4"/>
  </r>
  <r>
    <x v="983"/>
    <x v="11"/>
    <n v="21.8"/>
    <n v="17.399999999999999"/>
  </r>
  <r>
    <x v="984"/>
    <x v="12"/>
    <n v="27.7"/>
    <n v="0.5"/>
  </r>
  <r>
    <x v="985"/>
    <x v="6"/>
    <n v="28.5"/>
    <n v="46"/>
  </r>
  <r>
    <x v="986"/>
    <x v="23"/>
    <n v="25.7"/>
    <n v="0"/>
  </r>
  <r>
    <x v="987"/>
    <x v="6"/>
    <n v="18"/>
    <n v="0.5"/>
  </r>
  <r>
    <x v="988"/>
    <x v="2"/>
    <n v="29.5"/>
    <n v="0"/>
  </r>
  <r>
    <x v="989"/>
    <x v="14"/>
    <n v="21"/>
    <n v="10.3"/>
  </r>
  <r>
    <x v="990"/>
    <x v="16"/>
    <n v="11.4"/>
    <n v="3.2"/>
  </r>
  <r>
    <x v="991"/>
    <x v="6"/>
    <n v="12.7"/>
    <n v="0"/>
  </r>
  <r>
    <x v="992"/>
    <x v="1"/>
    <n v="14.1"/>
    <n v="6.2"/>
  </r>
  <r>
    <x v="993"/>
    <x v="6"/>
    <n v="29.5"/>
    <n v="29.9"/>
  </r>
  <r>
    <x v="994"/>
    <x v="18"/>
    <n v="18.399999999999999"/>
    <n v="0"/>
  </r>
  <r>
    <x v="995"/>
    <x v="6"/>
    <n v="29.6"/>
    <n v="43.9"/>
  </r>
  <r>
    <x v="996"/>
    <x v="11"/>
    <n v="22.6"/>
    <n v="14.6"/>
  </r>
  <r>
    <x v="997"/>
    <x v="10"/>
    <n v="13.2"/>
    <n v="6.7"/>
  </r>
  <r>
    <x v="998"/>
    <x v="2"/>
    <n v="10.4"/>
    <n v="8.5"/>
  </r>
  <r>
    <x v="999"/>
    <x v="9"/>
    <n v="16.899999999999999"/>
    <n v="16.399999999999999"/>
  </r>
  <r>
    <x v="1000"/>
    <x v="11"/>
    <n v="19.399999999999999"/>
    <n v="0"/>
  </r>
  <r>
    <x v="1001"/>
    <x v="20"/>
    <n v="16.899999999999999"/>
    <n v="1"/>
  </r>
  <r>
    <x v="1002"/>
    <x v="6"/>
    <n v="18.399999999999999"/>
    <n v="0"/>
  </r>
  <r>
    <x v="1003"/>
    <x v="11"/>
    <n v="13.4"/>
    <n v="12.8"/>
  </r>
  <r>
    <x v="1004"/>
    <x v="3"/>
    <n v="28.8"/>
    <n v="0"/>
  </r>
  <r>
    <x v="1005"/>
    <x v="9"/>
    <n v="19.5"/>
    <n v="1.3"/>
  </r>
  <r>
    <x v="1006"/>
    <x v="7"/>
    <n v="29"/>
    <n v="14"/>
  </r>
  <r>
    <x v="1007"/>
    <x v="6"/>
    <n v="29.6"/>
    <n v="28.7"/>
  </r>
  <r>
    <x v="1008"/>
    <x v="2"/>
    <n v="26.5"/>
    <n v="0"/>
  </r>
  <r>
    <x v="1009"/>
    <x v="14"/>
    <n v="24.8"/>
    <n v="12.1"/>
  </r>
  <r>
    <x v="1010"/>
    <x v="6"/>
    <n v="20"/>
    <n v="14.7"/>
  </r>
  <r>
    <x v="1011"/>
    <x v="15"/>
    <n v="16.899999999999999"/>
    <n v="38.299999999999997"/>
  </r>
  <r>
    <x v="1012"/>
    <x v="6"/>
    <n v="11.5"/>
    <n v="24.7"/>
  </r>
  <r>
    <x v="1013"/>
    <x v="9"/>
    <n v="11.4"/>
    <n v="0"/>
  </r>
  <r>
    <x v="1014"/>
    <x v="2"/>
    <n v="28.5"/>
    <n v="0"/>
  </r>
  <r>
    <x v="1015"/>
    <x v="18"/>
    <n v="27.9"/>
    <n v="0.7"/>
  </r>
  <r>
    <x v="1016"/>
    <x v="3"/>
    <n v="26.7"/>
    <n v="15.5"/>
  </r>
  <r>
    <x v="1017"/>
    <x v="14"/>
    <n v="28.3"/>
    <n v="6.8"/>
  </r>
  <r>
    <x v="1018"/>
    <x v="6"/>
    <n v="28.9"/>
    <n v="0"/>
  </r>
  <r>
    <x v="1019"/>
    <x v="16"/>
    <n v="21.6"/>
    <n v="4"/>
  </r>
  <r>
    <x v="1020"/>
    <x v="19"/>
    <n v="16.5"/>
    <n v="4.2"/>
  </r>
  <r>
    <x v="1021"/>
    <x v="9"/>
    <n v="24.6"/>
    <n v="10.6"/>
  </r>
  <r>
    <x v="1022"/>
    <x v="6"/>
    <n v="28.9"/>
    <n v="40.799999999999997"/>
  </r>
  <r>
    <x v="1023"/>
    <x v="6"/>
    <n v="22.1"/>
    <n v="10"/>
  </r>
  <r>
    <x v="1024"/>
    <x v="17"/>
    <n v="29.3"/>
    <n v="0"/>
  </r>
  <r>
    <x v="1025"/>
    <x v="14"/>
    <n v="18.8"/>
    <n v="4.7"/>
  </r>
  <r>
    <x v="1026"/>
    <x v="15"/>
    <n v="26.5"/>
    <n v="7.3"/>
  </r>
  <r>
    <x v="1027"/>
    <x v="7"/>
    <n v="24"/>
    <n v="0"/>
  </r>
  <r>
    <x v="1028"/>
    <x v="15"/>
    <n v="21"/>
    <n v="12.2"/>
  </r>
  <r>
    <x v="1029"/>
    <x v="13"/>
    <n v="28.1"/>
    <n v="6.7"/>
  </r>
  <r>
    <x v="1030"/>
    <x v="10"/>
    <n v="23.3"/>
    <n v="4.8"/>
  </r>
  <r>
    <x v="1031"/>
    <x v="13"/>
    <n v="14.3"/>
    <n v="1.5"/>
  </r>
  <r>
    <x v="1032"/>
    <x v="21"/>
    <n v="12.6"/>
    <n v="1.1000000000000001"/>
  </r>
  <r>
    <x v="1033"/>
    <x v="15"/>
    <n v="18.100000000000001"/>
    <n v="0"/>
  </r>
  <r>
    <x v="1034"/>
    <x v="11"/>
    <n v="19"/>
    <n v="11"/>
  </r>
  <r>
    <x v="1035"/>
    <x v="10"/>
    <n v="13.1"/>
    <n v="0"/>
  </r>
  <r>
    <x v="1036"/>
    <x v="9"/>
    <n v="17.3"/>
    <n v="1.1000000000000001"/>
  </r>
  <r>
    <x v="1037"/>
    <x v="13"/>
    <n v="23.7"/>
    <n v="5.9"/>
  </r>
  <r>
    <x v="1038"/>
    <x v="29"/>
    <n v="26.3"/>
    <n v="0"/>
  </r>
  <r>
    <x v="1039"/>
    <x v="11"/>
    <n v="16.399999999999999"/>
    <n v="0"/>
  </r>
  <r>
    <x v="1040"/>
    <x v="5"/>
    <n v="13"/>
    <n v="0"/>
  </r>
  <r>
    <x v="1041"/>
    <x v="7"/>
    <n v="28.6"/>
    <n v="1"/>
  </r>
  <r>
    <x v="1042"/>
    <x v="6"/>
    <n v="11.1"/>
    <n v="2.4"/>
  </r>
  <r>
    <x v="1043"/>
    <x v="20"/>
    <n v="12.9"/>
    <n v="2.9"/>
  </r>
  <r>
    <x v="1044"/>
    <x v="26"/>
    <n v="28.4"/>
    <n v="0.9"/>
  </r>
  <r>
    <x v="1045"/>
    <x v="15"/>
    <n v="21.8"/>
    <n v="3.4"/>
  </r>
  <r>
    <x v="1046"/>
    <x v="2"/>
    <n v="20.8"/>
    <n v="11.8"/>
  </r>
  <r>
    <x v="1047"/>
    <x v="9"/>
    <n v="17.399999999999999"/>
    <n v="0"/>
  </r>
  <r>
    <x v="1048"/>
    <x v="2"/>
    <n v="24.8"/>
    <n v="0"/>
  </r>
  <r>
    <x v="1049"/>
    <x v="5"/>
    <n v="12.9"/>
    <n v="0"/>
  </r>
  <r>
    <x v="1050"/>
    <x v="13"/>
    <n v="25.9"/>
    <n v="0"/>
  </r>
  <r>
    <x v="1051"/>
    <x v="6"/>
    <n v="11.5"/>
    <n v="23.2"/>
  </r>
  <r>
    <x v="1052"/>
    <x v="16"/>
    <n v="25.5"/>
    <n v="0"/>
  </r>
  <r>
    <x v="1053"/>
    <x v="29"/>
    <n v="22.6"/>
    <n v="2.2000000000000002"/>
  </r>
  <r>
    <x v="1054"/>
    <x v="6"/>
    <n v="14.2"/>
    <n v="0"/>
  </r>
  <r>
    <x v="1055"/>
    <x v="9"/>
    <n v="26.9"/>
    <n v="9.1999999999999993"/>
  </r>
  <r>
    <x v="1056"/>
    <x v="15"/>
    <n v="30"/>
    <n v="32.299999999999997"/>
  </r>
  <r>
    <x v="1057"/>
    <x v="23"/>
    <n v="16.2"/>
    <n v="5.2"/>
  </r>
  <r>
    <x v="1058"/>
    <x v="7"/>
    <n v="12.2"/>
    <n v="0"/>
  </r>
  <r>
    <x v="1059"/>
    <x v="11"/>
    <n v="28.7"/>
    <n v="0.5"/>
  </r>
  <r>
    <x v="1060"/>
    <x v="2"/>
    <n v="23.3"/>
    <n v="11.1"/>
  </r>
  <r>
    <x v="1061"/>
    <x v="11"/>
    <n v="30"/>
    <n v="16.100000000000001"/>
  </r>
  <r>
    <x v="1062"/>
    <x v="14"/>
    <n v="16"/>
    <n v="9.8000000000000007"/>
  </r>
  <r>
    <x v="1063"/>
    <x v="16"/>
    <n v="21.6"/>
    <n v="3.4"/>
  </r>
  <r>
    <x v="1064"/>
    <x v="15"/>
    <n v="27.9"/>
    <n v="4.8"/>
  </r>
  <r>
    <x v="1065"/>
    <x v="9"/>
    <n v="17.5"/>
    <n v="14.7"/>
  </r>
  <r>
    <x v="1066"/>
    <x v="3"/>
    <n v="20.7"/>
    <n v="0"/>
  </r>
  <r>
    <x v="1067"/>
    <x v="6"/>
    <n v="10.8"/>
    <n v="36.4"/>
  </r>
  <r>
    <x v="1068"/>
    <x v="15"/>
    <n v="27.6"/>
    <n v="32.799999999999997"/>
  </r>
  <r>
    <x v="1069"/>
    <x v="7"/>
    <n v="10.8"/>
    <n v="11.6"/>
  </r>
  <r>
    <x v="1070"/>
    <x v="13"/>
    <n v="13.7"/>
    <n v="0"/>
  </r>
  <r>
    <x v="1071"/>
    <x v="14"/>
    <n v="19.5"/>
    <n v="0"/>
  </r>
  <r>
    <x v="1072"/>
    <x v="5"/>
    <n v="21.6"/>
    <n v="11.6"/>
  </r>
  <r>
    <x v="1073"/>
    <x v="13"/>
    <n v="21.6"/>
    <n v="2.7"/>
  </r>
  <r>
    <x v="1074"/>
    <x v="20"/>
    <n v="16.100000000000001"/>
    <n v="0"/>
  </r>
  <r>
    <x v="1075"/>
    <x v="2"/>
    <n v="29.4"/>
    <n v="12.5"/>
  </r>
  <r>
    <x v="1076"/>
    <x v="22"/>
    <n v="17.8"/>
    <n v="5.9"/>
  </r>
  <r>
    <x v="1077"/>
    <x v="15"/>
    <n v="26.1"/>
    <n v="14.8"/>
  </r>
  <r>
    <x v="1078"/>
    <x v="6"/>
    <n v="13.8"/>
    <n v="0"/>
  </r>
  <r>
    <x v="1079"/>
    <x v="8"/>
    <n v="16.100000000000001"/>
    <n v="6.2"/>
  </r>
  <r>
    <x v="1080"/>
    <x v="6"/>
    <n v="23.2"/>
    <n v="45.8"/>
  </r>
  <r>
    <x v="1081"/>
    <x v="8"/>
    <n v="18.899999999999999"/>
    <n v="0"/>
  </r>
  <r>
    <x v="1082"/>
    <x v="15"/>
    <n v="28.9"/>
    <n v="34.1"/>
  </r>
  <r>
    <x v="1083"/>
    <x v="6"/>
    <n v="19.3"/>
    <n v="49.6"/>
  </r>
  <r>
    <x v="1084"/>
    <x v="14"/>
    <n v="23.9"/>
    <n v="11.7"/>
  </r>
  <r>
    <x v="1085"/>
    <x v="9"/>
    <n v="28.6"/>
    <n v="11.5"/>
  </r>
  <r>
    <x v="1086"/>
    <x v="22"/>
    <n v="14.5"/>
    <n v="0.3"/>
  </r>
  <r>
    <x v="1087"/>
    <x v="6"/>
    <n v="13"/>
    <n v="0"/>
  </r>
  <r>
    <x v="1088"/>
    <x v="15"/>
    <n v="16.2"/>
    <n v="9.1999999999999993"/>
  </r>
  <r>
    <x v="1089"/>
    <x v="11"/>
    <n v="27.1"/>
    <n v="6.3"/>
  </r>
  <r>
    <x v="1090"/>
    <x v="6"/>
    <n v="15.6"/>
    <n v="28"/>
  </r>
  <r>
    <x v="1091"/>
    <x v="22"/>
    <n v="28.9"/>
    <n v="6.8"/>
  </r>
  <r>
    <x v="1092"/>
    <x v="2"/>
    <n v="13.8"/>
    <n v="11.9"/>
  </r>
  <r>
    <x v="1093"/>
    <x v="2"/>
    <n v="17.8"/>
    <n v="1.5"/>
  </r>
  <r>
    <x v="1094"/>
    <x v="18"/>
    <n v="25.1"/>
    <n v="0"/>
  </r>
  <r>
    <x v="1095"/>
    <x v="18"/>
    <n v="29.5"/>
    <n v="0"/>
  </r>
  <r>
    <x v="1096"/>
    <x v="22"/>
    <n v="16.100000000000001"/>
    <n v="7.1"/>
  </r>
  <r>
    <x v="1097"/>
    <x v="5"/>
    <n v="18"/>
    <n v="12"/>
  </r>
  <r>
    <x v="1098"/>
    <x v="6"/>
    <n v="12.2"/>
    <n v="26.8"/>
  </r>
  <r>
    <x v="1099"/>
    <x v="10"/>
    <n v="20.7"/>
    <n v="4.7"/>
  </r>
  <r>
    <x v="1100"/>
    <x v="6"/>
    <n v="20.100000000000001"/>
    <n v="47.4"/>
  </r>
  <r>
    <x v="1101"/>
    <x v="6"/>
    <n v="14.9"/>
    <n v="43.8"/>
  </r>
  <r>
    <x v="1102"/>
    <x v="6"/>
    <n v="19"/>
    <n v="0"/>
  </r>
  <r>
    <x v="1103"/>
    <x v="2"/>
    <n v="12.5"/>
    <n v="0"/>
  </r>
  <r>
    <x v="1104"/>
    <x v="9"/>
    <n v="15.2"/>
    <n v="13.9"/>
  </r>
  <r>
    <x v="1105"/>
    <x v="15"/>
    <n v="29.2"/>
    <n v="26.8"/>
  </r>
  <r>
    <x v="1106"/>
    <x v="2"/>
    <n v="13.9"/>
    <n v="1.1000000000000001"/>
  </r>
  <r>
    <x v="1107"/>
    <x v="11"/>
    <n v="11.4"/>
    <n v="0"/>
  </r>
  <r>
    <x v="1108"/>
    <x v="5"/>
    <n v="15.8"/>
    <n v="7"/>
  </r>
  <r>
    <x v="1109"/>
    <x v="6"/>
    <n v="10.199999999999999"/>
    <n v="43.3"/>
  </r>
  <r>
    <x v="1110"/>
    <x v="9"/>
    <n v="19.600000000000001"/>
    <n v="8.9"/>
  </r>
  <r>
    <x v="1111"/>
    <x v="2"/>
    <n v="15.5"/>
    <n v="10.1"/>
  </r>
  <r>
    <x v="1112"/>
    <x v="11"/>
    <n v="19.899999999999999"/>
    <n v="16.2"/>
  </r>
  <r>
    <x v="1113"/>
    <x v="14"/>
    <n v="10.7"/>
    <n v="2.8"/>
  </r>
  <r>
    <x v="1114"/>
    <x v="22"/>
    <n v="11.5"/>
    <n v="5.9"/>
  </r>
  <r>
    <x v="1115"/>
    <x v="10"/>
    <n v="28.4"/>
    <n v="1"/>
  </r>
  <r>
    <x v="1116"/>
    <x v="15"/>
    <n v="22.3"/>
    <n v="5.0999999999999996"/>
  </r>
  <r>
    <x v="1117"/>
    <x v="9"/>
    <n v="28.7"/>
    <n v="11.5"/>
  </r>
  <r>
    <x v="1118"/>
    <x v="2"/>
    <n v="19.100000000000001"/>
    <n v="0"/>
  </r>
  <r>
    <x v="1119"/>
    <x v="6"/>
    <n v="10.199999999999999"/>
    <n v="7.6"/>
  </r>
  <r>
    <x v="1120"/>
    <x v="6"/>
    <n v="18.399999999999999"/>
    <n v="0"/>
  </r>
  <r>
    <x v="1121"/>
    <x v="15"/>
    <n v="29.3"/>
    <n v="0"/>
  </r>
  <r>
    <x v="1122"/>
    <x v="13"/>
    <n v="26.7"/>
    <n v="5.7"/>
  </r>
  <r>
    <x v="1123"/>
    <x v="4"/>
    <n v="22.2"/>
    <n v="0.9"/>
  </r>
  <r>
    <x v="1124"/>
    <x v="9"/>
    <n v="25.5"/>
    <n v="5.8"/>
  </r>
  <r>
    <x v="1125"/>
    <x v="15"/>
    <n v="23.5"/>
    <n v="32"/>
  </r>
  <r>
    <x v="1126"/>
    <x v="1"/>
    <n v="28.4"/>
    <n v="5.7"/>
  </r>
  <r>
    <x v="1127"/>
    <x v="18"/>
    <n v="13.7"/>
    <n v="6"/>
  </r>
  <r>
    <x v="1128"/>
    <x v="5"/>
    <n v="22.1"/>
    <n v="11.7"/>
  </r>
  <r>
    <x v="1129"/>
    <x v="7"/>
    <n v="16.899999999999999"/>
    <n v="18.2"/>
  </r>
  <r>
    <x v="1130"/>
    <x v="18"/>
    <n v="28"/>
    <n v="0"/>
  </r>
  <r>
    <x v="1131"/>
    <x v="6"/>
    <n v="13.5"/>
    <n v="3.7"/>
  </r>
  <r>
    <x v="1132"/>
    <x v="15"/>
    <n v="13.4"/>
    <n v="22.5"/>
  </r>
  <r>
    <x v="1133"/>
    <x v="2"/>
    <n v="19.899999999999999"/>
    <n v="11.6"/>
  </r>
  <r>
    <x v="1134"/>
    <x v="3"/>
    <n v="24.2"/>
    <n v="11"/>
  </r>
  <r>
    <x v="1135"/>
    <x v="23"/>
    <n v="20.399999999999999"/>
    <n v="0"/>
  </r>
  <r>
    <x v="1136"/>
    <x v="23"/>
    <n v="16.600000000000001"/>
    <n v="3.9"/>
  </r>
  <r>
    <x v="1137"/>
    <x v="29"/>
    <n v="14.3"/>
    <n v="0"/>
  </r>
  <r>
    <x v="1138"/>
    <x v="22"/>
    <n v="24.4"/>
    <n v="4.4000000000000004"/>
  </r>
  <r>
    <x v="1139"/>
    <x v="6"/>
    <n v="26.7"/>
    <n v="30.4"/>
  </r>
  <r>
    <x v="1140"/>
    <x v="9"/>
    <n v="20.100000000000001"/>
    <n v="3.1"/>
  </r>
  <r>
    <x v="1141"/>
    <x v="2"/>
    <n v="13.5"/>
    <n v="6.9"/>
  </r>
  <r>
    <x v="1142"/>
    <x v="3"/>
    <n v="18.8"/>
    <n v="21.5"/>
  </r>
  <r>
    <x v="1143"/>
    <x v="15"/>
    <n v="18"/>
    <n v="13.9"/>
  </r>
  <r>
    <x v="1144"/>
    <x v="23"/>
    <n v="16.899999999999999"/>
    <n v="1.8"/>
  </r>
  <r>
    <x v="1145"/>
    <x v="2"/>
    <n v="23.7"/>
    <n v="13"/>
  </r>
  <r>
    <x v="1146"/>
    <x v="28"/>
    <n v="17.600000000000001"/>
    <n v="0.6"/>
  </r>
  <r>
    <x v="1147"/>
    <x v="3"/>
    <n v="29.1"/>
    <n v="8.3000000000000007"/>
  </r>
  <r>
    <x v="1148"/>
    <x v="5"/>
    <n v="26.8"/>
    <n v="11.2"/>
  </r>
  <r>
    <x v="1149"/>
    <x v="14"/>
    <n v="10.5"/>
    <n v="0"/>
  </r>
  <r>
    <x v="1150"/>
    <x v="7"/>
    <n v="13.5"/>
    <n v="0"/>
  </r>
  <r>
    <x v="1151"/>
    <x v="6"/>
    <n v="14"/>
    <n v="22"/>
  </r>
  <r>
    <x v="1152"/>
    <x v="7"/>
    <n v="26.7"/>
    <n v="8"/>
  </r>
  <r>
    <x v="1153"/>
    <x v="22"/>
    <n v="11.2"/>
    <n v="6.1"/>
  </r>
  <r>
    <x v="1154"/>
    <x v="23"/>
    <n v="24.7"/>
    <n v="0"/>
  </r>
  <r>
    <x v="1155"/>
    <x v="25"/>
    <n v="27.2"/>
    <n v="0.3"/>
  </r>
  <r>
    <x v="1156"/>
    <x v="26"/>
    <n v="11"/>
    <n v="0"/>
  </r>
  <r>
    <x v="1157"/>
    <x v="8"/>
    <n v="10.9"/>
    <n v="4.4000000000000004"/>
  </r>
  <r>
    <x v="1158"/>
    <x v="3"/>
    <n v="27.4"/>
    <n v="6"/>
  </r>
  <r>
    <x v="1159"/>
    <x v="2"/>
    <n v="20"/>
    <n v="7.6"/>
  </r>
  <r>
    <x v="1160"/>
    <x v="14"/>
    <n v="23.5"/>
    <n v="2.5"/>
  </r>
  <r>
    <x v="1161"/>
    <x v="7"/>
    <n v="28.5"/>
    <n v="0"/>
  </r>
  <r>
    <x v="1162"/>
    <x v="23"/>
    <n v="10.8"/>
    <n v="5.8"/>
  </r>
  <r>
    <x v="1163"/>
    <x v="11"/>
    <n v="18.899999999999999"/>
    <n v="9.5"/>
  </r>
  <r>
    <x v="1164"/>
    <x v="9"/>
    <n v="24"/>
    <n v="4"/>
  </r>
  <r>
    <x v="1165"/>
    <x v="8"/>
    <n v="12.7"/>
    <n v="3"/>
  </r>
  <r>
    <x v="1166"/>
    <x v="3"/>
    <n v="13.4"/>
    <n v="6.2"/>
  </r>
  <r>
    <x v="1167"/>
    <x v="6"/>
    <n v="15.9"/>
    <n v="0"/>
  </r>
  <r>
    <x v="1168"/>
    <x v="7"/>
    <n v="19.399999999999999"/>
    <n v="21.2"/>
  </r>
  <r>
    <x v="1169"/>
    <x v="11"/>
    <n v="16.3"/>
    <n v="17.600000000000001"/>
  </r>
  <r>
    <x v="1170"/>
    <x v="7"/>
    <n v="28"/>
    <n v="20.399999999999999"/>
  </r>
  <r>
    <x v="1171"/>
    <x v="8"/>
    <n v="19"/>
    <n v="5.2"/>
  </r>
  <r>
    <x v="1172"/>
    <x v="23"/>
    <n v="24.1"/>
    <n v="4.8"/>
  </r>
  <r>
    <x v="1173"/>
    <x v="6"/>
    <n v="15.2"/>
    <n v="25.7"/>
  </r>
  <r>
    <x v="1174"/>
    <x v="7"/>
    <n v="16.3"/>
    <n v="21"/>
  </r>
  <r>
    <x v="1175"/>
    <x v="3"/>
    <n v="26.9"/>
    <n v="0"/>
  </r>
  <r>
    <x v="1176"/>
    <x v="5"/>
    <n v="25"/>
    <n v="0.5"/>
  </r>
  <r>
    <x v="1177"/>
    <x v="13"/>
    <n v="25.1"/>
    <n v="5.2"/>
  </r>
  <r>
    <x v="1178"/>
    <x v="8"/>
    <n v="29.2"/>
    <n v="7.1"/>
  </r>
  <r>
    <x v="1179"/>
    <x v="9"/>
    <n v="18.100000000000001"/>
    <n v="5.0999999999999996"/>
  </r>
  <r>
    <x v="1180"/>
    <x v="7"/>
    <n v="12.5"/>
    <n v="0"/>
  </r>
  <r>
    <x v="1181"/>
    <x v="7"/>
    <n v="19.100000000000001"/>
    <n v="0.3"/>
  </r>
  <r>
    <x v="1182"/>
    <x v="15"/>
    <n v="27.4"/>
    <n v="0"/>
  </r>
  <r>
    <x v="1183"/>
    <x v="3"/>
    <n v="21.1"/>
    <n v="10.4"/>
  </r>
  <r>
    <x v="1184"/>
    <x v="23"/>
    <n v="13.4"/>
    <n v="0"/>
  </r>
  <r>
    <x v="1185"/>
    <x v="1"/>
    <n v="11.9"/>
    <n v="7.3"/>
  </r>
  <r>
    <x v="1186"/>
    <x v="9"/>
    <n v="20.399999999999999"/>
    <n v="4.3"/>
  </r>
  <r>
    <x v="1187"/>
    <x v="3"/>
    <n v="29.5"/>
    <n v="18.600000000000001"/>
  </r>
  <r>
    <x v="1188"/>
    <x v="8"/>
    <n v="24.1"/>
    <n v="5"/>
  </r>
  <r>
    <x v="1189"/>
    <x v="10"/>
    <n v="11.5"/>
    <n v="3.6"/>
  </r>
  <r>
    <x v="1190"/>
    <x v="21"/>
    <n v="21.2"/>
    <n v="1.8"/>
  </r>
  <r>
    <x v="1191"/>
    <x v="6"/>
    <n v="22.2"/>
    <n v="40.299999999999997"/>
  </r>
  <r>
    <x v="1192"/>
    <x v="6"/>
    <n v="14.6"/>
    <n v="2.6"/>
  </r>
  <r>
    <x v="1193"/>
    <x v="9"/>
    <n v="23.3"/>
    <n v="8.1"/>
  </r>
  <r>
    <x v="1194"/>
    <x v="9"/>
    <n v="16.2"/>
    <n v="10.4"/>
  </r>
  <r>
    <x v="1195"/>
    <x v="6"/>
    <n v="25.9"/>
    <n v="0"/>
  </r>
  <r>
    <x v="1196"/>
    <x v="1"/>
    <n v="14.6"/>
    <n v="7"/>
  </r>
  <r>
    <x v="1197"/>
    <x v="14"/>
    <n v="15.1"/>
    <n v="11.7"/>
  </r>
  <r>
    <x v="1198"/>
    <x v="15"/>
    <n v="14.1"/>
    <n v="6.5"/>
  </r>
  <r>
    <x v="1199"/>
    <x v="23"/>
    <n v="22.1"/>
    <n v="1.8"/>
  </r>
  <r>
    <x v="1200"/>
    <x v="7"/>
    <n v="27.2"/>
    <n v="21.9"/>
  </r>
  <r>
    <x v="1201"/>
    <x v="2"/>
    <n v="10.8"/>
    <n v="0"/>
  </r>
  <r>
    <x v="1202"/>
    <x v="3"/>
    <n v="24.6"/>
    <n v="0"/>
  </r>
  <r>
    <x v="1203"/>
    <x v="6"/>
    <n v="27.8"/>
    <n v="26.3"/>
  </r>
  <r>
    <x v="1204"/>
    <x v="10"/>
    <n v="12.9"/>
    <n v="2.8"/>
  </r>
  <r>
    <x v="1205"/>
    <x v="9"/>
    <n v="13.9"/>
    <n v="0.6"/>
  </r>
  <r>
    <x v="1206"/>
    <x v="25"/>
    <n v="27.6"/>
    <n v="0.6"/>
  </r>
  <r>
    <x v="1207"/>
    <x v="7"/>
    <n v="18.600000000000001"/>
    <n v="21.5"/>
  </r>
  <r>
    <x v="1208"/>
    <x v="2"/>
    <n v="17.8"/>
    <n v="0"/>
  </r>
  <r>
    <x v="1209"/>
    <x v="11"/>
    <n v="20.8"/>
    <n v="8.5"/>
  </r>
  <r>
    <x v="1210"/>
    <x v="18"/>
    <n v="16.399999999999999"/>
    <n v="6.8"/>
  </r>
  <r>
    <x v="1211"/>
    <x v="23"/>
    <n v="14.6"/>
    <n v="0"/>
  </r>
  <r>
    <x v="1212"/>
    <x v="5"/>
    <n v="27.1"/>
    <n v="1.2"/>
  </r>
  <r>
    <x v="1213"/>
    <x v="6"/>
    <n v="18.3"/>
    <n v="3.7"/>
  </r>
  <r>
    <x v="1214"/>
    <x v="25"/>
    <n v="27.1"/>
    <n v="0.2"/>
  </r>
  <r>
    <x v="1215"/>
    <x v="11"/>
    <n v="12.9"/>
    <n v="10.199999999999999"/>
  </r>
  <r>
    <x v="1216"/>
    <x v="15"/>
    <n v="19.100000000000001"/>
    <n v="19.600000000000001"/>
  </r>
  <r>
    <x v="1217"/>
    <x v="2"/>
    <n v="19.2"/>
    <n v="3.6"/>
  </r>
  <r>
    <x v="1218"/>
    <x v="5"/>
    <n v="25.2"/>
    <n v="0"/>
  </r>
  <r>
    <x v="1219"/>
    <x v="11"/>
    <n v="13.5"/>
    <n v="6.3"/>
  </r>
  <r>
    <x v="1220"/>
    <x v="8"/>
    <n v="19.2"/>
    <n v="7.7"/>
  </r>
  <r>
    <x v="1221"/>
    <x v="10"/>
    <n v="24.1"/>
    <n v="7.8"/>
  </r>
  <r>
    <x v="1222"/>
    <x v="6"/>
    <n v="17.8"/>
    <n v="13.4"/>
  </r>
  <r>
    <x v="1223"/>
    <x v="3"/>
    <n v="24.7"/>
    <n v="21.1"/>
  </r>
  <r>
    <x v="1224"/>
    <x v="16"/>
    <n v="16.8"/>
    <n v="0"/>
  </r>
  <r>
    <x v="1225"/>
    <x v="1"/>
    <n v="10.7"/>
    <n v="3"/>
  </r>
  <r>
    <x v="1226"/>
    <x v="2"/>
    <n v="29.3"/>
    <n v="8.3000000000000007"/>
  </r>
  <r>
    <x v="1227"/>
    <x v="21"/>
    <n v="28.2"/>
    <n v="0"/>
  </r>
  <r>
    <x v="1228"/>
    <x v="6"/>
    <n v="17.3"/>
    <n v="33.6"/>
  </r>
  <r>
    <x v="1229"/>
    <x v="2"/>
    <n v="24.6"/>
    <n v="0"/>
  </r>
  <r>
    <x v="1230"/>
    <x v="8"/>
    <n v="12.6"/>
    <n v="0.6"/>
  </r>
  <r>
    <x v="1231"/>
    <x v="15"/>
    <n v="27.3"/>
    <n v="0"/>
  </r>
  <r>
    <x v="1232"/>
    <x v="4"/>
    <n v="14.4"/>
    <n v="2"/>
  </r>
  <r>
    <x v="1233"/>
    <x v="6"/>
    <n v="11.2"/>
    <n v="32.6"/>
  </r>
  <r>
    <x v="1234"/>
    <x v="15"/>
    <n v="11.4"/>
    <n v="5.5"/>
  </r>
  <r>
    <x v="1235"/>
    <x v="10"/>
    <n v="22.9"/>
    <n v="0"/>
  </r>
  <r>
    <x v="1236"/>
    <x v="3"/>
    <n v="14.3"/>
    <n v="13.2"/>
  </r>
  <r>
    <x v="1237"/>
    <x v="6"/>
    <n v="22.9"/>
    <n v="22.9"/>
  </r>
  <r>
    <x v="1238"/>
    <x v="7"/>
    <n v="11.8"/>
    <n v="0"/>
  </r>
  <r>
    <x v="1239"/>
    <x v="14"/>
    <n v="24.5"/>
    <n v="0"/>
  </r>
  <r>
    <x v="1240"/>
    <x v="11"/>
    <n v="25.5"/>
    <n v="19.3"/>
  </r>
  <r>
    <x v="1241"/>
    <x v="15"/>
    <n v="14.7"/>
    <n v="18.3"/>
  </r>
  <r>
    <x v="1242"/>
    <x v="11"/>
    <n v="28.7"/>
    <n v="0"/>
  </r>
  <r>
    <x v="1243"/>
    <x v="6"/>
    <n v="16.7"/>
    <n v="0"/>
  </r>
  <r>
    <x v="1244"/>
    <x v="11"/>
    <n v="17.399999999999999"/>
    <n v="13.7"/>
  </r>
  <r>
    <x v="1245"/>
    <x v="6"/>
    <n v="15.6"/>
    <n v="0"/>
  </r>
  <r>
    <x v="1246"/>
    <x v="15"/>
    <n v="21.7"/>
    <n v="0"/>
  </r>
  <r>
    <x v="1247"/>
    <x v="3"/>
    <n v="26"/>
    <n v="0"/>
  </r>
  <r>
    <x v="1248"/>
    <x v="18"/>
    <n v="24.5"/>
    <n v="9"/>
  </r>
  <r>
    <x v="1249"/>
    <x v="13"/>
    <n v="23.2"/>
    <n v="0"/>
  </r>
  <r>
    <x v="1250"/>
    <x v="20"/>
    <n v="17.600000000000001"/>
    <n v="0.8"/>
  </r>
  <r>
    <x v="1251"/>
    <x v="3"/>
    <n v="13.9"/>
    <n v="8.8000000000000007"/>
  </r>
  <r>
    <x v="1252"/>
    <x v="23"/>
    <n v="20.7"/>
    <n v="4.3"/>
  </r>
  <r>
    <x v="1253"/>
    <x v="1"/>
    <n v="10.1"/>
    <n v="1.7"/>
  </r>
  <r>
    <x v="1254"/>
    <x v="3"/>
    <n v="26.2"/>
    <n v="22.7"/>
  </r>
  <r>
    <x v="1255"/>
    <x v="15"/>
    <n v="27.6"/>
    <n v="13.8"/>
  </r>
  <r>
    <x v="1256"/>
    <x v="2"/>
    <n v="20.6"/>
    <n v="4.7"/>
  </r>
  <r>
    <x v="1257"/>
    <x v="5"/>
    <n v="21.4"/>
    <n v="5"/>
  </r>
  <r>
    <x v="1258"/>
    <x v="2"/>
    <n v="17.100000000000001"/>
    <n v="0"/>
  </r>
  <r>
    <x v="1259"/>
    <x v="6"/>
    <n v="19.5"/>
    <n v="20.5"/>
  </r>
  <r>
    <x v="1260"/>
    <x v="9"/>
    <n v="15.9"/>
    <n v="0"/>
  </r>
  <r>
    <x v="1261"/>
    <x v="6"/>
    <n v="21.1"/>
    <n v="46.8"/>
  </r>
  <r>
    <x v="1262"/>
    <x v="15"/>
    <n v="20.2"/>
    <n v="36.6"/>
  </r>
  <r>
    <x v="1263"/>
    <x v="8"/>
    <n v="25"/>
    <n v="7.8"/>
  </r>
  <r>
    <x v="1264"/>
    <x v="6"/>
    <n v="22.1"/>
    <n v="8.8000000000000007"/>
  </r>
  <r>
    <x v="1265"/>
    <x v="29"/>
    <n v="28.9"/>
    <n v="0.5"/>
  </r>
  <r>
    <x v="1266"/>
    <x v="7"/>
    <n v="19.600000000000001"/>
    <n v="0"/>
  </r>
  <r>
    <x v="1267"/>
    <x v="3"/>
    <n v="18"/>
    <n v="13.2"/>
  </r>
  <r>
    <x v="1268"/>
    <x v="8"/>
    <n v="28.3"/>
    <n v="0"/>
  </r>
  <r>
    <x v="1269"/>
    <x v="2"/>
    <n v="25.2"/>
    <n v="0"/>
  </r>
  <r>
    <x v="1270"/>
    <x v="6"/>
    <n v="22.5"/>
    <n v="0"/>
  </r>
  <r>
    <x v="1271"/>
    <x v="9"/>
    <n v="19.899999999999999"/>
    <n v="6.7"/>
  </r>
  <r>
    <x v="1272"/>
    <x v="7"/>
    <n v="10.8"/>
    <n v="19.600000000000001"/>
  </r>
  <r>
    <x v="1273"/>
    <x v="15"/>
    <n v="18.399999999999999"/>
    <n v="0.6"/>
  </r>
  <r>
    <x v="1274"/>
    <x v="22"/>
    <n v="27.6"/>
    <n v="3.7"/>
  </r>
  <r>
    <x v="1275"/>
    <x v="22"/>
    <n v="11.3"/>
    <n v="1.9"/>
  </r>
  <r>
    <x v="1276"/>
    <x v="22"/>
    <n v="28.7"/>
    <n v="0"/>
  </r>
  <r>
    <x v="1277"/>
    <x v="17"/>
    <n v="15"/>
    <n v="1.7"/>
  </r>
  <r>
    <x v="1278"/>
    <x v="3"/>
    <n v="15.1"/>
    <n v="13.5"/>
  </r>
  <r>
    <x v="1279"/>
    <x v="15"/>
    <n v="19.399999999999999"/>
    <n v="29.6"/>
  </r>
  <r>
    <x v="1280"/>
    <x v="3"/>
    <n v="21.9"/>
    <n v="1.6"/>
  </r>
  <r>
    <x v="1281"/>
    <x v="14"/>
    <n v="19.399999999999999"/>
    <n v="9.8000000000000007"/>
  </r>
  <r>
    <x v="1282"/>
    <x v="3"/>
    <n v="21.8"/>
    <n v="18.5"/>
  </r>
  <r>
    <x v="1283"/>
    <x v="13"/>
    <n v="29.3"/>
    <n v="2.8"/>
  </r>
  <r>
    <x v="1284"/>
    <x v="15"/>
    <n v="14.4"/>
    <n v="0"/>
  </r>
  <r>
    <x v="1285"/>
    <x v="6"/>
    <n v="14.5"/>
    <n v="0"/>
  </r>
  <r>
    <x v="1286"/>
    <x v="11"/>
    <n v="18.399999999999999"/>
    <n v="10.1"/>
  </r>
  <r>
    <x v="1287"/>
    <x v="14"/>
    <n v="29.8"/>
    <n v="0"/>
  </r>
  <r>
    <x v="1288"/>
    <x v="3"/>
    <n v="27.3"/>
    <n v="18.600000000000001"/>
  </r>
  <r>
    <x v="1289"/>
    <x v="5"/>
    <n v="22.7"/>
    <n v="0"/>
  </r>
  <r>
    <x v="1290"/>
    <x v="6"/>
    <n v="27.3"/>
    <n v="18.399999999999999"/>
  </r>
  <r>
    <x v="1291"/>
    <x v="14"/>
    <n v="12.9"/>
    <n v="0"/>
  </r>
  <r>
    <x v="1292"/>
    <x v="15"/>
    <n v="24.3"/>
    <n v="1.9"/>
  </r>
  <r>
    <x v="1293"/>
    <x v="14"/>
    <n v="20.6"/>
    <n v="14.6"/>
  </r>
  <r>
    <x v="1294"/>
    <x v="1"/>
    <n v="24.2"/>
    <n v="0"/>
  </r>
  <r>
    <x v="1295"/>
    <x v="6"/>
    <n v="15.2"/>
    <n v="0"/>
  </r>
  <r>
    <x v="1296"/>
    <x v="21"/>
    <n v="27.3"/>
    <n v="2.5"/>
  </r>
  <r>
    <x v="1297"/>
    <x v="21"/>
    <n v="28"/>
    <n v="0"/>
  </r>
  <r>
    <x v="1298"/>
    <x v="27"/>
    <n v="16.100000000000001"/>
    <n v="0"/>
  </r>
  <r>
    <x v="1299"/>
    <x v="15"/>
    <n v="18.8"/>
    <n v="16.899999999999999"/>
  </r>
  <r>
    <x v="1300"/>
    <x v="6"/>
    <n v="13.2"/>
    <n v="10.4"/>
  </r>
  <r>
    <x v="1301"/>
    <x v="1"/>
    <n v="17.899999999999999"/>
    <n v="3.5"/>
  </r>
  <r>
    <x v="1302"/>
    <x v="3"/>
    <n v="18.3"/>
    <n v="16.7"/>
  </r>
  <r>
    <x v="1303"/>
    <x v="13"/>
    <n v="25.7"/>
    <n v="2"/>
  </r>
  <r>
    <x v="1304"/>
    <x v="6"/>
    <n v="29.2"/>
    <n v="31.5"/>
  </r>
  <r>
    <x v="1305"/>
    <x v="3"/>
    <n v="21.5"/>
    <n v="0"/>
  </r>
  <r>
    <x v="1306"/>
    <x v="7"/>
    <n v="29.5"/>
    <n v="12.2"/>
  </r>
  <r>
    <x v="1307"/>
    <x v="3"/>
    <n v="17.7"/>
    <n v="10.1"/>
  </r>
  <r>
    <x v="1308"/>
    <x v="15"/>
    <n v="26.7"/>
    <n v="1.2"/>
  </r>
  <r>
    <x v="1309"/>
    <x v="6"/>
    <n v="13.3"/>
    <n v="0.5"/>
  </r>
  <r>
    <x v="1310"/>
    <x v="3"/>
    <n v="13.4"/>
    <n v="23.4"/>
  </r>
  <r>
    <x v="1311"/>
    <x v="7"/>
    <n v="22.1"/>
    <n v="17.7"/>
  </r>
  <r>
    <x v="1312"/>
    <x v="18"/>
    <n v="11.4"/>
    <n v="0"/>
  </r>
  <r>
    <x v="1313"/>
    <x v="11"/>
    <n v="26"/>
    <n v="4.9000000000000004"/>
  </r>
  <r>
    <x v="1314"/>
    <x v="11"/>
    <n v="27.8"/>
    <n v="6.7"/>
  </r>
  <r>
    <x v="1315"/>
    <x v="3"/>
    <n v="29.3"/>
    <n v="1.7"/>
  </r>
  <r>
    <x v="1316"/>
    <x v="19"/>
    <n v="24.7"/>
    <n v="2.5"/>
  </r>
  <r>
    <x v="1317"/>
    <x v="0"/>
    <n v="16.600000000000001"/>
    <n v="0.1"/>
  </r>
  <r>
    <x v="1318"/>
    <x v="14"/>
    <n v="27.5"/>
    <n v="0"/>
  </r>
  <r>
    <x v="1319"/>
    <x v="11"/>
    <n v="22.7"/>
    <n v="0"/>
  </r>
  <r>
    <x v="1320"/>
    <x v="8"/>
    <n v="20.100000000000001"/>
    <n v="10.5"/>
  </r>
  <r>
    <x v="1321"/>
    <x v="3"/>
    <n v="16.100000000000001"/>
    <n v="8.1"/>
  </r>
  <r>
    <x v="1322"/>
    <x v="3"/>
    <n v="13.9"/>
    <n v="0"/>
  </r>
  <r>
    <x v="1323"/>
    <x v="8"/>
    <n v="22.3"/>
    <n v="0"/>
  </r>
  <r>
    <x v="1324"/>
    <x v="22"/>
    <n v="13"/>
    <n v="0"/>
  </r>
  <r>
    <x v="1325"/>
    <x v="7"/>
    <n v="16.2"/>
    <n v="0"/>
  </r>
  <r>
    <x v="1326"/>
    <x v="10"/>
    <n v="24.8"/>
    <n v="0"/>
  </r>
  <r>
    <x v="1327"/>
    <x v="9"/>
    <n v="29.7"/>
    <n v="0"/>
  </r>
  <r>
    <x v="1328"/>
    <x v="6"/>
    <n v="17.600000000000001"/>
    <n v="14.7"/>
  </r>
  <r>
    <x v="1329"/>
    <x v="6"/>
    <n v="10.4"/>
    <n v="27.7"/>
  </r>
  <r>
    <x v="1330"/>
    <x v="11"/>
    <n v="17"/>
    <n v="1.1000000000000001"/>
  </r>
  <r>
    <x v="1331"/>
    <x v="14"/>
    <n v="15.7"/>
    <n v="5.9"/>
  </r>
  <r>
    <x v="1332"/>
    <x v="15"/>
    <n v="23.8"/>
    <n v="4.3"/>
  </r>
  <r>
    <x v="1333"/>
    <x v="7"/>
    <n v="16.2"/>
    <n v="8.6999999999999993"/>
  </r>
  <r>
    <x v="1334"/>
    <x v="1"/>
    <n v="23.3"/>
    <n v="5.8"/>
  </r>
  <r>
    <x v="1335"/>
    <x v="3"/>
    <n v="18.7"/>
    <n v="1.1000000000000001"/>
  </r>
  <r>
    <x v="1336"/>
    <x v="13"/>
    <n v="27.9"/>
    <n v="2.6"/>
  </r>
  <r>
    <x v="1337"/>
    <x v="14"/>
    <n v="19.8"/>
    <n v="0"/>
  </r>
  <r>
    <x v="1338"/>
    <x v="7"/>
    <n v="16.7"/>
    <n v="3.5"/>
  </r>
  <r>
    <x v="1339"/>
    <x v="19"/>
    <n v="28.6"/>
    <n v="0"/>
  </r>
  <r>
    <x v="1340"/>
    <x v="6"/>
    <n v="10.8"/>
    <n v="32.9"/>
  </r>
  <r>
    <x v="1341"/>
    <x v="14"/>
    <n v="12.8"/>
    <n v="0"/>
  </r>
  <r>
    <x v="1342"/>
    <x v="22"/>
    <n v="17.600000000000001"/>
    <n v="0"/>
  </r>
  <r>
    <x v="1343"/>
    <x v="18"/>
    <n v="24.1"/>
    <n v="0"/>
  </r>
  <r>
    <x v="1344"/>
    <x v="7"/>
    <n v="11.4"/>
    <n v="18.2"/>
  </r>
  <r>
    <x v="1345"/>
    <x v="5"/>
    <n v="21.9"/>
    <n v="5.4"/>
  </r>
  <r>
    <x v="1346"/>
    <x v="22"/>
    <n v="16.8"/>
    <n v="1.6"/>
  </r>
  <r>
    <x v="1347"/>
    <x v="2"/>
    <n v="26"/>
    <n v="0"/>
  </r>
  <r>
    <x v="1348"/>
    <x v="7"/>
    <n v="20.2"/>
    <n v="10"/>
  </r>
  <r>
    <x v="1349"/>
    <x v="15"/>
    <n v="20.3"/>
    <n v="37.799999999999997"/>
  </r>
  <r>
    <x v="1350"/>
    <x v="3"/>
    <n v="27.5"/>
    <n v="20.8"/>
  </r>
  <r>
    <x v="1351"/>
    <x v="15"/>
    <n v="24.2"/>
    <n v="2.9"/>
  </r>
  <r>
    <x v="1352"/>
    <x v="7"/>
    <n v="10.7"/>
    <n v="14.3"/>
  </r>
  <r>
    <x v="1353"/>
    <x v="15"/>
    <n v="17.3"/>
    <n v="0"/>
  </r>
  <r>
    <x v="1354"/>
    <x v="7"/>
    <n v="13.5"/>
    <n v="21.1"/>
  </r>
  <r>
    <x v="1355"/>
    <x v="2"/>
    <n v="13.6"/>
    <n v="6"/>
  </r>
  <r>
    <x v="1356"/>
    <x v="1"/>
    <n v="19.899999999999999"/>
    <n v="0"/>
  </r>
  <r>
    <x v="1357"/>
    <x v="14"/>
    <n v="13.1"/>
    <n v="10.199999999999999"/>
  </r>
  <r>
    <x v="1358"/>
    <x v="17"/>
    <n v="29.8"/>
    <n v="1.9"/>
  </r>
  <r>
    <x v="1359"/>
    <x v="24"/>
    <n v="23.7"/>
    <n v="0.3"/>
  </r>
  <r>
    <x v="1360"/>
    <x v="15"/>
    <n v="14"/>
    <n v="0"/>
  </r>
  <r>
    <x v="1361"/>
    <x v="26"/>
    <n v="19"/>
    <n v="0.5"/>
  </r>
  <r>
    <x v="1362"/>
    <x v="28"/>
    <n v="23.9"/>
    <n v="0.5"/>
  </r>
  <r>
    <x v="1363"/>
    <x v="15"/>
    <n v="12.8"/>
    <n v="26.7"/>
  </r>
  <r>
    <x v="1364"/>
    <x v="3"/>
    <n v="26.9"/>
    <n v="4.5"/>
  </r>
  <r>
    <x v="1365"/>
    <x v="22"/>
    <n v="10.6"/>
    <n v="0"/>
  </r>
  <r>
    <x v="1366"/>
    <x v="7"/>
    <n v="21.1"/>
    <n v="10.6"/>
  </r>
  <r>
    <x v="1367"/>
    <x v="2"/>
    <n v="11.7"/>
    <n v="9.9"/>
  </r>
  <r>
    <x v="1368"/>
    <x v="4"/>
    <n v="20.5"/>
    <n v="3.7"/>
  </r>
  <r>
    <x v="1369"/>
    <x v="15"/>
    <n v="27.4"/>
    <n v="10.4"/>
  </r>
  <r>
    <x v="1370"/>
    <x v="6"/>
    <n v="15.8"/>
    <n v="10.199999999999999"/>
  </r>
  <r>
    <x v="1371"/>
    <x v="15"/>
    <n v="19.600000000000001"/>
    <n v="0"/>
  </r>
  <r>
    <x v="1372"/>
    <x v="6"/>
    <n v="16.899999999999999"/>
    <n v="48.4"/>
  </r>
  <r>
    <x v="1373"/>
    <x v="15"/>
    <n v="12.2"/>
    <n v="0"/>
  </r>
  <r>
    <x v="1374"/>
    <x v="6"/>
    <n v="16.600000000000001"/>
    <n v="14.1"/>
  </r>
  <r>
    <x v="1375"/>
    <x v="7"/>
    <n v="27.6"/>
    <n v="0"/>
  </r>
  <r>
    <x v="1376"/>
    <x v="11"/>
    <n v="24.8"/>
    <n v="0"/>
  </r>
  <r>
    <x v="1377"/>
    <x v="6"/>
    <n v="23.1"/>
    <n v="29.8"/>
  </r>
  <r>
    <x v="1378"/>
    <x v="23"/>
    <n v="12.4"/>
    <n v="6.1"/>
  </r>
  <r>
    <x v="1379"/>
    <x v="15"/>
    <n v="13.9"/>
    <n v="21.5"/>
  </r>
  <r>
    <x v="1380"/>
    <x v="16"/>
    <n v="16.600000000000001"/>
    <n v="4.7"/>
  </r>
  <r>
    <x v="1381"/>
    <x v="9"/>
    <n v="17.7"/>
    <n v="14"/>
  </r>
  <r>
    <x v="1382"/>
    <x v="7"/>
    <n v="19"/>
    <n v="1.7"/>
  </r>
  <r>
    <x v="1383"/>
    <x v="3"/>
    <n v="29.9"/>
    <n v="0"/>
  </r>
  <r>
    <x v="1384"/>
    <x v="15"/>
    <n v="23.7"/>
    <n v="31.4"/>
  </r>
  <r>
    <x v="1385"/>
    <x v="6"/>
    <n v="25.4"/>
    <n v="0"/>
  </r>
  <r>
    <x v="1386"/>
    <x v="14"/>
    <n v="24.3"/>
    <n v="15.8"/>
  </r>
  <r>
    <x v="1387"/>
    <x v="3"/>
    <n v="10.8"/>
    <n v="0"/>
  </r>
  <r>
    <x v="1388"/>
    <x v="6"/>
    <n v="19"/>
    <n v="9.1"/>
  </r>
  <r>
    <x v="1389"/>
    <x v="11"/>
    <n v="27.8"/>
    <n v="15.2"/>
  </r>
  <r>
    <x v="1390"/>
    <x v="3"/>
    <n v="28.8"/>
    <n v="0"/>
  </r>
  <r>
    <x v="1391"/>
    <x v="1"/>
    <n v="12.6"/>
    <n v="0.8"/>
  </r>
  <r>
    <x v="1392"/>
    <x v="1"/>
    <n v="20.7"/>
    <n v="0"/>
  </r>
  <r>
    <x v="1393"/>
    <x v="15"/>
    <n v="19.399999999999999"/>
    <n v="19.3"/>
  </r>
  <r>
    <x v="1394"/>
    <x v="6"/>
    <n v="24.3"/>
    <n v="8.8000000000000007"/>
  </r>
  <r>
    <x v="1395"/>
    <x v="15"/>
    <n v="21.2"/>
    <n v="36"/>
  </r>
  <r>
    <x v="1396"/>
    <x v="1"/>
    <n v="28.4"/>
    <n v="0"/>
  </r>
  <r>
    <x v="1397"/>
    <x v="23"/>
    <n v="17.100000000000001"/>
    <n v="5.4"/>
  </r>
  <r>
    <x v="1398"/>
    <x v="6"/>
    <n v="24.4"/>
    <n v="23.8"/>
  </r>
  <r>
    <x v="1399"/>
    <x v="14"/>
    <n v="18.5"/>
    <n v="6"/>
  </r>
  <r>
    <x v="1400"/>
    <x v="15"/>
    <n v="24.1"/>
    <n v="21.5"/>
  </r>
  <r>
    <x v="1401"/>
    <x v="18"/>
    <n v="17.899999999999999"/>
    <n v="5.4"/>
  </r>
  <r>
    <x v="1402"/>
    <x v="18"/>
    <n v="15.8"/>
    <n v="7.4"/>
  </r>
  <r>
    <x v="1403"/>
    <x v="26"/>
    <n v="19.600000000000001"/>
    <n v="0.3"/>
  </r>
  <r>
    <x v="1404"/>
    <x v="15"/>
    <n v="17.7"/>
    <n v="0"/>
  </r>
  <r>
    <x v="1405"/>
    <x v="23"/>
    <n v="19.899999999999999"/>
    <n v="4.7"/>
  </r>
  <r>
    <x v="1406"/>
    <x v="1"/>
    <n v="10.6"/>
    <n v="4.8"/>
  </r>
  <r>
    <x v="1407"/>
    <x v="15"/>
    <n v="25.6"/>
    <n v="17.399999999999999"/>
  </r>
  <r>
    <x v="1408"/>
    <x v="5"/>
    <n v="22.4"/>
    <n v="7.7"/>
  </r>
  <r>
    <x v="1409"/>
    <x v="4"/>
    <n v="14.5"/>
    <n v="3.8"/>
  </r>
  <r>
    <x v="1410"/>
    <x v="5"/>
    <n v="15"/>
    <n v="4.2"/>
  </r>
  <r>
    <x v="1411"/>
    <x v="9"/>
    <n v="24"/>
    <n v="11.5"/>
  </r>
  <r>
    <x v="1412"/>
    <x v="19"/>
    <n v="20.7"/>
    <n v="2.9"/>
  </r>
  <r>
    <x v="1413"/>
    <x v="24"/>
    <n v="13.5"/>
    <n v="0.7"/>
  </r>
  <r>
    <x v="1414"/>
    <x v="15"/>
    <n v="23.7"/>
    <n v="13.1"/>
  </r>
  <r>
    <x v="1415"/>
    <x v="6"/>
    <n v="12.1"/>
    <n v="36"/>
  </r>
  <r>
    <x v="1416"/>
    <x v="9"/>
    <n v="21.8"/>
    <n v="10.9"/>
  </r>
  <r>
    <x v="1417"/>
    <x v="18"/>
    <n v="17.399999999999999"/>
    <n v="0"/>
  </r>
  <r>
    <x v="1418"/>
    <x v="2"/>
    <n v="15.6"/>
    <n v="0"/>
  </r>
  <r>
    <x v="1419"/>
    <x v="9"/>
    <n v="13.7"/>
    <n v="0"/>
  </r>
  <r>
    <x v="1420"/>
    <x v="6"/>
    <n v="24.7"/>
    <n v="16.2"/>
  </r>
  <r>
    <x v="1421"/>
    <x v="11"/>
    <n v="25.3"/>
    <n v="14.2"/>
  </r>
  <r>
    <x v="1422"/>
    <x v="11"/>
    <n v="18.399999999999999"/>
    <n v="0"/>
  </r>
  <r>
    <x v="1423"/>
    <x v="10"/>
    <n v="10.199999999999999"/>
    <n v="0"/>
  </r>
  <r>
    <x v="1424"/>
    <x v="29"/>
    <n v="26.9"/>
    <n v="0"/>
  </r>
  <r>
    <x v="1425"/>
    <x v="4"/>
    <n v="28.2"/>
    <n v="0"/>
  </r>
  <r>
    <x v="1426"/>
    <x v="3"/>
    <n v="15.9"/>
    <n v="0"/>
  </r>
  <r>
    <x v="1427"/>
    <x v="6"/>
    <n v="19.7"/>
    <n v="0"/>
  </r>
  <r>
    <x v="1428"/>
    <x v="3"/>
    <n v="16"/>
    <n v="0"/>
  </r>
  <r>
    <x v="1429"/>
    <x v="2"/>
    <n v="20.8"/>
    <n v="0"/>
  </r>
  <r>
    <x v="1430"/>
    <x v="19"/>
    <n v="12.5"/>
    <n v="0"/>
  </r>
  <r>
    <x v="1431"/>
    <x v="11"/>
    <n v="12.7"/>
    <n v="2.4"/>
  </r>
  <r>
    <x v="1432"/>
    <x v="14"/>
    <n v="23.5"/>
    <n v="11.5"/>
  </r>
  <r>
    <x v="1433"/>
    <x v="10"/>
    <n v="17.8"/>
    <n v="1.8"/>
  </r>
  <r>
    <x v="1434"/>
    <x v="7"/>
    <n v="11"/>
    <n v="0"/>
  </r>
  <r>
    <x v="1435"/>
    <x v="8"/>
    <n v="21.3"/>
    <n v="5.2"/>
  </r>
  <r>
    <x v="1436"/>
    <x v="3"/>
    <n v="19.600000000000001"/>
    <n v="8.1"/>
  </r>
  <r>
    <x v="1437"/>
    <x v="7"/>
    <n v="25.7"/>
    <n v="4.2"/>
  </r>
  <r>
    <x v="1438"/>
    <x v="6"/>
    <n v="20.9"/>
    <n v="28.6"/>
  </r>
  <r>
    <x v="1439"/>
    <x v="15"/>
    <n v="26.4"/>
    <n v="3.2"/>
  </r>
  <r>
    <x v="1440"/>
    <x v="15"/>
    <n v="26.5"/>
    <n v="13.1"/>
  </r>
  <r>
    <x v="1441"/>
    <x v="4"/>
    <n v="11.7"/>
    <n v="0"/>
  </r>
  <r>
    <x v="1442"/>
    <x v="8"/>
    <n v="24.7"/>
    <n v="0.3"/>
  </r>
  <r>
    <x v="1443"/>
    <x v="5"/>
    <n v="24.4"/>
    <n v="9.6"/>
  </r>
  <r>
    <x v="1444"/>
    <x v="15"/>
    <n v="19"/>
    <n v="28.8"/>
  </r>
  <r>
    <x v="1445"/>
    <x v="6"/>
    <n v="13.7"/>
    <n v="19.3"/>
  </r>
  <r>
    <x v="1446"/>
    <x v="6"/>
    <n v="28.9"/>
    <n v="20.399999999999999"/>
  </r>
  <r>
    <x v="1447"/>
    <x v="16"/>
    <n v="25.2"/>
    <n v="0"/>
  </r>
  <r>
    <x v="1448"/>
    <x v="7"/>
    <n v="15.4"/>
    <n v="9"/>
  </r>
  <r>
    <x v="1449"/>
    <x v="12"/>
    <n v="24.1"/>
    <n v="0.3"/>
  </r>
  <r>
    <x v="1450"/>
    <x v="18"/>
    <n v="27.7"/>
    <n v="0"/>
  </r>
  <r>
    <x v="1451"/>
    <x v="7"/>
    <n v="19.600000000000001"/>
    <n v="21.1"/>
  </r>
  <r>
    <x v="1452"/>
    <x v="19"/>
    <n v="29"/>
    <n v="3.2"/>
  </r>
  <r>
    <x v="1453"/>
    <x v="27"/>
    <n v="10.3"/>
    <n v="0.7"/>
  </r>
  <r>
    <x v="1454"/>
    <x v="6"/>
    <n v="11"/>
    <n v="40.200000000000003"/>
  </r>
  <r>
    <x v="1455"/>
    <x v="7"/>
    <n v="28.6"/>
    <n v="0.6"/>
  </r>
  <r>
    <x v="1456"/>
    <x v="13"/>
    <n v="22.5"/>
    <n v="1"/>
  </r>
  <r>
    <x v="1457"/>
    <x v="8"/>
    <n v="19.600000000000001"/>
    <n v="0"/>
  </r>
  <r>
    <x v="1458"/>
    <x v="24"/>
    <n v="19.899999999999999"/>
    <n v="0"/>
  </r>
  <r>
    <x v="1459"/>
    <x v="2"/>
    <n v="21.7"/>
    <n v="9.4"/>
  </r>
  <r>
    <x v="1460"/>
    <x v="8"/>
    <n v="15.3"/>
    <n v="0"/>
  </r>
  <r>
    <x v="1461"/>
    <x v="11"/>
    <n v="20.9"/>
    <n v="12.4"/>
  </r>
  <r>
    <x v="1462"/>
    <x v="1"/>
    <n v="17"/>
    <n v="0"/>
  </r>
  <r>
    <x v="1463"/>
    <x v="2"/>
    <n v="25.8"/>
    <n v="1.4"/>
  </r>
  <r>
    <x v="1464"/>
    <x v="23"/>
    <n v="19.100000000000001"/>
    <n v="2.5"/>
  </r>
  <r>
    <x v="1465"/>
    <x v="9"/>
    <n v="24.6"/>
    <n v="12.5"/>
  </r>
  <r>
    <x v="1466"/>
    <x v="11"/>
    <n v="22.6"/>
    <n v="15.4"/>
  </r>
  <r>
    <x v="1467"/>
    <x v="5"/>
    <n v="18.3"/>
    <n v="4.7"/>
  </r>
  <r>
    <x v="1468"/>
    <x v="3"/>
    <n v="25.5"/>
    <n v="0"/>
  </r>
  <r>
    <x v="1469"/>
    <x v="14"/>
    <n v="26.6"/>
    <n v="0"/>
  </r>
  <r>
    <x v="1470"/>
    <x v="3"/>
    <n v="19.8"/>
    <n v="14.9"/>
  </r>
  <r>
    <x v="1471"/>
    <x v="22"/>
    <n v="23.7"/>
    <n v="0.9"/>
  </r>
  <r>
    <x v="1472"/>
    <x v="20"/>
    <n v="23.5"/>
    <n v="1"/>
  </r>
  <r>
    <x v="1473"/>
    <x v="1"/>
    <n v="18.8"/>
    <n v="7.8"/>
  </r>
  <r>
    <x v="1474"/>
    <x v="2"/>
    <n v="18.7"/>
    <n v="10"/>
  </r>
  <r>
    <x v="1475"/>
    <x v="15"/>
    <n v="28.3"/>
    <n v="21.8"/>
  </r>
  <r>
    <x v="1476"/>
    <x v="18"/>
    <n v="10.6"/>
    <n v="6.4"/>
  </r>
  <r>
    <x v="1477"/>
    <x v="6"/>
    <n v="26.2"/>
    <n v="19.2"/>
  </r>
  <r>
    <x v="1478"/>
    <x v="9"/>
    <n v="25.3"/>
    <n v="8.6999999999999993"/>
  </r>
  <r>
    <x v="1479"/>
    <x v="18"/>
    <n v="21.6"/>
    <n v="1"/>
  </r>
  <r>
    <x v="1480"/>
    <x v="15"/>
    <n v="24.9"/>
    <n v="23.5"/>
  </r>
  <r>
    <x v="1481"/>
    <x v="11"/>
    <n v="27.7"/>
    <n v="11.5"/>
  </r>
  <r>
    <x v="1482"/>
    <x v="15"/>
    <n v="12.3"/>
    <n v="0"/>
  </r>
  <r>
    <x v="1483"/>
    <x v="16"/>
    <n v="10.199999999999999"/>
    <n v="0.8"/>
  </r>
  <r>
    <x v="1484"/>
    <x v="6"/>
    <n v="23.1"/>
    <n v="0"/>
  </r>
  <r>
    <x v="1485"/>
    <x v="14"/>
    <n v="11.3"/>
    <n v="0"/>
  </r>
  <r>
    <x v="1486"/>
    <x v="15"/>
    <n v="29.5"/>
    <n v="10.4"/>
  </r>
  <r>
    <x v="1487"/>
    <x v="11"/>
    <n v="19.7"/>
    <n v="0"/>
  </r>
  <r>
    <x v="1488"/>
    <x v="1"/>
    <n v="27.9"/>
    <n v="3.4"/>
  </r>
  <r>
    <x v="1489"/>
    <x v="6"/>
    <n v="17.399999999999999"/>
    <n v="34.200000000000003"/>
  </r>
  <r>
    <x v="1490"/>
    <x v="13"/>
    <n v="23"/>
    <n v="0"/>
  </r>
  <r>
    <x v="1491"/>
    <x v="17"/>
    <n v="27.6"/>
    <n v="0"/>
  </r>
  <r>
    <x v="1492"/>
    <x v="18"/>
    <n v="11.6"/>
    <n v="0"/>
  </r>
  <r>
    <x v="1493"/>
    <x v="16"/>
    <n v="24.2"/>
    <n v="5"/>
  </r>
  <r>
    <x v="1494"/>
    <x v="2"/>
    <n v="13.2"/>
    <n v="2.2999999999999998"/>
  </r>
  <r>
    <x v="1495"/>
    <x v="3"/>
    <n v="27"/>
    <n v="0.7"/>
  </r>
  <r>
    <x v="1496"/>
    <x v="2"/>
    <n v="23.9"/>
    <n v="6.2"/>
  </r>
  <r>
    <x v="1497"/>
    <x v="15"/>
    <n v="16.8"/>
    <n v="17.600000000000001"/>
  </r>
  <r>
    <x v="1498"/>
    <x v="15"/>
    <n v="28.5"/>
    <n v="15.2"/>
  </r>
  <r>
    <x v="1499"/>
    <x v="29"/>
    <n v="25.2"/>
    <n v="1.9"/>
  </r>
  <r>
    <x v="1500"/>
    <x v="6"/>
    <n v="24.9"/>
    <n v="6.8"/>
  </r>
  <r>
    <x v="1501"/>
    <x v="8"/>
    <n v="14.7"/>
    <n v="5.7"/>
  </r>
  <r>
    <x v="1502"/>
    <x v="6"/>
    <n v="12.2"/>
    <n v="14.1"/>
  </r>
  <r>
    <x v="1503"/>
    <x v="5"/>
    <n v="24.2"/>
    <n v="8"/>
  </r>
  <r>
    <x v="1504"/>
    <x v="18"/>
    <n v="28.7"/>
    <n v="0"/>
  </r>
  <r>
    <x v="1505"/>
    <x v="6"/>
    <n v="28.5"/>
    <n v="0"/>
  </r>
  <r>
    <x v="1506"/>
    <x v="3"/>
    <n v="29.3"/>
    <n v="23.3"/>
  </r>
  <r>
    <x v="1507"/>
    <x v="6"/>
    <n v="13.3"/>
    <n v="4.9000000000000004"/>
  </r>
  <r>
    <x v="1508"/>
    <x v="6"/>
    <n v="22.6"/>
    <n v="0.7"/>
  </r>
  <r>
    <x v="1509"/>
    <x v="16"/>
    <n v="19.3"/>
    <n v="3"/>
  </r>
  <r>
    <x v="1510"/>
    <x v="4"/>
    <n v="17.899999999999999"/>
    <n v="5.0999999999999996"/>
  </r>
  <r>
    <x v="1511"/>
    <x v="16"/>
    <n v="16.7"/>
    <n v="0.3"/>
  </r>
  <r>
    <x v="1512"/>
    <x v="16"/>
    <n v="22"/>
    <n v="0"/>
  </r>
  <r>
    <x v="1513"/>
    <x v="5"/>
    <n v="21.2"/>
    <n v="5.9"/>
  </r>
  <r>
    <x v="1514"/>
    <x v="7"/>
    <n v="20.6"/>
    <n v="4.5999999999999996"/>
  </r>
  <r>
    <x v="1515"/>
    <x v="15"/>
    <n v="29.4"/>
    <n v="9.1999999999999993"/>
  </r>
  <r>
    <x v="1516"/>
    <x v="3"/>
    <n v="21.3"/>
    <n v="0"/>
  </r>
  <r>
    <x v="1517"/>
    <x v="5"/>
    <n v="20.100000000000001"/>
    <n v="2.2000000000000002"/>
  </r>
  <r>
    <x v="1518"/>
    <x v="6"/>
    <n v="12.7"/>
    <n v="5.6"/>
  </r>
  <r>
    <x v="1519"/>
    <x v="7"/>
    <n v="28.9"/>
    <n v="0"/>
  </r>
  <r>
    <x v="1520"/>
    <x v="15"/>
    <n v="24.4"/>
    <n v="28.7"/>
  </r>
  <r>
    <x v="1521"/>
    <x v="6"/>
    <n v="10.8"/>
    <n v="0"/>
  </r>
  <r>
    <x v="1522"/>
    <x v="6"/>
    <n v="18.399999999999999"/>
    <n v="0"/>
  </r>
  <r>
    <x v="1523"/>
    <x v="15"/>
    <n v="23.3"/>
    <n v="10.7"/>
  </r>
  <r>
    <x v="1524"/>
    <x v="11"/>
    <n v="27.9"/>
    <n v="14.8"/>
  </r>
  <r>
    <x v="1525"/>
    <x v="8"/>
    <n v="24.7"/>
    <n v="9"/>
  </r>
  <r>
    <x v="1526"/>
    <x v="15"/>
    <n v="14.3"/>
    <n v="22"/>
  </r>
  <r>
    <x v="1527"/>
    <x v="29"/>
    <n v="26.2"/>
    <n v="2"/>
  </r>
  <r>
    <x v="1528"/>
    <x v="12"/>
    <n v="21.5"/>
    <n v="0.4"/>
  </r>
  <r>
    <x v="1529"/>
    <x v="6"/>
    <n v="12.8"/>
    <n v="0"/>
  </r>
  <r>
    <x v="1530"/>
    <x v="5"/>
    <n v="24.6"/>
    <n v="3"/>
  </r>
  <r>
    <x v="1531"/>
    <x v="23"/>
    <n v="22.6"/>
    <n v="1.6"/>
  </r>
  <r>
    <x v="1532"/>
    <x v="9"/>
    <n v="27.3"/>
    <n v="9.3000000000000007"/>
  </r>
  <r>
    <x v="1533"/>
    <x v="15"/>
    <n v="10.8"/>
    <n v="22.2"/>
  </r>
  <r>
    <x v="1534"/>
    <x v="13"/>
    <n v="12"/>
    <n v="5.3"/>
  </r>
  <r>
    <x v="1535"/>
    <x v="3"/>
    <n v="28.1"/>
    <n v="0"/>
  </r>
  <r>
    <x v="1536"/>
    <x v="7"/>
    <n v="16.100000000000001"/>
    <n v="9"/>
  </r>
  <r>
    <x v="1537"/>
    <x v="14"/>
    <n v="29"/>
    <n v="1.6"/>
  </r>
  <r>
    <x v="1538"/>
    <x v="7"/>
    <n v="23.6"/>
    <n v="16"/>
  </r>
  <r>
    <x v="1539"/>
    <x v="15"/>
    <n v="11.6"/>
    <n v="32"/>
  </r>
  <r>
    <x v="1540"/>
    <x v="11"/>
    <n v="15.9"/>
    <n v="5.5"/>
  </r>
  <r>
    <x v="1541"/>
    <x v="22"/>
    <n v="28.3"/>
    <n v="6"/>
  </r>
  <r>
    <x v="1542"/>
    <x v="8"/>
    <n v="16.600000000000001"/>
    <n v="11.3"/>
  </r>
  <r>
    <x v="1543"/>
    <x v="18"/>
    <n v="25.2"/>
    <n v="6.4"/>
  </r>
  <r>
    <x v="1544"/>
    <x v="6"/>
    <n v="29.5"/>
    <n v="26.1"/>
  </r>
  <r>
    <x v="1545"/>
    <x v="14"/>
    <n v="13.3"/>
    <n v="7.3"/>
  </r>
  <r>
    <x v="1546"/>
    <x v="13"/>
    <n v="19.5"/>
    <n v="3.4"/>
  </r>
  <r>
    <x v="1547"/>
    <x v="21"/>
    <n v="11.9"/>
    <n v="1.7"/>
  </r>
  <r>
    <x v="1548"/>
    <x v="10"/>
    <n v="29.5"/>
    <n v="5.0999999999999996"/>
  </r>
  <r>
    <x v="1549"/>
    <x v="15"/>
    <n v="25.1"/>
    <n v="0"/>
  </r>
  <r>
    <x v="1550"/>
    <x v="18"/>
    <n v="15.1"/>
    <n v="0"/>
  </r>
  <r>
    <x v="1551"/>
    <x v="29"/>
    <n v="19.7"/>
    <n v="1.7"/>
  </r>
  <r>
    <x v="1552"/>
    <x v="15"/>
    <n v="25.6"/>
    <n v="0"/>
  </r>
  <r>
    <x v="1553"/>
    <x v="7"/>
    <n v="25"/>
    <n v="18.8"/>
  </r>
  <r>
    <x v="1554"/>
    <x v="19"/>
    <n v="11.5"/>
    <n v="0"/>
  </r>
  <r>
    <x v="1555"/>
    <x v="6"/>
    <n v="23.8"/>
    <n v="7.3"/>
  </r>
  <r>
    <x v="1556"/>
    <x v="15"/>
    <n v="25.3"/>
    <n v="14.7"/>
  </r>
  <r>
    <x v="1557"/>
    <x v="6"/>
    <n v="22.6"/>
    <n v="42.2"/>
  </r>
  <r>
    <x v="1558"/>
    <x v="10"/>
    <n v="18.100000000000001"/>
    <n v="3.3"/>
  </r>
  <r>
    <x v="1559"/>
    <x v="15"/>
    <n v="17.8"/>
    <n v="0"/>
  </r>
  <r>
    <x v="1560"/>
    <x v="6"/>
    <n v="25.1"/>
    <n v="25.5"/>
  </r>
  <r>
    <x v="1561"/>
    <x v="14"/>
    <n v="12"/>
    <n v="0"/>
  </r>
  <r>
    <x v="1562"/>
    <x v="6"/>
    <n v="23.2"/>
    <n v="0"/>
  </r>
  <r>
    <x v="1563"/>
    <x v="2"/>
    <n v="16"/>
    <n v="7.9"/>
  </r>
  <r>
    <x v="1564"/>
    <x v="11"/>
    <n v="26.5"/>
    <n v="20.2"/>
  </r>
  <r>
    <x v="1565"/>
    <x v="25"/>
    <n v="28.9"/>
    <n v="0.3"/>
  </r>
  <r>
    <x v="1566"/>
    <x v="6"/>
    <n v="26.6"/>
    <n v="0"/>
  </r>
  <r>
    <x v="1567"/>
    <x v="3"/>
    <n v="13.1"/>
    <n v="19.899999999999999"/>
  </r>
  <r>
    <x v="1568"/>
    <x v="6"/>
    <n v="21.5"/>
    <n v="33.4"/>
  </r>
  <r>
    <x v="1569"/>
    <x v="27"/>
    <n v="25.7"/>
    <n v="0"/>
  </r>
  <r>
    <x v="1570"/>
    <x v="15"/>
    <n v="11.8"/>
    <n v="23"/>
  </r>
  <r>
    <x v="1571"/>
    <x v="21"/>
    <n v="12.6"/>
    <n v="0.7"/>
  </r>
  <r>
    <x v="1572"/>
    <x v="23"/>
    <n v="26.2"/>
    <n v="0.3"/>
  </r>
  <r>
    <x v="1573"/>
    <x v="4"/>
    <n v="29.1"/>
    <n v="5"/>
  </r>
  <r>
    <x v="1574"/>
    <x v="18"/>
    <n v="18.899999999999999"/>
    <n v="7.5"/>
  </r>
  <r>
    <x v="1575"/>
    <x v="7"/>
    <n v="10.5"/>
    <n v="7.3"/>
  </r>
  <r>
    <x v="1576"/>
    <x v="19"/>
    <n v="15.1"/>
    <n v="6"/>
  </r>
  <r>
    <x v="1577"/>
    <x v="3"/>
    <n v="27.8"/>
    <n v="8.3000000000000007"/>
  </r>
  <r>
    <x v="1578"/>
    <x v="12"/>
    <n v="11.7"/>
    <n v="0.4"/>
  </r>
  <r>
    <x v="1579"/>
    <x v="6"/>
    <n v="10.5"/>
    <n v="36.9"/>
  </r>
  <r>
    <x v="1580"/>
    <x v="1"/>
    <n v="21"/>
    <n v="7.1"/>
  </r>
  <r>
    <x v="1581"/>
    <x v="20"/>
    <n v="17.399999999999999"/>
    <n v="3.7"/>
  </r>
  <r>
    <x v="1582"/>
    <x v="14"/>
    <n v="21.9"/>
    <n v="7.6"/>
  </r>
  <r>
    <x v="1583"/>
    <x v="14"/>
    <n v="26"/>
    <n v="4.5999999999999996"/>
  </r>
  <r>
    <x v="1584"/>
    <x v="15"/>
    <n v="12.2"/>
    <n v="19.3"/>
  </r>
  <r>
    <x v="1585"/>
    <x v="4"/>
    <n v="22.4"/>
    <n v="0.3"/>
  </r>
  <r>
    <x v="1586"/>
    <x v="18"/>
    <n v="18.600000000000001"/>
    <n v="7.2"/>
  </r>
  <r>
    <x v="1587"/>
    <x v="6"/>
    <n v="17.100000000000001"/>
    <n v="0"/>
  </r>
  <r>
    <x v="1588"/>
    <x v="15"/>
    <n v="25.1"/>
    <n v="24.3"/>
  </r>
  <r>
    <x v="1589"/>
    <x v="7"/>
    <n v="10.4"/>
    <n v="22.2"/>
  </r>
  <r>
    <x v="1590"/>
    <x v="14"/>
    <n v="28.9"/>
    <n v="0"/>
  </r>
  <r>
    <x v="1591"/>
    <x v="27"/>
    <n v="24.1"/>
    <n v="0"/>
  </r>
  <r>
    <x v="1592"/>
    <x v="15"/>
    <n v="23.2"/>
    <n v="22.1"/>
  </r>
  <r>
    <x v="1593"/>
    <x v="9"/>
    <n v="24.1"/>
    <n v="9.3000000000000007"/>
  </r>
  <r>
    <x v="1594"/>
    <x v="6"/>
    <n v="14.6"/>
    <n v="0"/>
  </r>
  <r>
    <x v="1595"/>
    <x v="16"/>
    <n v="17.7"/>
    <n v="0"/>
  </r>
  <r>
    <x v="1596"/>
    <x v="2"/>
    <n v="20.100000000000001"/>
    <n v="11.5"/>
  </r>
  <r>
    <x v="1597"/>
    <x v="4"/>
    <n v="27.5"/>
    <n v="0"/>
  </r>
  <r>
    <x v="1598"/>
    <x v="3"/>
    <n v="10.9"/>
    <n v="9"/>
  </r>
  <r>
    <x v="1599"/>
    <x v="20"/>
    <n v="27.6"/>
    <n v="3.2"/>
  </r>
  <r>
    <x v="1600"/>
    <x v="15"/>
    <n v="24.5"/>
    <n v="15.3"/>
  </r>
  <r>
    <x v="1601"/>
    <x v="13"/>
    <n v="10.8"/>
    <n v="0"/>
  </r>
  <r>
    <x v="1602"/>
    <x v="15"/>
    <n v="28.7"/>
    <n v="27.2"/>
  </r>
  <r>
    <x v="1603"/>
    <x v="5"/>
    <n v="21.5"/>
    <n v="0.6"/>
  </r>
  <r>
    <x v="1604"/>
    <x v="20"/>
    <n v="20.100000000000001"/>
    <n v="0.8"/>
  </r>
  <r>
    <x v="1605"/>
    <x v="15"/>
    <n v="21.3"/>
    <n v="14.6"/>
  </r>
  <r>
    <x v="1606"/>
    <x v="23"/>
    <n v="20.2"/>
    <n v="6.9"/>
  </r>
  <r>
    <x v="1607"/>
    <x v="9"/>
    <n v="16.8"/>
    <n v="7.6"/>
  </r>
  <r>
    <x v="1608"/>
    <x v="2"/>
    <n v="26.5"/>
    <n v="2.5"/>
  </r>
  <r>
    <x v="1609"/>
    <x v="3"/>
    <n v="18.899999999999999"/>
    <n v="0"/>
  </r>
  <r>
    <x v="1610"/>
    <x v="16"/>
    <n v="22.9"/>
    <n v="1.2"/>
  </r>
  <r>
    <x v="1611"/>
    <x v="15"/>
    <n v="11.3"/>
    <n v="32.700000000000003"/>
  </r>
  <r>
    <x v="1612"/>
    <x v="9"/>
    <n v="13"/>
    <n v="1.7"/>
  </r>
  <r>
    <x v="1613"/>
    <x v="4"/>
    <n v="18.3"/>
    <n v="2.5"/>
  </r>
  <r>
    <x v="1614"/>
    <x v="3"/>
    <n v="10.199999999999999"/>
    <n v="14.3"/>
  </r>
  <r>
    <x v="1615"/>
    <x v="7"/>
    <n v="14.5"/>
    <n v="10.5"/>
  </r>
  <r>
    <x v="1616"/>
    <x v="10"/>
    <n v="12.3"/>
    <n v="7.4"/>
  </r>
  <r>
    <x v="1617"/>
    <x v="9"/>
    <n v="17"/>
    <n v="16.899999999999999"/>
  </r>
  <r>
    <x v="1618"/>
    <x v="1"/>
    <n v="17.5"/>
    <n v="0"/>
  </r>
  <r>
    <x v="1619"/>
    <x v="0"/>
    <n v="28.4"/>
    <n v="0"/>
  </r>
  <r>
    <x v="1620"/>
    <x v="15"/>
    <n v="13.1"/>
    <n v="36.6"/>
  </r>
  <r>
    <x v="1621"/>
    <x v="3"/>
    <n v="16.600000000000001"/>
    <n v="6.6"/>
  </r>
  <r>
    <x v="1622"/>
    <x v="15"/>
    <n v="20.2"/>
    <n v="0"/>
  </r>
  <r>
    <x v="1623"/>
    <x v="3"/>
    <n v="26.4"/>
    <n v="11.9"/>
  </r>
  <r>
    <x v="1624"/>
    <x v="6"/>
    <n v="11.8"/>
    <n v="0"/>
  </r>
  <r>
    <x v="1625"/>
    <x v="13"/>
    <n v="19.5"/>
    <n v="6.4"/>
  </r>
  <r>
    <x v="1626"/>
    <x v="15"/>
    <n v="12"/>
    <n v="13.3"/>
  </r>
  <r>
    <x v="1627"/>
    <x v="18"/>
    <n v="16.3"/>
    <n v="7.5"/>
  </r>
  <r>
    <x v="1628"/>
    <x v="13"/>
    <n v="22.8"/>
    <n v="2.7"/>
  </r>
  <r>
    <x v="1629"/>
    <x v="6"/>
    <n v="16.2"/>
    <n v="43.3"/>
  </r>
  <r>
    <x v="1630"/>
    <x v="20"/>
    <n v="11.5"/>
    <n v="3.1"/>
  </r>
  <r>
    <x v="1631"/>
    <x v="9"/>
    <n v="13.5"/>
    <n v="0"/>
  </r>
  <r>
    <x v="1632"/>
    <x v="13"/>
    <n v="16.2"/>
    <n v="6.4"/>
  </r>
  <r>
    <x v="1633"/>
    <x v="6"/>
    <n v="18.5"/>
    <n v="24.9"/>
  </r>
  <r>
    <x v="1634"/>
    <x v="15"/>
    <n v="10.9"/>
    <n v="0"/>
  </r>
  <r>
    <x v="1635"/>
    <x v="13"/>
    <n v="23.9"/>
    <n v="4.5"/>
  </r>
  <r>
    <x v="1636"/>
    <x v="7"/>
    <n v="20.2"/>
    <n v="0"/>
  </r>
  <r>
    <x v="1637"/>
    <x v="3"/>
    <n v="23.3"/>
    <n v="0"/>
  </r>
  <r>
    <x v="1638"/>
    <x v="9"/>
    <n v="26.3"/>
    <n v="2.2000000000000002"/>
  </r>
  <r>
    <x v="1639"/>
    <x v="9"/>
    <n v="20.3"/>
    <n v="16.600000000000001"/>
  </r>
  <r>
    <x v="1640"/>
    <x v="6"/>
    <n v="11.1"/>
    <n v="38"/>
  </r>
  <r>
    <x v="1641"/>
    <x v="1"/>
    <n v="10.7"/>
    <n v="1.2"/>
  </r>
  <r>
    <x v="1642"/>
    <x v="17"/>
    <n v="21.8"/>
    <n v="0"/>
  </r>
  <r>
    <x v="1643"/>
    <x v="3"/>
    <n v="29.7"/>
    <n v="2.5"/>
  </r>
  <r>
    <x v="1644"/>
    <x v="6"/>
    <n v="21.7"/>
    <n v="16.100000000000001"/>
  </r>
  <r>
    <x v="1645"/>
    <x v="6"/>
    <n v="26"/>
    <n v="47.6"/>
  </r>
  <r>
    <x v="1646"/>
    <x v="3"/>
    <n v="18"/>
    <n v="5.3"/>
  </r>
  <r>
    <x v="1647"/>
    <x v="20"/>
    <n v="15.8"/>
    <n v="3.6"/>
  </r>
  <r>
    <x v="1648"/>
    <x v="22"/>
    <n v="14.1"/>
    <n v="6.8"/>
  </r>
  <r>
    <x v="1649"/>
    <x v="20"/>
    <n v="22.3"/>
    <n v="1.8"/>
  </r>
  <r>
    <x v="1650"/>
    <x v="15"/>
    <n v="22.2"/>
    <n v="0"/>
  </r>
  <r>
    <x v="1651"/>
    <x v="2"/>
    <n v="23.8"/>
    <n v="0"/>
  </r>
  <r>
    <x v="1652"/>
    <x v="10"/>
    <n v="10"/>
    <n v="8.1"/>
  </r>
  <r>
    <x v="1653"/>
    <x v="20"/>
    <n v="23.8"/>
    <n v="0"/>
  </r>
  <r>
    <x v="1654"/>
    <x v="19"/>
    <n v="13.4"/>
    <n v="2.6"/>
  </r>
  <r>
    <x v="1655"/>
    <x v="20"/>
    <n v="17"/>
    <n v="1.5"/>
  </r>
  <r>
    <x v="1656"/>
    <x v="2"/>
    <n v="25.5"/>
    <n v="0"/>
  </r>
  <r>
    <x v="1657"/>
    <x v="10"/>
    <n v="19.7"/>
    <n v="0"/>
  </r>
  <r>
    <x v="1658"/>
    <x v="6"/>
    <n v="22.8"/>
    <n v="10.7"/>
  </r>
  <r>
    <x v="1659"/>
    <x v="12"/>
    <n v="25.5"/>
    <n v="0"/>
  </r>
  <r>
    <x v="1660"/>
    <x v="6"/>
    <n v="16.8"/>
    <n v="2.2000000000000002"/>
  </r>
  <r>
    <x v="1661"/>
    <x v="19"/>
    <n v="25.3"/>
    <n v="2.5"/>
  </r>
  <r>
    <x v="1662"/>
    <x v="21"/>
    <n v="26.3"/>
    <n v="0.4"/>
  </r>
  <r>
    <x v="1663"/>
    <x v="9"/>
    <n v="21.9"/>
    <n v="7"/>
  </r>
  <r>
    <x v="1664"/>
    <x v="9"/>
    <n v="11.2"/>
    <n v="0"/>
  </r>
  <r>
    <x v="1665"/>
    <x v="11"/>
    <n v="10.6"/>
    <n v="5.2"/>
  </r>
  <r>
    <x v="1666"/>
    <x v="8"/>
    <n v="17.7"/>
    <n v="1"/>
  </r>
  <r>
    <x v="1667"/>
    <x v="3"/>
    <n v="19.899999999999999"/>
    <n v="0"/>
  </r>
  <r>
    <x v="1668"/>
    <x v="6"/>
    <n v="25.1"/>
    <n v="42.1"/>
  </r>
  <r>
    <x v="1669"/>
    <x v="5"/>
    <n v="18.5"/>
    <n v="0.3"/>
  </r>
  <r>
    <x v="1670"/>
    <x v="6"/>
    <n v="25.5"/>
    <n v="25.3"/>
  </r>
  <r>
    <x v="1671"/>
    <x v="6"/>
    <n v="12.8"/>
    <n v="0"/>
  </r>
  <r>
    <x v="1672"/>
    <x v="15"/>
    <n v="23.6"/>
    <n v="34.299999999999997"/>
  </r>
  <r>
    <x v="1673"/>
    <x v="11"/>
    <n v="13.1"/>
    <n v="2"/>
  </r>
  <r>
    <x v="1674"/>
    <x v="19"/>
    <n v="23"/>
    <n v="0"/>
  </r>
  <r>
    <x v="1675"/>
    <x v="9"/>
    <n v="13"/>
    <n v="15.8"/>
  </r>
  <r>
    <x v="1676"/>
    <x v="5"/>
    <n v="19.5"/>
    <n v="8"/>
  </r>
  <r>
    <x v="1677"/>
    <x v="3"/>
    <n v="19.2"/>
    <n v="0"/>
  </r>
  <r>
    <x v="1678"/>
    <x v="1"/>
    <n v="28.3"/>
    <n v="1.1000000000000001"/>
  </r>
  <r>
    <x v="1679"/>
    <x v="6"/>
    <n v="18.100000000000001"/>
    <n v="0"/>
  </r>
  <r>
    <x v="1680"/>
    <x v="15"/>
    <n v="17.5"/>
    <n v="13.3"/>
  </r>
  <r>
    <x v="1681"/>
    <x v="2"/>
    <n v="26.7"/>
    <n v="12.9"/>
  </r>
  <r>
    <x v="1682"/>
    <x v="15"/>
    <n v="26.6"/>
    <n v="0"/>
  </r>
  <r>
    <x v="1683"/>
    <x v="18"/>
    <n v="12.2"/>
    <n v="1.8"/>
  </r>
  <r>
    <x v="1684"/>
    <x v="3"/>
    <n v="27.4"/>
    <n v="4.8"/>
  </r>
  <r>
    <x v="1685"/>
    <x v="9"/>
    <n v="24.9"/>
    <n v="1.6"/>
  </r>
  <r>
    <x v="1686"/>
    <x v="23"/>
    <n v="21.4"/>
    <n v="5.5"/>
  </r>
  <r>
    <x v="1687"/>
    <x v="25"/>
    <n v="14.1"/>
    <n v="0"/>
  </r>
  <r>
    <x v="1688"/>
    <x v="21"/>
    <n v="15.4"/>
    <n v="2.1"/>
  </r>
  <r>
    <x v="1689"/>
    <x v="9"/>
    <n v="27.7"/>
    <n v="0"/>
  </r>
  <r>
    <x v="1690"/>
    <x v="6"/>
    <n v="15.5"/>
    <n v="43.4"/>
  </r>
  <r>
    <x v="1691"/>
    <x v="3"/>
    <n v="26.8"/>
    <n v="0"/>
  </r>
  <r>
    <x v="1692"/>
    <x v="9"/>
    <n v="23.1"/>
    <n v="9.1"/>
  </r>
  <r>
    <x v="1693"/>
    <x v="2"/>
    <n v="22.8"/>
    <n v="12.9"/>
  </r>
  <r>
    <x v="1694"/>
    <x v="6"/>
    <n v="17.2"/>
    <n v="0"/>
  </r>
  <r>
    <x v="1695"/>
    <x v="6"/>
    <n v="29.3"/>
    <n v="6.1"/>
  </r>
  <r>
    <x v="1696"/>
    <x v="9"/>
    <n v="19.5"/>
    <n v="14.2"/>
  </r>
  <r>
    <x v="1697"/>
    <x v="15"/>
    <n v="28.1"/>
    <n v="9.4"/>
  </r>
  <r>
    <x v="1698"/>
    <x v="7"/>
    <n v="21.1"/>
    <n v="12"/>
  </r>
  <r>
    <x v="1699"/>
    <x v="3"/>
    <n v="23.8"/>
    <n v="13.3"/>
  </r>
  <r>
    <x v="1700"/>
    <x v="20"/>
    <n v="19.399999999999999"/>
    <n v="2.2000000000000002"/>
  </r>
  <r>
    <x v="1701"/>
    <x v="3"/>
    <n v="25.8"/>
    <n v="17.100000000000001"/>
  </r>
  <r>
    <x v="1702"/>
    <x v="3"/>
    <n v="30"/>
    <n v="6.3"/>
  </r>
  <r>
    <x v="1703"/>
    <x v="6"/>
    <n v="11"/>
    <n v="0"/>
  </r>
  <r>
    <x v="1704"/>
    <x v="15"/>
    <n v="27.2"/>
    <n v="0"/>
  </r>
  <r>
    <x v="1705"/>
    <x v="3"/>
    <n v="18.3"/>
    <n v="8.4"/>
  </r>
  <r>
    <x v="1706"/>
    <x v="21"/>
    <n v="14"/>
    <n v="2.5"/>
  </r>
  <r>
    <x v="1707"/>
    <x v="3"/>
    <n v="26.2"/>
    <n v="6.9"/>
  </r>
  <r>
    <x v="1708"/>
    <x v="11"/>
    <n v="25.5"/>
    <n v="8.4"/>
  </r>
  <r>
    <x v="1709"/>
    <x v="14"/>
    <n v="23.1"/>
    <n v="11.4"/>
  </r>
  <r>
    <x v="1710"/>
    <x v="8"/>
    <n v="21.3"/>
    <n v="2.8"/>
  </r>
  <r>
    <x v="1711"/>
    <x v="8"/>
    <n v="16.3"/>
    <n v="7.6"/>
  </r>
  <r>
    <x v="1712"/>
    <x v="10"/>
    <n v="23.7"/>
    <n v="7.6"/>
  </r>
  <r>
    <x v="1713"/>
    <x v="14"/>
    <n v="24.8"/>
    <n v="0"/>
  </r>
  <r>
    <x v="1714"/>
    <x v="29"/>
    <n v="21.7"/>
    <n v="1"/>
  </r>
  <r>
    <x v="1715"/>
    <x v="6"/>
    <n v="16.7"/>
    <n v="21"/>
  </r>
  <r>
    <x v="1716"/>
    <x v="19"/>
    <n v="22.3"/>
    <n v="0.1"/>
  </r>
  <r>
    <x v="1717"/>
    <x v="22"/>
    <n v="13.6"/>
    <n v="0"/>
  </r>
  <r>
    <x v="1718"/>
    <x v="21"/>
    <n v="11.8"/>
    <n v="2.1"/>
  </r>
  <r>
    <x v="1719"/>
    <x v="7"/>
    <n v="11.1"/>
    <n v="0"/>
  </r>
  <r>
    <x v="1720"/>
    <x v="9"/>
    <n v="11.2"/>
    <n v="15"/>
  </r>
  <r>
    <x v="1721"/>
    <x v="19"/>
    <n v="19.100000000000001"/>
    <n v="0"/>
  </r>
  <r>
    <x v="1722"/>
    <x v="6"/>
    <n v="11.1"/>
    <n v="46.3"/>
  </r>
  <r>
    <x v="1723"/>
    <x v="14"/>
    <n v="15.1"/>
    <n v="6.2"/>
  </r>
  <r>
    <x v="1724"/>
    <x v="11"/>
    <n v="21.7"/>
    <n v="0"/>
  </r>
  <r>
    <x v="1725"/>
    <x v="19"/>
    <n v="19.7"/>
    <n v="0.2"/>
  </r>
  <r>
    <x v="1726"/>
    <x v="3"/>
    <n v="17.5"/>
    <n v="2.2000000000000002"/>
  </r>
  <r>
    <x v="1727"/>
    <x v="2"/>
    <n v="18.8"/>
    <n v="11.3"/>
  </r>
  <r>
    <x v="1728"/>
    <x v="26"/>
    <n v="19.600000000000001"/>
    <n v="0.3"/>
  </r>
  <r>
    <x v="1729"/>
    <x v="7"/>
    <n v="24.4"/>
    <n v="22"/>
  </r>
  <r>
    <x v="1730"/>
    <x v="19"/>
    <n v="10.5"/>
    <n v="0.1"/>
  </r>
  <r>
    <x v="1731"/>
    <x v="5"/>
    <n v="23.5"/>
    <n v="0"/>
  </r>
  <r>
    <x v="1732"/>
    <x v="23"/>
    <n v="19.2"/>
    <n v="0"/>
  </r>
  <r>
    <x v="1733"/>
    <x v="2"/>
    <n v="11"/>
    <n v="0"/>
  </r>
  <r>
    <x v="1734"/>
    <x v="7"/>
    <n v="10.4"/>
    <n v="0"/>
  </r>
  <r>
    <x v="1735"/>
    <x v="3"/>
    <n v="11.9"/>
    <n v="9"/>
  </r>
  <r>
    <x v="1736"/>
    <x v="10"/>
    <n v="23.1"/>
    <n v="2"/>
  </r>
  <r>
    <x v="1737"/>
    <x v="15"/>
    <n v="18.600000000000001"/>
    <n v="17.2"/>
  </r>
  <r>
    <x v="1738"/>
    <x v="2"/>
    <n v="21.8"/>
    <n v="12.3"/>
  </r>
  <r>
    <x v="1739"/>
    <x v="10"/>
    <n v="27.7"/>
    <n v="7.4"/>
  </r>
  <r>
    <x v="1740"/>
    <x v="15"/>
    <n v="23.2"/>
    <n v="24"/>
  </r>
  <r>
    <x v="1741"/>
    <x v="15"/>
    <n v="25.8"/>
    <n v="16.100000000000001"/>
  </r>
  <r>
    <x v="1742"/>
    <x v="1"/>
    <n v="19.8"/>
    <n v="6.6"/>
  </r>
  <r>
    <x v="1743"/>
    <x v="14"/>
    <n v="11.2"/>
    <n v="7.5"/>
  </r>
  <r>
    <x v="1744"/>
    <x v="6"/>
    <n v="15.7"/>
    <n v="0"/>
  </r>
  <r>
    <x v="1745"/>
    <x v="26"/>
    <n v="23.6"/>
    <n v="0.6"/>
  </r>
  <r>
    <x v="1746"/>
    <x v="4"/>
    <n v="27.5"/>
    <n v="5.3"/>
  </r>
  <r>
    <x v="1747"/>
    <x v="1"/>
    <n v="17.3"/>
    <n v="0"/>
  </r>
  <r>
    <x v="1748"/>
    <x v="15"/>
    <n v="11.2"/>
    <n v="32.700000000000003"/>
  </r>
  <r>
    <x v="1749"/>
    <x v="7"/>
    <n v="17.8"/>
    <n v="0"/>
  </r>
  <r>
    <x v="1750"/>
    <x v="6"/>
    <n v="16.899999999999999"/>
    <n v="41.8"/>
  </r>
  <r>
    <x v="1751"/>
    <x v="7"/>
    <n v="18.3"/>
    <n v="0"/>
  </r>
  <r>
    <x v="1752"/>
    <x v="13"/>
    <n v="12.2"/>
    <n v="0"/>
  </r>
  <r>
    <x v="1753"/>
    <x v="9"/>
    <n v="21.2"/>
    <n v="0"/>
  </r>
  <r>
    <x v="1754"/>
    <x v="6"/>
    <n v="19.600000000000001"/>
    <n v="48.2"/>
  </r>
  <r>
    <x v="1755"/>
    <x v="5"/>
    <n v="15.6"/>
    <n v="0.6"/>
  </r>
  <r>
    <x v="1756"/>
    <x v="22"/>
    <n v="12.5"/>
    <n v="5.9"/>
  </r>
  <r>
    <x v="1757"/>
    <x v="8"/>
    <n v="29.3"/>
    <n v="0"/>
  </r>
  <r>
    <x v="1758"/>
    <x v="14"/>
    <n v="24.6"/>
    <n v="0"/>
  </r>
  <r>
    <x v="1759"/>
    <x v="5"/>
    <n v="21.2"/>
    <n v="3.1"/>
  </r>
  <r>
    <x v="1760"/>
    <x v="6"/>
    <n v="12.7"/>
    <n v="38.1"/>
  </r>
  <r>
    <x v="1761"/>
    <x v="19"/>
    <n v="20.6"/>
    <n v="5.2"/>
  </r>
  <r>
    <x v="1762"/>
    <x v="8"/>
    <n v="28.3"/>
    <n v="0"/>
  </r>
  <r>
    <x v="1763"/>
    <x v="15"/>
    <n v="15.1"/>
    <n v="22.6"/>
  </r>
  <r>
    <x v="1764"/>
    <x v="11"/>
    <n v="24.8"/>
    <n v="10.5"/>
  </r>
  <r>
    <x v="1765"/>
    <x v="17"/>
    <n v="16.899999999999999"/>
    <n v="1.2"/>
  </r>
  <r>
    <x v="1766"/>
    <x v="17"/>
    <n v="23.4"/>
    <n v="0"/>
  </r>
  <r>
    <x v="1767"/>
    <x v="3"/>
    <n v="10.5"/>
    <n v="22.2"/>
  </r>
  <r>
    <x v="1768"/>
    <x v="6"/>
    <n v="16.2"/>
    <n v="0"/>
  </r>
  <r>
    <x v="1769"/>
    <x v="12"/>
    <n v="29.7"/>
    <n v="0.3"/>
  </r>
  <r>
    <x v="1770"/>
    <x v="6"/>
    <n v="12.8"/>
    <n v="0"/>
  </r>
  <r>
    <x v="1771"/>
    <x v="4"/>
    <n v="19.100000000000001"/>
    <n v="1.7"/>
  </r>
  <r>
    <x v="1772"/>
    <x v="7"/>
    <n v="27.7"/>
    <n v="0"/>
  </r>
  <r>
    <x v="1773"/>
    <x v="10"/>
    <n v="22"/>
    <n v="5.9"/>
  </r>
  <r>
    <x v="1774"/>
    <x v="2"/>
    <n v="19.600000000000001"/>
    <n v="2.7"/>
  </r>
  <r>
    <x v="1775"/>
    <x v="4"/>
    <n v="16"/>
    <n v="0.3"/>
  </r>
  <r>
    <x v="1776"/>
    <x v="1"/>
    <n v="14"/>
    <n v="1.3"/>
  </r>
  <r>
    <x v="1777"/>
    <x v="11"/>
    <n v="29.5"/>
    <n v="3.3"/>
  </r>
  <r>
    <x v="1778"/>
    <x v="3"/>
    <n v="12.2"/>
    <n v="0"/>
  </r>
  <r>
    <x v="1779"/>
    <x v="7"/>
    <n v="15"/>
    <n v="7.4"/>
  </r>
  <r>
    <x v="1780"/>
    <x v="16"/>
    <n v="10.4"/>
    <n v="2"/>
  </r>
  <r>
    <x v="1781"/>
    <x v="15"/>
    <n v="18.600000000000001"/>
    <n v="4.5999999999999996"/>
  </r>
  <r>
    <x v="1782"/>
    <x v="14"/>
    <n v="23.7"/>
    <n v="7.2"/>
  </r>
  <r>
    <x v="1783"/>
    <x v="1"/>
    <n v="27.2"/>
    <n v="0"/>
  </r>
  <r>
    <x v="1784"/>
    <x v="11"/>
    <n v="11.3"/>
    <n v="18.8"/>
  </r>
  <r>
    <x v="1785"/>
    <x v="3"/>
    <n v="22.1"/>
    <n v="0"/>
  </r>
  <r>
    <x v="1786"/>
    <x v="8"/>
    <n v="11"/>
    <n v="0"/>
  </r>
  <r>
    <x v="1787"/>
    <x v="15"/>
    <n v="14.7"/>
    <n v="0"/>
  </r>
  <r>
    <x v="1788"/>
    <x v="15"/>
    <n v="10.4"/>
    <n v="14.4"/>
  </r>
  <r>
    <x v="1789"/>
    <x v="20"/>
    <n v="29.6"/>
    <n v="2.8"/>
  </r>
  <r>
    <x v="1790"/>
    <x v="14"/>
    <n v="11.3"/>
    <n v="7.2"/>
  </r>
  <r>
    <x v="1791"/>
    <x v="16"/>
    <n v="22.4"/>
    <n v="0"/>
  </r>
  <r>
    <x v="1792"/>
    <x v="15"/>
    <n v="19.600000000000001"/>
    <n v="28.7"/>
  </r>
  <r>
    <x v="1793"/>
    <x v="2"/>
    <n v="28.5"/>
    <n v="12.9"/>
  </r>
  <r>
    <x v="1794"/>
    <x v="20"/>
    <n v="10.9"/>
    <n v="0"/>
  </r>
  <r>
    <x v="1795"/>
    <x v="9"/>
    <n v="13.4"/>
    <n v="15.7"/>
  </r>
  <r>
    <x v="1796"/>
    <x v="15"/>
    <n v="27.3"/>
    <n v="0"/>
  </r>
  <r>
    <x v="1797"/>
    <x v="5"/>
    <n v="23.6"/>
    <n v="0"/>
  </r>
  <r>
    <x v="1798"/>
    <x v="3"/>
    <n v="26.5"/>
    <n v="20.3"/>
  </r>
  <r>
    <x v="1799"/>
    <x v="5"/>
    <n v="23.6"/>
    <n v="6.5"/>
  </r>
  <r>
    <x v="1800"/>
    <x v="7"/>
    <n v="22.4"/>
    <n v="13.3"/>
  </r>
  <r>
    <x v="1801"/>
    <x v="14"/>
    <n v="22"/>
    <n v="15.5"/>
  </r>
  <r>
    <x v="1802"/>
    <x v="23"/>
    <n v="10.8"/>
    <n v="0.4"/>
  </r>
  <r>
    <x v="1803"/>
    <x v="11"/>
    <n v="21.6"/>
    <n v="0"/>
  </r>
  <r>
    <x v="1804"/>
    <x v="4"/>
    <n v="10.1"/>
    <n v="0"/>
  </r>
  <r>
    <x v="1805"/>
    <x v="7"/>
    <n v="29"/>
    <n v="12.6"/>
  </r>
  <r>
    <x v="1806"/>
    <x v="4"/>
    <n v="16.399999999999999"/>
    <n v="3.7"/>
  </r>
  <r>
    <x v="1807"/>
    <x v="15"/>
    <n v="13.5"/>
    <n v="38.5"/>
  </r>
  <r>
    <x v="1808"/>
    <x v="10"/>
    <n v="18.100000000000001"/>
    <n v="3"/>
  </r>
  <r>
    <x v="1809"/>
    <x v="3"/>
    <n v="20.399999999999999"/>
    <n v="11.7"/>
  </r>
  <r>
    <x v="1810"/>
    <x v="11"/>
    <n v="29.6"/>
    <n v="0.9"/>
  </r>
  <r>
    <x v="1811"/>
    <x v="28"/>
    <n v="11.4"/>
    <n v="0.6"/>
  </r>
  <r>
    <x v="1812"/>
    <x v="7"/>
    <n v="28.8"/>
    <n v="14.1"/>
  </r>
  <r>
    <x v="1813"/>
    <x v="6"/>
    <n v="11.8"/>
    <n v="42.4"/>
  </r>
  <r>
    <x v="1814"/>
    <x v="3"/>
    <n v="11.5"/>
    <n v="10.1"/>
  </r>
  <r>
    <x v="1815"/>
    <x v="9"/>
    <n v="13.6"/>
    <n v="8.4"/>
  </r>
  <r>
    <x v="1816"/>
    <x v="27"/>
    <n v="14.1"/>
    <n v="0.7"/>
  </r>
  <r>
    <x v="1817"/>
    <x v="15"/>
    <n v="19.399999999999999"/>
    <n v="32.700000000000003"/>
  </r>
  <r>
    <x v="1818"/>
    <x v="29"/>
    <n v="28.5"/>
    <n v="0"/>
  </r>
  <r>
    <x v="1819"/>
    <x v="15"/>
    <n v="23.7"/>
    <n v="12.2"/>
  </r>
  <r>
    <x v="1820"/>
    <x v="16"/>
    <n v="21.7"/>
    <n v="0"/>
  </r>
  <r>
    <x v="1821"/>
    <x v="2"/>
    <n v="13.3"/>
    <n v="0"/>
  </r>
  <r>
    <x v="1822"/>
    <x v="5"/>
    <n v="14.4"/>
    <n v="0"/>
  </r>
  <r>
    <x v="1823"/>
    <x v="7"/>
    <n v="28.5"/>
    <n v="21.5"/>
  </r>
  <r>
    <x v="1824"/>
    <x v="15"/>
    <n v="20.5"/>
    <n v="0"/>
  </r>
  <r>
    <x v="1825"/>
    <x v="6"/>
    <n v="11.4"/>
    <n v="39"/>
  </r>
  <r>
    <x v="1826"/>
    <x v="5"/>
    <n v="12.5"/>
    <n v="0"/>
  </r>
  <r>
    <x v="1827"/>
    <x v="11"/>
    <n v="16.600000000000001"/>
    <n v="4.5999999999999996"/>
  </r>
  <r>
    <x v="1828"/>
    <x v="11"/>
    <n v="10.6"/>
    <n v="11.3"/>
  </r>
  <r>
    <x v="1829"/>
    <x v="3"/>
    <n v="27.9"/>
    <n v="16.100000000000001"/>
  </r>
  <r>
    <x v="1830"/>
    <x v="6"/>
    <n v="11.1"/>
    <n v="28.2"/>
  </r>
  <r>
    <x v="1831"/>
    <x v="3"/>
    <n v="21.5"/>
    <n v="12.8"/>
  </r>
  <r>
    <x v="1832"/>
    <x v="2"/>
    <n v="28.4"/>
    <n v="4.5999999999999996"/>
  </r>
  <r>
    <x v="1833"/>
    <x v="18"/>
    <n v="18.100000000000001"/>
    <n v="5.9"/>
  </r>
  <r>
    <x v="1834"/>
    <x v="16"/>
    <n v="25.3"/>
    <n v="0"/>
  </r>
  <r>
    <x v="1835"/>
    <x v="5"/>
    <n v="15.6"/>
    <n v="10.6"/>
  </r>
  <r>
    <x v="1836"/>
    <x v="15"/>
    <n v="19.899999999999999"/>
    <n v="0"/>
  </r>
  <r>
    <x v="1837"/>
    <x v="3"/>
    <n v="24.7"/>
    <n v="14.7"/>
  </r>
  <r>
    <x v="1838"/>
    <x v="19"/>
    <n v="21.9"/>
    <n v="5.6"/>
  </r>
  <r>
    <x v="1839"/>
    <x v="10"/>
    <n v="18"/>
    <n v="6.2"/>
  </r>
  <r>
    <x v="1840"/>
    <x v="25"/>
    <n v="24.5"/>
    <n v="0.6"/>
  </r>
  <r>
    <x v="1841"/>
    <x v="4"/>
    <n v="10.9"/>
    <n v="0"/>
  </r>
  <r>
    <x v="1842"/>
    <x v="22"/>
    <n v="11.3"/>
    <n v="2.7"/>
  </r>
  <r>
    <x v="1843"/>
    <x v="6"/>
    <n v="13.2"/>
    <n v="30"/>
  </r>
  <r>
    <x v="1844"/>
    <x v="4"/>
    <n v="18.7"/>
    <n v="4.7"/>
  </r>
  <r>
    <x v="1845"/>
    <x v="4"/>
    <n v="12.1"/>
    <n v="1.5"/>
  </r>
  <r>
    <x v="1846"/>
    <x v="11"/>
    <n v="11.9"/>
    <n v="1.3"/>
  </r>
  <r>
    <x v="1847"/>
    <x v="22"/>
    <n v="17.7"/>
    <n v="2.6"/>
  </r>
  <r>
    <x v="1848"/>
    <x v="17"/>
    <n v="25.9"/>
    <n v="0.8"/>
  </r>
  <r>
    <x v="1849"/>
    <x v="2"/>
    <n v="27.7"/>
    <n v="0"/>
  </r>
  <r>
    <x v="1850"/>
    <x v="9"/>
    <n v="13.3"/>
    <n v="13.3"/>
  </r>
  <r>
    <x v="1851"/>
    <x v="15"/>
    <n v="11.7"/>
    <n v="4.9000000000000004"/>
  </r>
  <r>
    <x v="1852"/>
    <x v="22"/>
    <n v="26.5"/>
    <n v="4.5"/>
  </r>
  <r>
    <x v="1853"/>
    <x v="23"/>
    <n v="18.7"/>
    <n v="2.2999999999999998"/>
  </r>
  <r>
    <x v="1854"/>
    <x v="18"/>
    <n v="11.7"/>
    <n v="6"/>
  </r>
  <r>
    <x v="1855"/>
    <x v="15"/>
    <n v="27.5"/>
    <n v="22.6"/>
  </r>
  <r>
    <x v="1856"/>
    <x v="23"/>
    <n v="27.4"/>
    <n v="0"/>
  </r>
  <r>
    <x v="1857"/>
    <x v="7"/>
    <n v="14.8"/>
    <n v="0"/>
  </r>
  <r>
    <x v="1858"/>
    <x v="13"/>
    <n v="26.2"/>
    <n v="0"/>
  </r>
  <r>
    <x v="1859"/>
    <x v="11"/>
    <n v="12.9"/>
    <n v="17.899999999999999"/>
  </r>
  <r>
    <x v="1860"/>
    <x v="21"/>
    <n v="12.5"/>
    <n v="0"/>
  </r>
  <r>
    <x v="1861"/>
    <x v="20"/>
    <n v="12.3"/>
    <n v="0"/>
  </r>
  <r>
    <x v="1862"/>
    <x v="1"/>
    <n v="19.399999999999999"/>
    <n v="0"/>
  </r>
  <r>
    <x v="1863"/>
    <x v="11"/>
    <n v="20.9"/>
    <n v="0"/>
  </r>
  <r>
    <x v="1864"/>
    <x v="5"/>
    <n v="10.4"/>
    <n v="0"/>
  </r>
  <r>
    <x v="1865"/>
    <x v="7"/>
    <n v="22.2"/>
    <n v="2.5"/>
  </r>
  <r>
    <x v="1866"/>
    <x v="6"/>
    <n v="16.8"/>
    <n v="0"/>
  </r>
  <r>
    <x v="1867"/>
    <x v="15"/>
    <n v="21.7"/>
    <n v="33.299999999999997"/>
  </r>
  <r>
    <x v="1868"/>
    <x v="7"/>
    <n v="10.199999999999999"/>
    <n v="16.600000000000001"/>
  </r>
  <r>
    <x v="1869"/>
    <x v="6"/>
    <n v="16.5"/>
    <n v="0"/>
  </r>
  <r>
    <x v="1870"/>
    <x v="12"/>
    <n v="29.1"/>
    <n v="0.5"/>
  </r>
  <r>
    <x v="1871"/>
    <x v="7"/>
    <n v="17.8"/>
    <n v="0"/>
  </r>
  <r>
    <x v="1872"/>
    <x v="6"/>
    <n v="10"/>
    <n v="0"/>
  </r>
  <r>
    <x v="1873"/>
    <x v="5"/>
    <n v="15.5"/>
    <n v="8.6"/>
  </r>
  <r>
    <x v="1874"/>
    <x v="6"/>
    <n v="15.3"/>
    <n v="21.4"/>
  </r>
  <r>
    <x v="1875"/>
    <x v="8"/>
    <n v="23.7"/>
    <n v="0"/>
  </r>
  <r>
    <x v="1876"/>
    <x v="7"/>
    <n v="26.1"/>
    <n v="12.5"/>
  </r>
  <r>
    <x v="1877"/>
    <x v="7"/>
    <n v="13.4"/>
    <n v="0"/>
  </r>
  <r>
    <x v="1878"/>
    <x v="1"/>
    <n v="17.8"/>
    <n v="3.7"/>
  </r>
  <r>
    <x v="1879"/>
    <x v="20"/>
    <n v="13"/>
    <n v="2.7"/>
  </r>
  <r>
    <x v="1880"/>
    <x v="3"/>
    <n v="28.2"/>
    <n v="0"/>
  </r>
  <r>
    <x v="1881"/>
    <x v="6"/>
    <n v="23"/>
    <n v="0"/>
  </r>
  <r>
    <x v="1882"/>
    <x v="3"/>
    <n v="21.5"/>
    <n v="0"/>
  </r>
  <r>
    <x v="1883"/>
    <x v="14"/>
    <n v="22.3"/>
    <n v="0"/>
  </r>
  <r>
    <x v="1884"/>
    <x v="6"/>
    <n v="28.2"/>
    <n v="0"/>
  </r>
  <r>
    <x v="1885"/>
    <x v="20"/>
    <n v="11.9"/>
    <n v="3.4"/>
  </r>
  <r>
    <x v="1886"/>
    <x v="14"/>
    <n v="20.9"/>
    <n v="7.5"/>
  </r>
  <r>
    <x v="1887"/>
    <x v="28"/>
    <n v="18.399999999999999"/>
    <n v="0.2"/>
  </r>
  <r>
    <x v="1888"/>
    <x v="6"/>
    <n v="27.8"/>
    <n v="35.9"/>
  </r>
  <r>
    <x v="1889"/>
    <x v="15"/>
    <n v="20.7"/>
    <n v="14.7"/>
  </r>
  <r>
    <x v="1890"/>
    <x v="1"/>
    <n v="13"/>
    <n v="0"/>
  </r>
  <r>
    <x v="1891"/>
    <x v="15"/>
    <n v="29.4"/>
    <n v="0"/>
  </r>
  <r>
    <x v="1892"/>
    <x v="2"/>
    <n v="19.8"/>
    <n v="13.9"/>
  </r>
  <r>
    <x v="1893"/>
    <x v="7"/>
    <n v="10.9"/>
    <n v="17"/>
  </r>
  <r>
    <x v="1894"/>
    <x v="6"/>
    <n v="27.3"/>
    <n v="15.8"/>
  </r>
  <r>
    <x v="1895"/>
    <x v="15"/>
    <n v="16.399999999999999"/>
    <n v="0"/>
  </r>
  <r>
    <x v="1896"/>
    <x v="11"/>
    <n v="28"/>
    <n v="9.6999999999999993"/>
  </r>
  <r>
    <x v="1897"/>
    <x v="3"/>
    <n v="17.399999999999999"/>
    <n v="6.6"/>
  </r>
  <r>
    <x v="1898"/>
    <x v="4"/>
    <n v="25.7"/>
    <n v="0.7"/>
  </r>
  <r>
    <x v="1899"/>
    <x v="15"/>
    <n v="20.100000000000001"/>
    <n v="11"/>
  </r>
  <r>
    <x v="1900"/>
    <x v="15"/>
    <n v="17.899999999999999"/>
    <n v="0"/>
  </r>
  <r>
    <x v="1901"/>
    <x v="7"/>
    <n v="10.7"/>
    <n v="6.4"/>
  </r>
  <r>
    <x v="1902"/>
    <x v="5"/>
    <n v="20.399999999999999"/>
    <n v="0"/>
  </r>
  <r>
    <x v="1903"/>
    <x v="8"/>
    <n v="25.4"/>
    <n v="1"/>
  </r>
  <r>
    <x v="1904"/>
    <x v="4"/>
    <n v="10.9"/>
    <n v="0.2"/>
  </r>
  <r>
    <x v="1905"/>
    <x v="23"/>
    <n v="18.5"/>
    <n v="0.5"/>
  </r>
  <r>
    <x v="1906"/>
    <x v="6"/>
    <n v="14.8"/>
    <n v="50.3"/>
  </r>
  <r>
    <x v="1907"/>
    <x v="14"/>
    <n v="28.5"/>
    <n v="0.7"/>
  </r>
  <r>
    <x v="1908"/>
    <x v="27"/>
    <n v="19.399999999999999"/>
    <n v="0"/>
  </r>
  <r>
    <x v="1909"/>
    <x v="19"/>
    <n v="20.7"/>
    <n v="4.7"/>
  </r>
  <r>
    <x v="1910"/>
    <x v="22"/>
    <n v="25.7"/>
    <n v="0"/>
  </r>
  <r>
    <x v="1911"/>
    <x v="15"/>
    <n v="21.4"/>
    <n v="0"/>
  </r>
  <r>
    <x v="1912"/>
    <x v="6"/>
    <n v="19.2"/>
    <n v="0"/>
  </r>
  <r>
    <x v="1913"/>
    <x v="14"/>
    <n v="19.399999999999999"/>
    <n v="14.2"/>
  </r>
  <r>
    <x v="1914"/>
    <x v="15"/>
    <n v="24.2"/>
    <n v="1.9"/>
  </r>
  <r>
    <x v="1915"/>
    <x v="3"/>
    <n v="27.7"/>
    <n v="19.5"/>
  </r>
  <r>
    <x v="1916"/>
    <x v="1"/>
    <n v="16.899999999999999"/>
    <n v="4.0999999999999996"/>
  </r>
  <r>
    <x v="1917"/>
    <x v="15"/>
    <n v="11.8"/>
    <n v="0"/>
  </r>
  <r>
    <x v="1918"/>
    <x v="8"/>
    <n v="15.7"/>
    <n v="9.4"/>
  </r>
  <r>
    <x v="1919"/>
    <x v="2"/>
    <n v="14.2"/>
    <n v="0"/>
  </r>
  <r>
    <x v="1920"/>
    <x v="11"/>
    <n v="18.100000000000001"/>
    <n v="13.1"/>
  </r>
  <r>
    <x v="1921"/>
    <x v="15"/>
    <n v="21.9"/>
    <n v="27.5"/>
  </r>
  <r>
    <x v="1922"/>
    <x v="6"/>
    <n v="28"/>
    <n v="2.1"/>
  </r>
  <r>
    <x v="1923"/>
    <x v="9"/>
    <n v="14.2"/>
    <n v="7"/>
  </r>
  <r>
    <x v="1924"/>
    <x v="9"/>
    <n v="11.1"/>
    <n v="0"/>
  </r>
  <r>
    <x v="1925"/>
    <x v="10"/>
    <n v="11.8"/>
    <n v="6"/>
  </r>
  <r>
    <x v="1926"/>
    <x v="29"/>
    <n v="26.8"/>
    <n v="0.9"/>
  </r>
  <r>
    <x v="1927"/>
    <x v="6"/>
    <n v="27.3"/>
    <n v="44.5"/>
  </r>
  <r>
    <x v="1928"/>
    <x v="4"/>
    <n v="14.3"/>
    <n v="3.7"/>
  </r>
  <r>
    <x v="1929"/>
    <x v="1"/>
    <n v="19.399999999999999"/>
    <n v="0"/>
  </r>
  <r>
    <x v="1930"/>
    <x v="15"/>
    <n v="26.5"/>
    <n v="0"/>
  </r>
  <r>
    <x v="1931"/>
    <x v="15"/>
    <n v="28.3"/>
    <n v="14.4"/>
  </r>
  <r>
    <x v="1932"/>
    <x v="23"/>
    <n v="19.8"/>
    <n v="0"/>
  </r>
  <r>
    <x v="1933"/>
    <x v="6"/>
    <n v="16"/>
    <n v="28.7"/>
  </r>
  <r>
    <x v="1934"/>
    <x v="15"/>
    <n v="14.5"/>
    <n v="12"/>
  </r>
  <r>
    <x v="1935"/>
    <x v="11"/>
    <n v="14.3"/>
    <n v="13"/>
  </r>
  <r>
    <x v="1936"/>
    <x v="14"/>
    <n v="12.7"/>
    <n v="10.7"/>
  </r>
  <r>
    <x v="1937"/>
    <x v="18"/>
    <n v="12.6"/>
    <n v="0"/>
  </r>
  <r>
    <x v="1938"/>
    <x v="22"/>
    <n v="19.899999999999999"/>
    <n v="6.6"/>
  </r>
  <r>
    <x v="1939"/>
    <x v="3"/>
    <n v="27.4"/>
    <n v="6.6"/>
  </r>
  <r>
    <x v="1940"/>
    <x v="15"/>
    <n v="27.4"/>
    <n v="0"/>
  </r>
  <r>
    <x v="1941"/>
    <x v="24"/>
    <n v="11.2"/>
    <n v="0.3"/>
  </r>
  <r>
    <x v="1942"/>
    <x v="7"/>
    <n v="19.899999999999999"/>
    <n v="19.399999999999999"/>
  </r>
  <r>
    <x v="1943"/>
    <x v="0"/>
    <n v="13"/>
    <n v="0.4"/>
  </r>
  <r>
    <x v="1944"/>
    <x v="14"/>
    <n v="25.4"/>
    <n v="12.4"/>
  </r>
  <r>
    <x v="1945"/>
    <x v="5"/>
    <n v="23.5"/>
    <n v="0.7"/>
  </r>
  <r>
    <x v="1946"/>
    <x v="18"/>
    <n v="16"/>
    <n v="0.1"/>
  </r>
  <r>
    <x v="1947"/>
    <x v="2"/>
    <n v="25"/>
    <n v="11.7"/>
  </r>
  <r>
    <x v="1948"/>
    <x v="27"/>
    <n v="22.2"/>
    <n v="0.9"/>
  </r>
  <r>
    <x v="1949"/>
    <x v="20"/>
    <n v="29.6"/>
    <n v="0"/>
  </r>
  <r>
    <x v="1950"/>
    <x v="6"/>
    <n v="10.1"/>
    <n v="0"/>
  </r>
  <r>
    <x v="1951"/>
    <x v="5"/>
    <n v="26.3"/>
    <n v="6.7"/>
  </r>
  <r>
    <x v="1952"/>
    <x v="6"/>
    <n v="27.3"/>
    <n v="15.3"/>
  </r>
  <r>
    <x v="1953"/>
    <x v="7"/>
    <n v="27.8"/>
    <n v="0"/>
  </r>
  <r>
    <x v="1954"/>
    <x v="2"/>
    <n v="16.7"/>
    <n v="4.9000000000000004"/>
  </r>
  <r>
    <x v="1955"/>
    <x v="11"/>
    <n v="15"/>
    <n v="9.4"/>
  </r>
  <r>
    <x v="1956"/>
    <x v="6"/>
    <n v="10.4"/>
    <n v="28.5"/>
  </r>
  <r>
    <x v="1957"/>
    <x v="11"/>
    <n v="18.100000000000001"/>
    <n v="9.6"/>
  </r>
  <r>
    <x v="1958"/>
    <x v="29"/>
    <n v="26.7"/>
    <n v="1.5"/>
  </r>
  <r>
    <x v="1959"/>
    <x v="9"/>
    <n v="22.9"/>
    <n v="8.9"/>
  </r>
  <r>
    <x v="1960"/>
    <x v="11"/>
    <n v="29.3"/>
    <n v="0"/>
  </r>
  <r>
    <x v="1961"/>
    <x v="3"/>
    <n v="26.4"/>
    <n v="3.2"/>
  </r>
  <r>
    <x v="1962"/>
    <x v="14"/>
    <n v="20"/>
    <n v="7.3"/>
  </r>
  <r>
    <x v="1963"/>
    <x v="7"/>
    <n v="17.100000000000001"/>
    <n v="0"/>
  </r>
  <r>
    <x v="1964"/>
    <x v="1"/>
    <n v="18.8"/>
    <n v="0"/>
  </r>
  <r>
    <x v="1965"/>
    <x v="9"/>
    <n v="12.6"/>
    <n v="4.4000000000000004"/>
  </r>
  <r>
    <x v="1966"/>
    <x v="18"/>
    <n v="24"/>
    <n v="0"/>
  </r>
  <r>
    <x v="1967"/>
    <x v="15"/>
    <n v="13.4"/>
    <n v="35.6"/>
  </r>
  <r>
    <x v="1968"/>
    <x v="6"/>
    <n v="25.7"/>
    <n v="21.1"/>
  </r>
  <r>
    <x v="1969"/>
    <x v="17"/>
    <n v="24.9"/>
    <n v="2"/>
  </r>
  <r>
    <x v="1970"/>
    <x v="7"/>
    <n v="12.5"/>
    <n v="0"/>
  </r>
  <r>
    <x v="1971"/>
    <x v="6"/>
    <n v="21.8"/>
    <n v="0"/>
  </r>
  <r>
    <x v="1972"/>
    <x v="1"/>
    <n v="15.8"/>
    <n v="6.7"/>
  </r>
  <r>
    <x v="1973"/>
    <x v="8"/>
    <n v="13.9"/>
    <n v="0"/>
  </r>
  <r>
    <x v="1974"/>
    <x v="16"/>
    <n v="12.2"/>
    <n v="4.4000000000000004"/>
  </r>
  <r>
    <x v="1975"/>
    <x v="7"/>
    <n v="12.2"/>
    <n v="0"/>
  </r>
  <r>
    <x v="1976"/>
    <x v="15"/>
    <n v="13.7"/>
    <n v="28"/>
  </r>
  <r>
    <x v="1977"/>
    <x v="13"/>
    <n v="27.9"/>
    <n v="0"/>
  </r>
  <r>
    <x v="1978"/>
    <x v="9"/>
    <n v="25.6"/>
    <n v="1.7"/>
  </r>
  <r>
    <x v="1979"/>
    <x v="10"/>
    <n v="11.7"/>
    <n v="4.5999999999999996"/>
  </r>
  <r>
    <x v="1980"/>
    <x v="4"/>
    <n v="27.3"/>
    <n v="0"/>
  </r>
  <r>
    <x v="1981"/>
    <x v="7"/>
    <n v="25.6"/>
    <n v="18.2"/>
  </r>
  <r>
    <x v="1982"/>
    <x v="24"/>
    <n v="23.6"/>
    <n v="0.1"/>
  </r>
  <r>
    <x v="1983"/>
    <x v="6"/>
    <n v="14.6"/>
    <n v="0"/>
  </r>
  <r>
    <x v="1984"/>
    <x v="5"/>
    <n v="17.399999999999999"/>
    <n v="7.8"/>
  </r>
  <r>
    <x v="1985"/>
    <x v="6"/>
    <n v="27.4"/>
    <n v="0"/>
  </r>
  <r>
    <x v="1986"/>
    <x v="15"/>
    <n v="15.2"/>
    <n v="5.9"/>
  </r>
  <r>
    <x v="1987"/>
    <x v="25"/>
    <n v="11.6"/>
    <n v="0"/>
  </r>
  <r>
    <x v="1988"/>
    <x v="22"/>
    <n v="10.8"/>
    <n v="1.6"/>
  </r>
  <r>
    <x v="1989"/>
    <x v="18"/>
    <n v="12"/>
    <n v="3.9"/>
  </r>
  <r>
    <x v="1990"/>
    <x v="22"/>
    <n v="14"/>
    <n v="5"/>
  </r>
  <r>
    <x v="1991"/>
    <x v="15"/>
    <n v="26.4"/>
    <n v="0"/>
  </r>
  <r>
    <x v="1992"/>
    <x v="11"/>
    <n v="23"/>
    <n v="20.100000000000001"/>
  </r>
  <r>
    <x v="1993"/>
    <x v="4"/>
    <n v="20.5"/>
    <n v="1.1000000000000001"/>
  </r>
  <r>
    <x v="1994"/>
    <x v="10"/>
    <n v="15.9"/>
    <n v="3.1"/>
  </r>
  <r>
    <x v="1995"/>
    <x v="6"/>
    <n v="20.8"/>
    <n v="6.9"/>
  </r>
  <r>
    <x v="1996"/>
    <x v="17"/>
    <n v="12.9"/>
    <n v="1.5"/>
  </r>
  <r>
    <x v="1997"/>
    <x v="15"/>
    <n v="11.6"/>
    <n v="15.8"/>
  </r>
  <r>
    <x v="1998"/>
    <x v="9"/>
    <n v="25.6"/>
    <n v="0"/>
  </r>
  <r>
    <x v="1999"/>
    <x v="3"/>
    <n v="15.7"/>
    <n v="6.7"/>
  </r>
  <r>
    <x v="2000"/>
    <x v="10"/>
    <n v="25.5"/>
    <n v="0"/>
  </r>
  <r>
    <x v="2001"/>
    <x v="18"/>
    <n v="19.5"/>
    <n v="3.4"/>
  </r>
  <r>
    <x v="2002"/>
    <x v="21"/>
    <n v="14.1"/>
    <n v="0"/>
  </r>
  <r>
    <x v="2003"/>
    <x v="2"/>
    <n v="26.4"/>
    <n v="0"/>
  </r>
  <r>
    <x v="2004"/>
    <x v="11"/>
    <n v="11.7"/>
    <n v="8.4"/>
  </r>
  <r>
    <x v="2005"/>
    <x v="21"/>
    <n v="28"/>
    <n v="0"/>
  </r>
  <r>
    <x v="2006"/>
    <x v="13"/>
    <n v="13"/>
    <n v="0.1"/>
  </r>
  <r>
    <x v="2007"/>
    <x v="7"/>
    <n v="10.8"/>
    <n v="11.3"/>
  </r>
  <r>
    <x v="2008"/>
    <x v="7"/>
    <n v="26.4"/>
    <n v="18.7"/>
  </r>
  <r>
    <x v="2009"/>
    <x v="15"/>
    <n v="26.7"/>
    <n v="3.9"/>
  </r>
  <r>
    <x v="2010"/>
    <x v="7"/>
    <n v="11.7"/>
    <n v="13"/>
  </r>
  <r>
    <x v="2011"/>
    <x v="26"/>
    <n v="12"/>
    <n v="0.4"/>
  </r>
  <r>
    <x v="2012"/>
    <x v="17"/>
    <n v="24.2"/>
    <n v="0.7"/>
  </r>
  <r>
    <x v="2013"/>
    <x v="22"/>
    <n v="27.3"/>
    <n v="3.7"/>
  </r>
  <r>
    <x v="2014"/>
    <x v="9"/>
    <n v="10.7"/>
    <n v="0"/>
  </r>
  <r>
    <x v="2015"/>
    <x v="4"/>
    <n v="11.1"/>
    <n v="0"/>
  </r>
  <r>
    <x v="2016"/>
    <x v="3"/>
    <n v="28.5"/>
    <n v="19.8"/>
  </r>
  <r>
    <x v="2017"/>
    <x v="15"/>
    <n v="10.1"/>
    <n v="0"/>
  </r>
  <r>
    <x v="2018"/>
    <x v="5"/>
    <n v="20.8"/>
    <n v="11.2"/>
  </r>
  <r>
    <x v="2019"/>
    <x v="3"/>
    <n v="16.600000000000001"/>
    <n v="0"/>
  </r>
  <r>
    <x v="2020"/>
    <x v="9"/>
    <n v="26.4"/>
    <n v="10"/>
  </r>
  <r>
    <x v="2021"/>
    <x v="18"/>
    <n v="15.1"/>
    <n v="0"/>
  </r>
  <r>
    <x v="2022"/>
    <x v="2"/>
    <n v="20.9"/>
    <n v="10.1"/>
  </r>
  <r>
    <x v="2023"/>
    <x v="9"/>
    <n v="27.3"/>
    <n v="5.3"/>
  </r>
  <r>
    <x v="2024"/>
    <x v="2"/>
    <n v="17.600000000000001"/>
    <n v="5.5"/>
  </r>
  <r>
    <x v="2025"/>
    <x v="15"/>
    <n v="27.8"/>
    <n v="0"/>
  </r>
  <r>
    <x v="2026"/>
    <x v="6"/>
    <n v="25.8"/>
    <n v="12.1"/>
  </r>
  <r>
    <x v="2027"/>
    <x v="22"/>
    <n v="18.100000000000001"/>
    <n v="1.1000000000000001"/>
  </r>
  <r>
    <x v="2028"/>
    <x v="8"/>
    <n v="21.9"/>
    <n v="7.7"/>
  </r>
  <r>
    <x v="2029"/>
    <x v="23"/>
    <n v="23.2"/>
    <n v="5.0999999999999996"/>
  </r>
  <r>
    <x v="2030"/>
    <x v="27"/>
    <n v="26.6"/>
    <n v="0.3"/>
  </r>
  <r>
    <x v="2031"/>
    <x v="7"/>
    <n v="23.2"/>
    <n v="0"/>
  </r>
  <r>
    <x v="2032"/>
    <x v="6"/>
    <n v="11"/>
    <n v="40.9"/>
  </r>
  <r>
    <x v="2033"/>
    <x v="19"/>
    <n v="26.8"/>
    <n v="2.2999999999999998"/>
  </r>
  <r>
    <x v="2034"/>
    <x v="9"/>
    <n v="22.2"/>
    <n v="0"/>
  </r>
  <r>
    <x v="2035"/>
    <x v="14"/>
    <n v="10.199999999999999"/>
    <n v="6.1"/>
  </r>
  <r>
    <x v="2036"/>
    <x v="29"/>
    <n v="18.399999999999999"/>
    <n v="1.5"/>
  </r>
  <r>
    <x v="2037"/>
    <x v="3"/>
    <n v="29.4"/>
    <n v="22.3"/>
  </r>
  <r>
    <x v="2038"/>
    <x v="19"/>
    <n v="23.4"/>
    <n v="0"/>
  </r>
  <r>
    <x v="2039"/>
    <x v="1"/>
    <n v="13.6"/>
    <n v="6.1"/>
  </r>
  <r>
    <x v="2040"/>
    <x v="3"/>
    <n v="17.7"/>
    <n v="1.4"/>
  </r>
  <r>
    <x v="2041"/>
    <x v="19"/>
    <n v="17"/>
    <n v="5.9"/>
  </r>
  <r>
    <x v="2042"/>
    <x v="2"/>
    <n v="29.6"/>
    <n v="6.6"/>
  </r>
  <r>
    <x v="2043"/>
    <x v="6"/>
    <n v="23.4"/>
    <n v="0"/>
  </r>
  <r>
    <x v="2044"/>
    <x v="3"/>
    <n v="21.3"/>
    <n v="22.4"/>
  </r>
  <r>
    <x v="2045"/>
    <x v="15"/>
    <n v="18.600000000000001"/>
    <n v="0"/>
  </r>
  <r>
    <x v="2046"/>
    <x v="9"/>
    <n v="16.8"/>
    <n v="2.8"/>
  </r>
  <r>
    <x v="2047"/>
    <x v="16"/>
    <n v="13.2"/>
    <n v="4"/>
  </r>
  <r>
    <x v="2048"/>
    <x v="15"/>
    <n v="29.8"/>
    <n v="24.9"/>
  </r>
  <r>
    <x v="2049"/>
    <x v="6"/>
    <n v="10.6"/>
    <n v="31.8"/>
  </r>
  <r>
    <x v="2050"/>
    <x v="11"/>
    <n v="11.9"/>
    <n v="12.3"/>
  </r>
  <r>
    <x v="2051"/>
    <x v="26"/>
    <n v="26.8"/>
    <n v="0.5"/>
  </r>
  <r>
    <x v="2052"/>
    <x v="18"/>
    <n v="29"/>
    <n v="3.5"/>
  </r>
  <r>
    <x v="2053"/>
    <x v="16"/>
    <n v="22.9"/>
    <n v="2"/>
  </r>
  <r>
    <x v="2054"/>
    <x v="17"/>
    <n v="27.1"/>
    <n v="0"/>
  </r>
  <r>
    <x v="2055"/>
    <x v="6"/>
    <n v="11.8"/>
    <n v="49"/>
  </r>
  <r>
    <x v="2056"/>
    <x v="2"/>
    <n v="26.6"/>
    <n v="0"/>
  </r>
  <r>
    <x v="2057"/>
    <x v="14"/>
    <n v="21.3"/>
    <n v="0"/>
  </r>
  <r>
    <x v="2058"/>
    <x v="7"/>
    <n v="23.2"/>
    <n v="0"/>
  </r>
  <r>
    <x v="2059"/>
    <x v="6"/>
    <n v="27.3"/>
    <n v="0"/>
  </r>
  <r>
    <x v="2060"/>
    <x v="9"/>
    <n v="21.3"/>
    <n v="2.6"/>
  </r>
  <r>
    <x v="2061"/>
    <x v="15"/>
    <n v="22.9"/>
    <n v="5.3"/>
  </r>
  <r>
    <x v="2062"/>
    <x v="24"/>
    <n v="25"/>
    <n v="0"/>
  </r>
  <r>
    <x v="2063"/>
    <x v="20"/>
    <n v="15.9"/>
    <n v="2.5"/>
  </r>
  <r>
    <x v="2064"/>
    <x v="18"/>
    <n v="19.2"/>
    <n v="1.3"/>
  </r>
  <r>
    <x v="2065"/>
    <x v="3"/>
    <n v="22.5"/>
    <n v="10.9"/>
  </r>
  <r>
    <x v="2066"/>
    <x v="9"/>
    <n v="28.7"/>
    <n v="13.3"/>
  </r>
  <r>
    <x v="2067"/>
    <x v="15"/>
    <n v="14.6"/>
    <n v="29.3"/>
  </r>
  <r>
    <x v="2068"/>
    <x v="14"/>
    <n v="12.1"/>
    <n v="6.5"/>
  </r>
  <r>
    <x v="2069"/>
    <x v="15"/>
    <n v="20"/>
    <n v="26.1"/>
  </r>
  <r>
    <x v="2070"/>
    <x v="23"/>
    <n v="20.8"/>
    <n v="2.5"/>
  </r>
  <r>
    <x v="2071"/>
    <x v="3"/>
    <n v="26.6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AEB1C-99AD-463E-B913-5E3847D15078}" name="Tabela przestawna2" cacheId="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A28" firstHeaderRow="1" firstDataRow="1" firstDataCol="1"/>
  <pivotFields count="6"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3">
    <field x="0"/>
    <field x="4"/>
    <field x="5"/>
  </rowFields>
  <rowItems count="25"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2"/>
    </i>
    <i>
      <x v="5"/>
    </i>
    <i r="1">
      <x v="2"/>
    </i>
    <i>
      <x v="6"/>
    </i>
    <i r="1">
      <x v="2"/>
    </i>
    <i>
      <x v="7"/>
    </i>
    <i r="1">
      <x v="3"/>
    </i>
    <i>
      <x v="8"/>
    </i>
    <i r="1">
      <x v="3"/>
    </i>
    <i>
      <x v="9"/>
    </i>
    <i r="1">
      <x v="3"/>
    </i>
    <i>
      <x v="10"/>
    </i>
    <i r="1">
      <x v="4"/>
    </i>
    <i>
      <x v="11"/>
    </i>
    <i r="1">
      <x v="4"/>
    </i>
    <i>
      <x v="12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D22C3-63BD-4168-843D-26FF4B13E079}" name="Tabela przestawna1" cacheId="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34" firstHeaderRow="1" firstDataRow="1" firstDataCol="1"/>
  <pivotFields count="6"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Średnia z masa [kg]" fld="2" subtotal="average" baseField="1" baseItem="0"/>
  </dataFields>
  <formats count="2">
    <format dxfId="4">
      <pivotArea collapsedLevelsAreSubtotals="1" fieldPosition="0">
        <references count="1">
          <reference field="1" count="1">
            <x v="29"/>
          </reference>
        </references>
      </pivotArea>
    </format>
    <format dxfId="3">
      <pivotArea dataOnly="0" labelOnly="1" fieldPosition="0">
        <references count="1">
          <reference field="1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157E8E3E-3692-4D9B-A4C2-438D1831BF2E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data" tableColumnId="1"/>
      <queryTableField id="2" name="nazwa_obszaru" tableColumnId="2"/>
      <queryTableField id="3" name="masa [kg]" tableColumnId="3"/>
      <queryTableField id="4" name="zawartosc [%]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EE363-EC04-433C-9A4B-53D69EA70B48}" name="martianeum" displayName="martianeum" ref="A1:F2073" tableType="queryTable" totalsRowShown="0">
  <tableColumns count="6">
    <tableColumn id="1" xr3:uid="{0B5DE1C5-EECA-42F6-BF06-87FE3AC10D41}" uniqueName="1" name="data" queryTableFieldId="1" dataDxfId="5"/>
    <tableColumn id="2" xr3:uid="{89E610A4-C434-428B-84BB-D76D467A0265}" uniqueName="2" name="nazwa_obszaru" queryTableFieldId="2"/>
    <tableColumn id="3" xr3:uid="{698D2DD7-BD1C-4323-A447-2A258EDC3182}" uniqueName="3" name="masa [kg]" queryTableFieldId="3"/>
    <tableColumn id="4" xr3:uid="{89557A64-6F8B-4F47-BB10-EE5F80CFD146}" uniqueName="4" name="zawartosc" queryTableFieldId="4"/>
    <tableColumn id="5" xr3:uid="{3CAE02A3-2A58-41F8-8993-B9617C6208B1}" uniqueName="5" name="masa mat" queryTableFieldId="5" dataDxfId="2">
      <calculatedColumnFormula>IF(D2&gt;=1,martianeum[[#This Row],[zawartosc]] * 0.01 *martianeum[[#This Row],[masa '[kg']]],0)</calculatedColumnFormula>
    </tableColumn>
    <tableColumn id="6" xr3:uid="{8406A633-8D06-4625-9F22-A1785384B60B}" uniqueName="6" name="okr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8157-83FD-408A-92B2-3240A1CB98CD}">
  <dimension ref="A3:A28"/>
  <sheetViews>
    <sheetView tabSelected="1" workbookViewId="0">
      <selection activeCell="L24" sqref="L24"/>
    </sheetView>
  </sheetViews>
  <sheetFormatPr defaultRowHeight="15" x14ac:dyDescent="0.25"/>
  <cols>
    <col min="1" max="2" width="17.7109375" bestFit="1" customWidth="1"/>
    <col min="3" max="7" width="5" bestFit="1" customWidth="1"/>
    <col min="8" max="8" width="14.28515625" bestFit="1" customWidth="1"/>
    <col min="9" max="9" width="10.5703125" bestFit="1" customWidth="1"/>
    <col min="10" max="10" width="14.140625" bestFit="1" customWidth="1"/>
    <col min="11" max="13" width="10.5703125" bestFit="1" customWidth="1"/>
    <col min="14" max="14" width="14.140625" bestFit="1" customWidth="1"/>
    <col min="15" max="15" width="10.28515625" bestFit="1" customWidth="1"/>
    <col min="16" max="18" width="10.5703125" bestFit="1" customWidth="1"/>
    <col min="19" max="19" width="14.140625" bestFit="1" customWidth="1"/>
    <col min="20" max="22" width="10.5703125" bestFit="1" customWidth="1"/>
    <col min="23" max="23" width="14.140625" bestFit="1" customWidth="1"/>
    <col min="24" max="26" width="10.5703125" bestFit="1" customWidth="1"/>
    <col min="27" max="27" width="14.140625" bestFit="1" customWidth="1"/>
    <col min="28" max="30" width="10.5703125" bestFit="1" customWidth="1"/>
    <col min="31" max="31" width="14.140625" bestFit="1" customWidth="1"/>
    <col min="32" max="32" width="10.28515625" bestFit="1" customWidth="1"/>
    <col min="33" max="35" width="10.5703125" bestFit="1" customWidth="1"/>
    <col min="36" max="36" width="14.140625" bestFit="1" customWidth="1"/>
    <col min="37" max="39" width="10.5703125" bestFit="1" customWidth="1"/>
    <col min="40" max="40" width="14.140625" bestFit="1" customWidth="1"/>
    <col min="41" max="43" width="10.5703125" bestFit="1" customWidth="1"/>
    <col min="44" max="44" width="14.140625" bestFit="1" customWidth="1"/>
    <col min="45" max="47" width="10.5703125" bestFit="1" customWidth="1"/>
    <col min="48" max="48" width="14.140625" bestFit="1" customWidth="1"/>
    <col min="49" max="49" width="10.28515625" bestFit="1" customWidth="1"/>
    <col min="50" max="52" width="10.5703125" bestFit="1" customWidth="1"/>
    <col min="53" max="53" width="14.140625" bestFit="1" customWidth="1"/>
    <col min="54" max="56" width="10.5703125" bestFit="1" customWidth="1"/>
    <col min="57" max="57" width="14.140625" bestFit="1" customWidth="1"/>
    <col min="58" max="60" width="10.5703125" bestFit="1" customWidth="1"/>
    <col min="61" max="61" width="14.140625" bestFit="1" customWidth="1"/>
    <col min="62" max="64" width="10.5703125" bestFit="1" customWidth="1"/>
    <col min="65" max="65" width="14.140625" bestFit="1" customWidth="1"/>
    <col min="66" max="66" width="10.28515625" bestFit="1" customWidth="1"/>
    <col min="67" max="69" width="10.5703125" bestFit="1" customWidth="1"/>
    <col min="70" max="70" width="14.140625" bestFit="1" customWidth="1"/>
    <col min="71" max="73" width="10.5703125" bestFit="1" customWidth="1"/>
    <col min="74" max="74" width="14.140625" bestFit="1" customWidth="1"/>
    <col min="75" max="77" width="10.5703125" bestFit="1" customWidth="1"/>
    <col min="78" max="78" width="14.140625" bestFit="1" customWidth="1"/>
    <col min="79" max="81" width="10.5703125" bestFit="1" customWidth="1"/>
    <col min="82" max="82" width="14.140625" bestFit="1" customWidth="1"/>
    <col min="83" max="83" width="10.28515625" bestFit="1" customWidth="1"/>
    <col min="84" max="86" width="10.5703125" bestFit="1" customWidth="1"/>
    <col min="87" max="87" width="14.140625" bestFit="1" customWidth="1"/>
    <col min="88" max="90" width="10.5703125" bestFit="1" customWidth="1"/>
    <col min="91" max="91" width="14.140625" bestFit="1" customWidth="1"/>
    <col min="92" max="94" width="10.5703125" bestFit="1" customWidth="1"/>
    <col min="95" max="95" width="14.140625" bestFit="1" customWidth="1"/>
    <col min="96" max="97" width="10.5703125" bestFit="1" customWidth="1"/>
    <col min="98" max="98" width="14.140625" bestFit="1" customWidth="1"/>
    <col min="99" max="99" width="10.28515625" bestFit="1" customWidth="1"/>
    <col min="100" max="100" width="14.28515625" bestFit="1" customWidth="1"/>
    <col min="101" max="2072" width="17.7109375" bestFit="1" customWidth="1"/>
    <col min="2073" max="2073" width="14.28515625" bestFit="1" customWidth="1"/>
  </cols>
  <sheetData>
    <row r="3" spans="1:1" x14ac:dyDescent="0.25">
      <c r="A3" s="2" t="s">
        <v>36</v>
      </c>
    </row>
    <row r="4" spans="1:1" x14ac:dyDescent="0.25">
      <c r="A4" s="11" t="s">
        <v>56</v>
      </c>
    </row>
    <row r="5" spans="1:1" x14ac:dyDescent="0.25">
      <c r="A5" s="12" t="s">
        <v>42</v>
      </c>
    </row>
    <row r="6" spans="1:1" x14ac:dyDescent="0.25">
      <c r="A6" s="11" t="s">
        <v>57</v>
      </c>
    </row>
    <row r="7" spans="1:1" x14ac:dyDescent="0.25">
      <c r="A7" s="12" t="s">
        <v>42</v>
      </c>
    </row>
    <row r="8" spans="1:1" x14ac:dyDescent="0.25">
      <c r="A8" s="11" t="s">
        <v>46</v>
      </c>
    </row>
    <row r="9" spans="1:1" x14ac:dyDescent="0.25">
      <c r="A9" s="12" t="s">
        <v>42</v>
      </c>
    </row>
    <row r="10" spans="1:1" x14ac:dyDescent="0.25">
      <c r="A10" s="11" t="s">
        <v>47</v>
      </c>
    </row>
    <row r="11" spans="1:1" x14ac:dyDescent="0.25">
      <c r="A11" s="12" t="s">
        <v>43</v>
      </c>
    </row>
    <row r="12" spans="1:1" x14ac:dyDescent="0.25">
      <c r="A12" s="11" t="s">
        <v>48</v>
      </c>
    </row>
    <row r="13" spans="1:1" x14ac:dyDescent="0.25">
      <c r="A13" s="12" t="s">
        <v>43</v>
      </c>
    </row>
    <row r="14" spans="1:1" x14ac:dyDescent="0.25">
      <c r="A14" s="11" t="s">
        <v>49</v>
      </c>
    </row>
    <row r="15" spans="1:1" x14ac:dyDescent="0.25">
      <c r="A15" s="12" t="s">
        <v>43</v>
      </c>
    </row>
    <row r="16" spans="1:1" x14ac:dyDescent="0.25">
      <c r="A16" s="11" t="s">
        <v>50</v>
      </c>
    </row>
    <row r="17" spans="1:1" x14ac:dyDescent="0.25">
      <c r="A17" s="12" t="s">
        <v>44</v>
      </c>
    </row>
    <row r="18" spans="1:1" x14ac:dyDescent="0.25">
      <c r="A18" s="11" t="s">
        <v>51</v>
      </c>
    </row>
    <row r="19" spans="1:1" x14ac:dyDescent="0.25">
      <c r="A19" s="12" t="s">
        <v>44</v>
      </c>
    </row>
    <row r="20" spans="1:1" x14ac:dyDescent="0.25">
      <c r="A20" s="11" t="s">
        <v>52</v>
      </c>
    </row>
    <row r="21" spans="1:1" x14ac:dyDescent="0.25">
      <c r="A21" s="12" t="s">
        <v>44</v>
      </c>
    </row>
    <row r="22" spans="1:1" x14ac:dyDescent="0.25">
      <c r="A22" s="11" t="s">
        <v>53</v>
      </c>
    </row>
    <row r="23" spans="1:1" x14ac:dyDescent="0.25">
      <c r="A23" s="12" t="s">
        <v>45</v>
      </c>
    </row>
    <row r="24" spans="1:1" x14ac:dyDescent="0.25">
      <c r="A24" s="11" t="s">
        <v>54</v>
      </c>
    </row>
    <row r="25" spans="1:1" x14ac:dyDescent="0.25">
      <c r="A25" s="12" t="s">
        <v>45</v>
      </c>
    </row>
    <row r="26" spans="1:1" x14ac:dyDescent="0.25">
      <c r="A26" s="11" t="s">
        <v>55</v>
      </c>
    </row>
    <row r="27" spans="1:1" x14ac:dyDescent="0.25">
      <c r="A27" s="12" t="s">
        <v>45</v>
      </c>
    </row>
    <row r="28" spans="1:1" x14ac:dyDescent="0.25">
      <c r="A28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3035-CE06-494B-A458-F5435C071AAF}">
  <dimension ref="A1:N2073"/>
  <sheetViews>
    <sheetView topLeftCell="A2" workbookViewId="0"/>
  </sheetViews>
  <sheetFormatPr defaultRowHeight="15" x14ac:dyDescent="0.25"/>
  <cols>
    <col min="1" max="1" width="15.28515625" bestFit="1" customWidth="1"/>
    <col min="2" max="2" width="16.85546875" bestFit="1" customWidth="1"/>
    <col min="3" max="3" width="11.7109375" bestFit="1" customWidth="1"/>
    <col min="4" max="4" width="15.5703125" bestFit="1" customWidth="1"/>
    <col min="5" max="5" width="16.85546875" bestFit="1" customWidth="1"/>
    <col min="7" max="7" width="13.28515625" bestFit="1" customWidth="1"/>
    <col min="10" max="10" width="1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33</v>
      </c>
      <c r="E1" t="s">
        <v>37</v>
      </c>
      <c r="F1" t="s">
        <v>40</v>
      </c>
    </row>
    <row r="2" spans="1:14" x14ac:dyDescent="0.25">
      <c r="A2" s="1">
        <v>48641</v>
      </c>
      <c r="B2" t="s">
        <v>3</v>
      </c>
      <c r="C2">
        <v>27.8</v>
      </c>
      <c r="D2">
        <v>0.2</v>
      </c>
      <c r="E2">
        <f>IF(D2&gt;=1,martianeum[[#This Row],[zawartosc]] * 0.01 *martianeum[[#This Row],[masa '[kg']]],0)</f>
        <v>0</v>
      </c>
      <c r="J2" s="8" t="s">
        <v>41</v>
      </c>
      <c r="M2" s="8" t="s">
        <v>38</v>
      </c>
      <c r="N2" t="s">
        <v>39</v>
      </c>
    </row>
    <row r="3" spans="1:14" x14ac:dyDescent="0.25">
      <c r="A3" s="1">
        <v>48642</v>
      </c>
      <c r="B3" t="s">
        <v>4</v>
      </c>
      <c r="C3">
        <v>11.8</v>
      </c>
      <c r="D3">
        <v>1.7</v>
      </c>
      <c r="E3">
        <f>IF(D3&gt;=1,martianeum[[#This Row],[zawartosc]] * 0.01 *martianeum[[#This Row],[masa '[kg']]],0)</f>
        <v>0.20060000000000003</v>
      </c>
      <c r="J3" s="7">
        <f>MAX(F:F)</f>
        <v>174.49999999999997</v>
      </c>
      <c r="M3" s="9">
        <f>SUM(C2:C2073)</f>
        <v>41498.199999999975</v>
      </c>
      <c r="N3" s="7">
        <f>SUM(E:E)</f>
        <v>3092.2943000000032</v>
      </c>
    </row>
    <row r="4" spans="1:14" x14ac:dyDescent="0.25">
      <c r="A4" s="1">
        <v>48643</v>
      </c>
      <c r="B4" t="s">
        <v>5</v>
      </c>
      <c r="C4">
        <v>21</v>
      </c>
      <c r="D4">
        <v>6</v>
      </c>
      <c r="E4">
        <f>IF(D4&gt;=1,martianeum[[#This Row],[zawartosc]] * 0.01 *martianeum[[#This Row],[masa '[kg']]],0)</f>
        <v>1.26</v>
      </c>
      <c r="J4" s="10">
        <v>49656</v>
      </c>
    </row>
    <row r="5" spans="1:14" x14ac:dyDescent="0.25">
      <c r="A5" s="1">
        <v>48644</v>
      </c>
      <c r="B5" t="s">
        <v>6</v>
      </c>
      <c r="C5">
        <v>26.3</v>
      </c>
      <c r="D5">
        <v>11.4</v>
      </c>
      <c r="E5">
        <f>IF(D5&gt;=1,martianeum[[#This Row],[zawartosc]] * 0.01 *martianeum[[#This Row],[masa '[kg']]],0)</f>
        <v>2.9982000000000002</v>
      </c>
    </row>
    <row r="6" spans="1:14" x14ac:dyDescent="0.25">
      <c r="A6" s="1">
        <v>48645</v>
      </c>
      <c r="B6" t="s">
        <v>7</v>
      </c>
      <c r="C6">
        <v>28.8</v>
      </c>
      <c r="D6">
        <v>0</v>
      </c>
      <c r="E6">
        <f>IF(D6&gt;=1,martianeum[[#This Row],[zawartosc]] * 0.01 *martianeum[[#This Row],[masa '[kg']]],0)</f>
        <v>0</v>
      </c>
    </row>
    <row r="7" spans="1:14" x14ac:dyDescent="0.25">
      <c r="A7" s="1">
        <v>48646</v>
      </c>
      <c r="B7" t="s">
        <v>8</v>
      </c>
      <c r="C7">
        <v>29.2</v>
      </c>
      <c r="D7">
        <v>0</v>
      </c>
      <c r="E7">
        <f>IF(D7&gt;=1,martianeum[[#This Row],[zawartosc]] * 0.01 *martianeum[[#This Row],[masa '[kg']]],0)</f>
        <v>0</v>
      </c>
    </row>
    <row r="8" spans="1:14" x14ac:dyDescent="0.25">
      <c r="A8" s="1">
        <v>48647</v>
      </c>
      <c r="B8" t="s">
        <v>9</v>
      </c>
      <c r="C8">
        <v>25.6</v>
      </c>
      <c r="D8">
        <v>28.7</v>
      </c>
      <c r="E8">
        <f>IF(D8&gt;=1,martianeum[[#This Row],[zawartosc]] * 0.01 *martianeum[[#This Row],[masa '[kg']]],0)</f>
        <v>7.3472</v>
      </c>
      <c r="F8">
        <f>SUM(C2:C8)</f>
        <v>170.5</v>
      </c>
    </row>
    <row r="9" spans="1:14" x14ac:dyDescent="0.25">
      <c r="A9" s="1">
        <v>48648</v>
      </c>
      <c r="B9" t="s">
        <v>10</v>
      </c>
      <c r="C9">
        <v>10.1</v>
      </c>
      <c r="D9">
        <v>7.7</v>
      </c>
      <c r="E9">
        <f>IF(D9&gt;=1,martianeum[[#This Row],[zawartosc]] * 0.01 *martianeum[[#This Row],[masa '[kg']]],0)</f>
        <v>0.77769999999999995</v>
      </c>
    </row>
    <row r="10" spans="1:14" x14ac:dyDescent="0.25">
      <c r="A10" s="1">
        <v>48649</v>
      </c>
      <c r="B10" t="s">
        <v>11</v>
      </c>
      <c r="C10">
        <v>14.6</v>
      </c>
      <c r="D10">
        <v>0</v>
      </c>
      <c r="E10">
        <f>IF(D10&gt;=1,martianeum[[#This Row],[zawartosc]] * 0.01 *martianeum[[#This Row],[masa '[kg']]],0)</f>
        <v>0</v>
      </c>
    </row>
    <row r="11" spans="1:14" x14ac:dyDescent="0.25">
      <c r="A11" s="1">
        <v>48650</v>
      </c>
      <c r="B11" t="s">
        <v>12</v>
      </c>
      <c r="C11">
        <v>11.5</v>
      </c>
      <c r="D11">
        <v>1.9</v>
      </c>
      <c r="E11">
        <f>IF(D11&gt;=1,martianeum[[#This Row],[zawartosc]] * 0.01 *martianeum[[#This Row],[masa '[kg']]],0)</f>
        <v>0.2185</v>
      </c>
    </row>
    <row r="12" spans="1:14" x14ac:dyDescent="0.25">
      <c r="A12" s="1">
        <v>48651</v>
      </c>
      <c r="B12" t="s">
        <v>8</v>
      </c>
      <c r="C12">
        <v>15.2</v>
      </c>
      <c r="D12">
        <v>0</v>
      </c>
      <c r="E12">
        <f>IF(D12&gt;=1,martianeum[[#This Row],[zawartosc]] * 0.01 *martianeum[[#This Row],[masa '[kg']]],0)</f>
        <v>0</v>
      </c>
    </row>
    <row r="13" spans="1:14" x14ac:dyDescent="0.25">
      <c r="A13" s="1">
        <v>48652</v>
      </c>
      <c r="B13" t="s">
        <v>9</v>
      </c>
      <c r="C13">
        <v>10.199999999999999</v>
      </c>
      <c r="D13">
        <v>13.3</v>
      </c>
      <c r="E13">
        <f>IF(D13&gt;=1,martianeum[[#This Row],[zawartosc]] * 0.01 *martianeum[[#This Row],[masa '[kg']]],0)</f>
        <v>1.3566</v>
      </c>
    </row>
    <row r="14" spans="1:14" x14ac:dyDescent="0.25">
      <c r="A14" s="1">
        <v>48653</v>
      </c>
      <c r="B14" t="s">
        <v>13</v>
      </c>
      <c r="C14">
        <v>20.399999999999999</v>
      </c>
      <c r="D14">
        <v>4.5999999999999996</v>
      </c>
      <c r="E14">
        <f>IF(D14&gt;=1,martianeum[[#This Row],[zawartosc]] * 0.01 *martianeum[[#This Row],[masa '[kg']]],0)</f>
        <v>0.9383999999999999</v>
      </c>
    </row>
    <row r="15" spans="1:14" x14ac:dyDescent="0.25">
      <c r="A15" s="1">
        <v>48654</v>
      </c>
      <c r="B15" t="s">
        <v>13</v>
      </c>
      <c r="C15">
        <v>13.6</v>
      </c>
      <c r="D15">
        <v>8</v>
      </c>
      <c r="E15">
        <f>IF(D15&gt;=1,martianeum[[#This Row],[zawartosc]] * 0.01 *martianeum[[#This Row],[masa '[kg']]],0)</f>
        <v>1.0880000000000001</v>
      </c>
      <c r="F15">
        <f t="shared" ref="F15" si="0">SUM(C9:C15)</f>
        <v>95.6</v>
      </c>
    </row>
    <row r="16" spans="1:14" x14ac:dyDescent="0.25">
      <c r="A16" s="1">
        <v>48655</v>
      </c>
      <c r="B16" t="s">
        <v>14</v>
      </c>
      <c r="C16">
        <v>11</v>
      </c>
      <c r="D16">
        <v>11.6</v>
      </c>
      <c r="E16">
        <f>IF(D16&gt;=1,martianeum[[#This Row],[zawartosc]] * 0.01 *martianeum[[#This Row],[masa '[kg']]],0)</f>
        <v>1.2759999999999998</v>
      </c>
    </row>
    <row r="17" spans="1:6" x14ac:dyDescent="0.25">
      <c r="A17" s="1">
        <v>48656</v>
      </c>
      <c r="B17" t="s">
        <v>15</v>
      </c>
      <c r="C17">
        <v>14.1</v>
      </c>
      <c r="D17">
        <v>0</v>
      </c>
      <c r="E17">
        <f>IF(D17&gt;=1,martianeum[[#This Row],[zawartosc]] * 0.01 *martianeum[[#This Row],[masa '[kg']]],0)</f>
        <v>0</v>
      </c>
    </row>
    <row r="18" spans="1:6" x14ac:dyDescent="0.25">
      <c r="A18" s="1">
        <v>48657</v>
      </c>
      <c r="B18" t="s">
        <v>9</v>
      </c>
      <c r="C18">
        <v>19.2</v>
      </c>
      <c r="D18">
        <v>0</v>
      </c>
      <c r="E18">
        <f>IF(D18&gt;=1,martianeum[[#This Row],[zawartosc]] * 0.01 *martianeum[[#This Row],[masa '[kg']]],0)</f>
        <v>0</v>
      </c>
    </row>
    <row r="19" spans="1:6" x14ac:dyDescent="0.25">
      <c r="A19" s="1">
        <v>48658</v>
      </c>
      <c r="B19" t="s">
        <v>9</v>
      </c>
      <c r="C19">
        <v>20.7</v>
      </c>
      <c r="D19">
        <v>0</v>
      </c>
      <c r="E19">
        <f>IF(D19&gt;=1,martianeum[[#This Row],[zawartosc]] * 0.01 *martianeum[[#This Row],[masa '[kg']]],0)</f>
        <v>0</v>
      </c>
    </row>
    <row r="20" spans="1:6" x14ac:dyDescent="0.25">
      <c r="A20" s="1">
        <v>48659</v>
      </c>
      <c r="B20" t="s">
        <v>16</v>
      </c>
      <c r="C20">
        <v>29.5</v>
      </c>
      <c r="D20">
        <v>2.1</v>
      </c>
      <c r="E20">
        <f>IF(D20&gt;=1,martianeum[[#This Row],[zawartosc]] * 0.01 *martianeum[[#This Row],[masa '[kg']]],0)</f>
        <v>0.61950000000000005</v>
      </c>
    </row>
    <row r="21" spans="1:6" x14ac:dyDescent="0.25">
      <c r="A21" s="1">
        <v>48660</v>
      </c>
      <c r="B21" t="s">
        <v>10</v>
      </c>
      <c r="C21">
        <v>24.4</v>
      </c>
      <c r="D21">
        <v>10.1</v>
      </c>
      <c r="E21">
        <f>IF(D21&gt;=1,martianeum[[#This Row],[zawartosc]] * 0.01 *martianeum[[#This Row],[masa '[kg']]],0)</f>
        <v>2.4643999999999995</v>
      </c>
    </row>
    <row r="22" spans="1:6" x14ac:dyDescent="0.25">
      <c r="A22" s="1">
        <v>48661</v>
      </c>
      <c r="B22" t="s">
        <v>17</v>
      </c>
      <c r="C22">
        <v>15.6</v>
      </c>
      <c r="D22">
        <v>6.6</v>
      </c>
      <c r="E22">
        <f>IF(D22&gt;=1,martianeum[[#This Row],[zawartosc]] * 0.01 *martianeum[[#This Row],[masa '[kg']]],0)</f>
        <v>1.0296000000000001</v>
      </c>
      <c r="F22">
        <f t="shared" ref="F22" si="1">SUM(C16:C22)</f>
        <v>134.5</v>
      </c>
    </row>
    <row r="23" spans="1:6" x14ac:dyDescent="0.25">
      <c r="A23" s="1">
        <v>48662</v>
      </c>
      <c r="B23" t="s">
        <v>8</v>
      </c>
      <c r="C23">
        <v>22.7</v>
      </c>
      <c r="D23">
        <v>2.9</v>
      </c>
      <c r="E23">
        <f>IF(D23&gt;=1,martianeum[[#This Row],[zawartosc]] * 0.01 *martianeum[[#This Row],[masa '[kg']]],0)</f>
        <v>0.65829999999999989</v>
      </c>
    </row>
    <row r="24" spans="1:6" x14ac:dyDescent="0.25">
      <c r="A24" s="1">
        <v>48663</v>
      </c>
      <c r="B24" t="s">
        <v>14</v>
      </c>
      <c r="C24">
        <v>15.1</v>
      </c>
      <c r="D24">
        <v>0</v>
      </c>
      <c r="E24">
        <f>IF(D24&gt;=1,martianeum[[#This Row],[zawartosc]] * 0.01 *martianeum[[#This Row],[masa '[kg']]],0)</f>
        <v>0</v>
      </c>
    </row>
    <row r="25" spans="1:6" x14ac:dyDescent="0.25">
      <c r="A25" s="1">
        <v>48664</v>
      </c>
      <c r="B25" t="s">
        <v>18</v>
      </c>
      <c r="C25">
        <v>14.1</v>
      </c>
      <c r="D25">
        <v>0.8</v>
      </c>
      <c r="E25">
        <f>IF(D25&gt;=1,martianeum[[#This Row],[zawartosc]] * 0.01 *martianeum[[#This Row],[masa '[kg']]],0)</f>
        <v>0</v>
      </c>
    </row>
    <row r="26" spans="1:6" x14ac:dyDescent="0.25">
      <c r="A26" s="1">
        <v>48665</v>
      </c>
      <c r="B26" t="s">
        <v>6</v>
      </c>
      <c r="C26">
        <v>24.9</v>
      </c>
      <c r="D26">
        <v>2.2000000000000002</v>
      </c>
      <c r="E26">
        <f>IF(D26&gt;=1,martianeum[[#This Row],[zawartosc]] * 0.01 *martianeum[[#This Row],[masa '[kg']]],0)</f>
        <v>0.54780000000000006</v>
      </c>
    </row>
    <row r="27" spans="1:6" x14ac:dyDescent="0.25">
      <c r="A27" s="1">
        <v>48666</v>
      </c>
      <c r="B27" t="s">
        <v>19</v>
      </c>
      <c r="C27">
        <v>14.8</v>
      </c>
      <c r="D27">
        <v>0</v>
      </c>
      <c r="E27">
        <f>IF(D27&gt;=1,martianeum[[#This Row],[zawartosc]] * 0.01 *martianeum[[#This Row],[masa '[kg']]],0)</f>
        <v>0</v>
      </c>
    </row>
    <row r="28" spans="1:6" x14ac:dyDescent="0.25">
      <c r="A28" s="1">
        <v>48667</v>
      </c>
      <c r="B28" t="s">
        <v>13</v>
      </c>
      <c r="C28">
        <v>18.8</v>
      </c>
      <c r="D28">
        <v>0</v>
      </c>
      <c r="E28">
        <f>IF(D28&gt;=1,martianeum[[#This Row],[zawartosc]] * 0.01 *martianeum[[#This Row],[masa '[kg']]],0)</f>
        <v>0</v>
      </c>
    </row>
    <row r="29" spans="1:6" x14ac:dyDescent="0.25">
      <c r="A29" s="1">
        <v>48668</v>
      </c>
      <c r="B29" t="s">
        <v>14</v>
      </c>
      <c r="C29">
        <v>29.3</v>
      </c>
      <c r="D29">
        <v>8</v>
      </c>
      <c r="E29">
        <f>IF(D29&gt;=1,martianeum[[#This Row],[zawartosc]] * 0.01 *martianeum[[#This Row],[masa '[kg']]],0)</f>
        <v>2.3440000000000003</v>
      </c>
      <c r="F29">
        <f t="shared" ref="F29" si="2">SUM(C23:C29)</f>
        <v>139.69999999999999</v>
      </c>
    </row>
    <row r="30" spans="1:6" x14ac:dyDescent="0.25">
      <c r="A30" s="1">
        <v>48669</v>
      </c>
      <c r="B30" t="s">
        <v>20</v>
      </c>
      <c r="C30">
        <v>29.4</v>
      </c>
      <c r="D30">
        <v>2.4</v>
      </c>
      <c r="E30">
        <f>IF(D30&gt;=1,martianeum[[#This Row],[zawartosc]] * 0.01 *martianeum[[#This Row],[masa '[kg']]],0)</f>
        <v>0.7056</v>
      </c>
    </row>
    <row r="31" spans="1:6" x14ac:dyDescent="0.25">
      <c r="A31" s="1">
        <v>48670</v>
      </c>
      <c r="B31" t="s">
        <v>21</v>
      </c>
      <c r="C31">
        <v>16.8</v>
      </c>
      <c r="D31">
        <v>2.9</v>
      </c>
      <c r="E31">
        <f>IF(D31&gt;=1,martianeum[[#This Row],[zawartosc]] * 0.01 *martianeum[[#This Row],[masa '[kg']]],0)</f>
        <v>0.48719999999999997</v>
      </c>
    </row>
    <row r="32" spans="1:6" x14ac:dyDescent="0.25">
      <c r="A32" s="1">
        <v>48671</v>
      </c>
      <c r="B32" t="s">
        <v>11</v>
      </c>
      <c r="C32">
        <v>21.4</v>
      </c>
      <c r="D32">
        <v>6.3</v>
      </c>
      <c r="E32">
        <f>IF(D32&gt;=1,martianeum[[#This Row],[zawartosc]] * 0.01 *martianeum[[#This Row],[masa '[kg']]],0)</f>
        <v>1.3481999999999998</v>
      </c>
    </row>
    <row r="33" spans="1:6" x14ac:dyDescent="0.25">
      <c r="A33" s="1">
        <v>48672</v>
      </c>
      <c r="B33" t="s">
        <v>6</v>
      </c>
      <c r="C33">
        <v>23.9</v>
      </c>
      <c r="D33">
        <v>0</v>
      </c>
      <c r="E33">
        <f>IF(D33&gt;=1,martianeum[[#This Row],[zawartosc]] * 0.01 *martianeum[[#This Row],[masa '[kg']]],0)</f>
        <v>0</v>
      </c>
    </row>
    <row r="34" spans="1:6" x14ac:dyDescent="0.25">
      <c r="A34" s="1">
        <v>48673</v>
      </c>
      <c r="B34" t="s">
        <v>11</v>
      </c>
      <c r="C34">
        <v>26.7</v>
      </c>
      <c r="D34">
        <v>0</v>
      </c>
      <c r="E34">
        <f>IF(D34&gt;=1,martianeum[[#This Row],[zawartosc]] * 0.01 *martianeum[[#This Row],[masa '[kg']]],0)</f>
        <v>0</v>
      </c>
    </row>
    <row r="35" spans="1:6" x14ac:dyDescent="0.25">
      <c r="A35" s="1">
        <v>48674</v>
      </c>
      <c r="B35" t="s">
        <v>6</v>
      </c>
      <c r="C35">
        <v>12.4</v>
      </c>
      <c r="D35">
        <v>0</v>
      </c>
      <c r="E35">
        <f>IF(D35&gt;=1,martianeum[[#This Row],[zawartosc]] * 0.01 *martianeum[[#This Row],[masa '[kg']]],0)</f>
        <v>0</v>
      </c>
    </row>
    <row r="36" spans="1:6" x14ac:dyDescent="0.25">
      <c r="A36" s="1">
        <v>48675</v>
      </c>
      <c r="B36" t="s">
        <v>11</v>
      </c>
      <c r="C36">
        <v>10.4</v>
      </c>
      <c r="D36">
        <v>10.7</v>
      </c>
      <c r="E36">
        <f>IF(D36&gt;=1,martianeum[[#This Row],[zawartosc]] * 0.01 *martianeum[[#This Row],[masa '[kg']]],0)</f>
        <v>1.1128</v>
      </c>
      <c r="F36">
        <f t="shared" ref="F36" si="3">SUM(C30:C36)</f>
        <v>141</v>
      </c>
    </row>
    <row r="37" spans="1:6" x14ac:dyDescent="0.25">
      <c r="A37" s="1">
        <v>48676</v>
      </c>
      <c r="B37" t="s">
        <v>8</v>
      </c>
      <c r="C37">
        <v>17.899999999999999</v>
      </c>
      <c r="D37">
        <v>0</v>
      </c>
      <c r="E37">
        <f>IF(D37&gt;=1,martianeum[[#This Row],[zawartosc]] * 0.01 *martianeum[[#This Row],[masa '[kg']]],0)</f>
        <v>0</v>
      </c>
    </row>
    <row r="38" spans="1:6" x14ac:dyDescent="0.25">
      <c r="A38" s="1">
        <v>48677</v>
      </c>
      <c r="B38" t="s">
        <v>19</v>
      </c>
      <c r="C38">
        <v>17.399999999999999</v>
      </c>
      <c r="D38">
        <v>1.6</v>
      </c>
      <c r="E38">
        <f>IF(D38&gt;=1,martianeum[[#This Row],[zawartosc]] * 0.01 *martianeum[[#This Row],[masa '[kg']]],0)</f>
        <v>0.27839999999999998</v>
      </c>
    </row>
    <row r="39" spans="1:6" x14ac:dyDescent="0.25">
      <c r="A39" s="1">
        <v>48678</v>
      </c>
      <c r="B39" t="s">
        <v>10</v>
      </c>
      <c r="C39">
        <v>29.4</v>
      </c>
      <c r="D39">
        <v>21.7</v>
      </c>
      <c r="E39">
        <f>IF(D39&gt;=1,martianeum[[#This Row],[zawartosc]] * 0.01 *martianeum[[#This Row],[masa '[kg']]],0)</f>
        <v>6.3797999999999995</v>
      </c>
    </row>
    <row r="40" spans="1:6" x14ac:dyDescent="0.25">
      <c r="A40" s="1">
        <v>48679</v>
      </c>
      <c r="B40" t="s">
        <v>18</v>
      </c>
      <c r="C40">
        <v>22.9</v>
      </c>
      <c r="D40">
        <v>26.9</v>
      </c>
      <c r="E40">
        <f>IF(D40&gt;=1,martianeum[[#This Row],[zawartosc]] * 0.01 *martianeum[[#This Row],[masa '[kg']]],0)</f>
        <v>6.1600999999999999</v>
      </c>
    </row>
    <row r="41" spans="1:6" x14ac:dyDescent="0.25">
      <c r="A41" s="1">
        <v>48680</v>
      </c>
      <c r="B41" t="s">
        <v>18</v>
      </c>
      <c r="C41">
        <v>18.899999999999999</v>
      </c>
      <c r="D41">
        <v>11.3</v>
      </c>
      <c r="E41">
        <f>IF(D41&gt;=1,martianeum[[#This Row],[zawartosc]] * 0.01 *martianeum[[#This Row],[masa '[kg']]],0)</f>
        <v>2.1356999999999999</v>
      </c>
    </row>
    <row r="42" spans="1:6" x14ac:dyDescent="0.25">
      <c r="A42" s="1">
        <v>48681</v>
      </c>
      <c r="B42" t="s">
        <v>4</v>
      </c>
      <c r="C42">
        <v>23.5</v>
      </c>
      <c r="D42">
        <v>0</v>
      </c>
      <c r="E42">
        <f>IF(D42&gt;=1,martianeum[[#This Row],[zawartosc]] * 0.01 *martianeum[[#This Row],[masa '[kg']]],0)</f>
        <v>0</v>
      </c>
    </row>
    <row r="43" spans="1:6" x14ac:dyDescent="0.25">
      <c r="A43" s="1">
        <v>48682</v>
      </c>
      <c r="B43" t="s">
        <v>17</v>
      </c>
      <c r="C43">
        <v>13.4</v>
      </c>
      <c r="D43">
        <v>14.2</v>
      </c>
      <c r="E43">
        <f>IF(D43&gt;=1,martianeum[[#This Row],[zawartosc]] * 0.01 *martianeum[[#This Row],[masa '[kg']]],0)</f>
        <v>1.9027999999999998</v>
      </c>
      <c r="F43">
        <f t="shared" ref="F43" si="4">SUM(C37:C43)</f>
        <v>143.4</v>
      </c>
    </row>
    <row r="44" spans="1:6" x14ac:dyDescent="0.25">
      <c r="A44" s="1">
        <v>48683</v>
      </c>
      <c r="B44" t="s">
        <v>19</v>
      </c>
      <c r="C44">
        <v>18.899999999999999</v>
      </c>
      <c r="D44">
        <v>1.5</v>
      </c>
      <c r="E44">
        <f>IF(D44&gt;=1,martianeum[[#This Row],[zawartosc]] * 0.01 *martianeum[[#This Row],[masa '[kg']]],0)</f>
        <v>0.28349999999999997</v>
      </c>
    </row>
    <row r="45" spans="1:6" x14ac:dyDescent="0.25">
      <c r="A45" s="1">
        <v>48684</v>
      </c>
      <c r="B45" t="s">
        <v>16</v>
      </c>
      <c r="C45">
        <v>13.5</v>
      </c>
      <c r="D45">
        <v>1.4</v>
      </c>
      <c r="E45">
        <f>IF(D45&gt;=1,martianeum[[#This Row],[zawartosc]] * 0.01 *martianeum[[#This Row],[masa '[kg']]],0)</f>
        <v>0.18899999999999997</v>
      </c>
    </row>
    <row r="46" spans="1:6" x14ac:dyDescent="0.25">
      <c r="A46" s="1">
        <v>48685</v>
      </c>
      <c r="B46" t="s">
        <v>4</v>
      </c>
      <c r="C46">
        <v>17.7</v>
      </c>
      <c r="D46">
        <v>5.9</v>
      </c>
      <c r="E46">
        <f>IF(D46&gt;=1,martianeum[[#This Row],[zawartosc]] * 0.01 *martianeum[[#This Row],[masa '[kg']]],0)</f>
        <v>1.0443</v>
      </c>
    </row>
    <row r="47" spans="1:6" x14ac:dyDescent="0.25">
      <c r="A47" s="1">
        <v>48686</v>
      </c>
      <c r="B47" t="s">
        <v>10</v>
      </c>
      <c r="C47">
        <v>24.7</v>
      </c>
      <c r="D47">
        <v>0</v>
      </c>
      <c r="E47">
        <f>IF(D47&gt;=1,martianeum[[#This Row],[zawartosc]] * 0.01 *martianeum[[#This Row],[masa '[kg']]],0)</f>
        <v>0</v>
      </c>
    </row>
    <row r="48" spans="1:6" x14ac:dyDescent="0.25">
      <c r="A48" s="1">
        <v>48687</v>
      </c>
      <c r="B48" t="s">
        <v>17</v>
      </c>
      <c r="C48">
        <v>25.6</v>
      </c>
      <c r="D48">
        <v>1.9</v>
      </c>
      <c r="E48">
        <f>IF(D48&gt;=1,martianeum[[#This Row],[zawartosc]] * 0.01 *martianeum[[#This Row],[masa '[kg']]],0)</f>
        <v>0.4864</v>
      </c>
    </row>
    <row r="49" spans="1:6" x14ac:dyDescent="0.25">
      <c r="A49" s="1">
        <v>48688</v>
      </c>
      <c r="B49" t="s">
        <v>21</v>
      </c>
      <c r="C49">
        <v>18.399999999999999</v>
      </c>
      <c r="D49">
        <v>0</v>
      </c>
      <c r="E49">
        <f>IF(D49&gt;=1,martianeum[[#This Row],[zawartosc]] * 0.01 *martianeum[[#This Row],[masa '[kg']]],0)</f>
        <v>0</v>
      </c>
    </row>
    <row r="50" spans="1:6" x14ac:dyDescent="0.25">
      <c r="A50" s="1">
        <v>48689</v>
      </c>
      <c r="B50" t="s">
        <v>22</v>
      </c>
      <c r="C50">
        <v>27</v>
      </c>
      <c r="D50">
        <v>0</v>
      </c>
      <c r="E50">
        <f>IF(D50&gt;=1,martianeum[[#This Row],[zawartosc]] * 0.01 *martianeum[[#This Row],[masa '[kg']]],0)</f>
        <v>0</v>
      </c>
      <c r="F50">
        <f t="shared" ref="F50" si="5">SUM(C44:C50)</f>
        <v>145.80000000000001</v>
      </c>
    </row>
    <row r="51" spans="1:6" x14ac:dyDescent="0.25">
      <c r="A51" s="1">
        <v>48690</v>
      </c>
      <c r="B51" t="s">
        <v>9</v>
      </c>
      <c r="C51">
        <v>16</v>
      </c>
      <c r="D51">
        <v>0</v>
      </c>
      <c r="E51">
        <f>IF(D51&gt;=1,martianeum[[#This Row],[zawartosc]] * 0.01 *martianeum[[#This Row],[masa '[kg']]],0)</f>
        <v>0</v>
      </c>
    </row>
    <row r="52" spans="1:6" x14ac:dyDescent="0.25">
      <c r="A52" s="1">
        <v>48691</v>
      </c>
      <c r="B52" t="s">
        <v>6</v>
      </c>
      <c r="C52">
        <v>18.600000000000001</v>
      </c>
      <c r="D52">
        <v>7.4</v>
      </c>
      <c r="E52">
        <f>IF(D52&gt;=1,martianeum[[#This Row],[zawartosc]] * 0.01 *martianeum[[#This Row],[masa '[kg']]],0)</f>
        <v>1.3764000000000003</v>
      </c>
    </row>
    <row r="53" spans="1:6" x14ac:dyDescent="0.25">
      <c r="A53" s="1">
        <v>48692</v>
      </c>
      <c r="B53" t="s">
        <v>9</v>
      </c>
      <c r="C53">
        <v>12.7</v>
      </c>
      <c r="D53">
        <v>30.8</v>
      </c>
      <c r="E53">
        <f>IF(D53&gt;=1,martianeum[[#This Row],[zawartosc]] * 0.01 *martianeum[[#This Row],[masa '[kg']]],0)</f>
        <v>3.9115999999999995</v>
      </c>
    </row>
    <row r="54" spans="1:6" x14ac:dyDescent="0.25">
      <c r="A54" s="1">
        <v>48693</v>
      </c>
      <c r="B54" t="s">
        <v>18</v>
      </c>
      <c r="C54">
        <v>14.5</v>
      </c>
      <c r="D54">
        <v>0</v>
      </c>
      <c r="E54">
        <f>IF(D54&gt;=1,martianeum[[#This Row],[zawartosc]] * 0.01 *martianeum[[#This Row],[masa '[kg']]],0)</f>
        <v>0</v>
      </c>
    </row>
    <row r="55" spans="1:6" x14ac:dyDescent="0.25">
      <c r="A55" s="1">
        <v>48694</v>
      </c>
      <c r="B55" t="s">
        <v>23</v>
      </c>
      <c r="C55">
        <v>12.2</v>
      </c>
      <c r="D55">
        <v>3.5</v>
      </c>
      <c r="E55">
        <f>IF(D55&gt;=1,martianeum[[#This Row],[zawartosc]] * 0.01 *martianeum[[#This Row],[masa '[kg']]],0)</f>
        <v>0.42699999999999999</v>
      </c>
    </row>
    <row r="56" spans="1:6" x14ac:dyDescent="0.25">
      <c r="A56" s="1">
        <v>48695</v>
      </c>
      <c r="B56" t="s">
        <v>24</v>
      </c>
      <c r="C56">
        <v>19.899999999999999</v>
      </c>
      <c r="D56">
        <v>0</v>
      </c>
      <c r="E56">
        <f>IF(D56&gt;=1,martianeum[[#This Row],[zawartosc]] * 0.01 *martianeum[[#This Row],[masa '[kg']]],0)</f>
        <v>0</v>
      </c>
    </row>
    <row r="57" spans="1:6" x14ac:dyDescent="0.25">
      <c r="A57" s="1">
        <v>48696</v>
      </c>
      <c r="B57" t="s">
        <v>25</v>
      </c>
      <c r="C57">
        <v>28.1</v>
      </c>
      <c r="D57">
        <v>5.3</v>
      </c>
      <c r="E57">
        <f>IF(D57&gt;=1,martianeum[[#This Row],[zawartosc]] * 0.01 *martianeum[[#This Row],[masa '[kg']]],0)</f>
        <v>1.4893000000000001</v>
      </c>
      <c r="F57">
        <f t="shared" ref="F57" si="6">SUM(C51:C57)</f>
        <v>122</v>
      </c>
    </row>
    <row r="58" spans="1:6" x14ac:dyDescent="0.25">
      <c r="A58" s="1">
        <v>48697</v>
      </c>
      <c r="B58" t="s">
        <v>9</v>
      </c>
      <c r="C58">
        <v>27.7</v>
      </c>
      <c r="D58">
        <v>45.3</v>
      </c>
      <c r="E58">
        <f>IF(D58&gt;=1,martianeum[[#This Row],[zawartosc]] * 0.01 *martianeum[[#This Row],[masa '[kg']]],0)</f>
        <v>12.548099999999998</v>
      </c>
    </row>
    <row r="59" spans="1:6" x14ac:dyDescent="0.25">
      <c r="A59" s="1">
        <v>48698</v>
      </c>
      <c r="B59" t="s">
        <v>4</v>
      </c>
      <c r="C59">
        <v>14.6</v>
      </c>
      <c r="D59">
        <v>5.2</v>
      </c>
      <c r="E59">
        <f>IF(D59&gt;=1,martianeum[[#This Row],[zawartosc]] * 0.01 *martianeum[[#This Row],[masa '[kg']]],0)</f>
        <v>0.7592000000000001</v>
      </c>
    </row>
    <row r="60" spans="1:6" x14ac:dyDescent="0.25">
      <c r="A60" s="1">
        <v>48699</v>
      </c>
      <c r="B60" t="s">
        <v>17</v>
      </c>
      <c r="C60">
        <v>10.8</v>
      </c>
      <c r="D60">
        <v>0</v>
      </c>
      <c r="E60">
        <f>IF(D60&gt;=1,martianeum[[#This Row],[zawartosc]] * 0.01 *martianeum[[#This Row],[masa '[kg']]],0)</f>
        <v>0</v>
      </c>
    </row>
    <row r="61" spans="1:6" x14ac:dyDescent="0.25">
      <c r="A61" s="1">
        <v>48700</v>
      </c>
      <c r="B61" t="s">
        <v>26</v>
      </c>
      <c r="C61">
        <v>12.4</v>
      </c>
      <c r="D61">
        <v>3.2</v>
      </c>
      <c r="E61">
        <f>IF(D61&gt;=1,martianeum[[#This Row],[zawartosc]] * 0.01 *martianeum[[#This Row],[masa '[kg']]],0)</f>
        <v>0.39680000000000004</v>
      </c>
    </row>
    <row r="62" spans="1:6" x14ac:dyDescent="0.25">
      <c r="A62" s="1">
        <v>48701</v>
      </c>
      <c r="B62" t="s">
        <v>9</v>
      </c>
      <c r="C62">
        <v>25.2</v>
      </c>
      <c r="D62">
        <v>0</v>
      </c>
      <c r="E62">
        <f>IF(D62&gt;=1,martianeum[[#This Row],[zawartosc]] * 0.01 *martianeum[[#This Row],[masa '[kg']]],0)</f>
        <v>0</v>
      </c>
    </row>
    <row r="63" spans="1:6" x14ac:dyDescent="0.25">
      <c r="A63" s="1">
        <v>48702</v>
      </c>
      <c r="B63" t="s">
        <v>9</v>
      </c>
      <c r="C63">
        <v>28.9</v>
      </c>
      <c r="D63">
        <v>0</v>
      </c>
      <c r="E63">
        <f>IF(D63&gt;=1,martianeum[[#This Row],[zawartosc]] * 0.01 *martianeum[[#This Row],[masa '[kg']]],0)</f>
        <v>0</v>
      </c>
    </row>
    <row r="64" spans="1:6" x14ac:dyDescent="0.25">
      <c r="A64" s="1">
        <v>48703</v>
      </c>
      <c r="B64" t="s">
        <v>18</v>
      </c>
      <c r="C64">
        <v>13.2</v>
      </c>
      <c r="D64">
        <v>23.3</v>
      </c>
      <c r="E64">
        <f>IF(D64&gt;=1,martianeum[[#This Row],[zawartosc]] * 0.01 *martianeum[[#This Row],[masa '[kg']]],0)</f>
        <v>3.0756000000000001</v>
      </c>
      <c r="F64">
        <f t="shared" ref="F64" si="7">SUM(C58:C64)</f>
        <v>132.79999999999998</v>
      </c>
    </row>
    <row r="65" spans="1:6" x14ac:dyDescent="0.25">
      <c r="A65" s="1">
        <v>48704</v>
      </c>
      <c r="B65" t="s">
        <v>9</v>
      </c>
      <c r="C65">
        <v>27.9</v>
      </c>
      <c r="D65">
        <v>0</v>
      </c>
      <c r="E65">
        <f>IF(D65&gt;=1,martianeum[[#This Row],[zawartosc]] * 0.01 *martianeum[[#This Row],[masa '[kg']]],0)</f>
        <v>0</v>
      </c>
    </row>
    <row r="66" spans="1:6" x14ac:dyDescent="0.25">
      <c r="A66" s="1">
        <v>48705</v>
      </c>
      <c r="B66" t="s">
        <v>6</v>
      </c>
      <c r="C66">
        <v>10.9</v>
      </c>
      <c r="D66">
        <v>3.5</v>
      </c>
      <c r="E66">
        <f>IF(D66&gt;=1,martianeum[[#This Row],[zawartosc]] * 0.01 *martianeum[[#This Row],[masa '[kg']]],0)</f>
        <v>0.38150000000000006</v>
      </c>
    </row>
    <row r="67" spans="1:6" x14ac:dyDescent="0.25">
      <c r="A67" s="1">
        <v>48706</v>
      </c>
      <c r="B67" t="s">
        <v>14</v>
      </c>
      <c r="C67">
        <v>25.5</v>
      </c>
      <c r="D67">
        <v>20</v>
      </c>
      <c r="E67">
        <f>IF(D67&gt;=1,martianeum[[#This Row],[zawartosc]] * 0.01 *martianeum[[#This Row],[masa '[kg']]],0)</f>
        <v>5.1000000000000005</v>
      </c>
    </row>
    <row r="68" spans="1:6" x14ac:dyDescent="0.25">
      <c r="A68" s="1">
        <v>48707</v>
      </c>
      <c r="B68" t="s">
        <v>8</v>
      </c>
      <c r="C68">
        <v>26</v>
      </c>
      <c r="D68">
        <v>0</v>
      </c>
      <c r="E68">
        <f>IF(D68&gt;=1,martianeum[[#This Row],[zawartosc]] * 0.01 *martianeum[[#This Row],[masa '[kg']]],0)</f>
        <v>0</v>
      </c>
    </row>
    <row r="69" spans="1:6" x14ac:dyDescent="0.25">
      <c r="A69" s="1">
        <v>48708</v>
      </c>
      <c r="B69" t="s">
        <v>24</v>
      </c>
      <c r="C69">
        <v>25.8</v>
      </c>
      <c r="D69">
        <v>0.1</v>
      </c>
      <c r="E69">
        <f>IF(D69&gt;=1,martianeum[[#This Row],[zawartosc]] * 0.01 *martianeum[[#This Row],[masa '[kg']]],0)</f>
        <v>0</v>
      </c>
    </row>
    <row r="70" spans="1:6" x14ac:dyDescent="0.25">
      <c r="A70" s="1">
        <v>48709</v>
      </c>
      <c r="B70" t="s">
        <v>13</v>
      </c>
      <c r="C70">
        <v>17.5</v>
      </c>
      <c r="D70">
        <v>0.5</v>
      </c>
      <c r="E70">
        <f>IF(D70&gt;=1,martianeum[[#This Row],[zawartosc]] * 0.01 *martianeum[[#This Row],[masa '[kg']]],0)</f>
        <v>0</v>
      </c>
    </row>
    <row r="71" spans="1:6" x14ac:dyDescent="0.25">
      <c r="A71" s="1">
        <v>48710</v>
      </c>
      <c r="B71" t="s">
        <v>9</v>
      </c>
      <c r="C71">
        <v>17.8</v>
      </c>
      <c r="D71">
        <v>3.3</v>
      </c>
      <c r="E71">
        <f>IF(D71&gt;=1,martianeum[[#This Row],[zawartosc]] * 0.01 *martianeum[[#This Row],[masa '[kg']]],0)</f>
        <v>0.58740000000000003</v>
      </c>
      <c r="F71">
        <f t="shared" ref="F71" si="8">SUM(C65:C71)</f>
        <v>151.4</v>
      </c>
    </row>
    <row r="72" spans="1:6" x14ac:dyDescent="0.25">
      <c r="A72" s="1">
        <v>48711</v>
      </c>
      <c r="B72" t="s">
        <v>9</v>
      </c>
      <c r="C72">
        <v>17.5</v>
      </c>
      <c r="D72">
        <v>0</v>
      </c>
      <c r="E72">
        <f>IF(D72&gt;=1,martianeum[[#This Row],[zawartosc]] * 0.01 *martianeum[[#This Row],[masa '[kg']]],0)</f>
        <v>0</v>
      </c>
    </row>
    <row r="73" spans="1:6" x14ac:dyDescent="0.25">
      <c r="A73" s="1">
        <v>48712</v>
      </c>
      <c r="B73" t="s">
        <v>12</v>
      </c>
      <c r="C73">
        <v>16.100000000000001</v>
      </c>
      <c r="D73">
        <v>0</v>
      </c>
      <c r="E73">
        <f>IF(D73&gt;=1,martianeum[[#This Row],[zawartosc]] * 0.01 *martianeum[[#This Row],[masa '[kg']]],0)</f>
        <v>0</v>
      </c>
    </row>
    <row r="74" spans="1:6" x14ac:dyDescent="0.25">
      <c r="A74" s="1">
        <v>48713</v>
      </c>
      <c r="B74" t="s">
        <v>4</v>
      </c>
      <c r="C74">
        <v>11.8</v>
      </c>
      <c r="D74">
        <v>7</v>
      </c>
      <c r="E74">
        <f>IF(D74&gt;=1,martianeum[[#This Row],[zawartosc]] * 0.01 *martianeum[[#This Row],[masa '[kg']]],0)</f>
        <v>0.82600000000000018</v>
      </c>
    </row>
    <row r="75" spans="1:6" x14ac:dyDescent="0.25">
      <c r="A75" s="1">
        <v>48714</v>
      </c>
      <c r="B75" t="s">
        <v>14</v>
      </c>
      <c r="C75">
        <v>26.2</v>
      </c>
      <c r="D75">
        <v>0</v>
      </c>
      <c r="E75">
        <f>IF(D75&gt;=1,martianeum[[#This Row],[zawartosc]] * 0.01 *martianeum[[#This Row],[masa '[kg']]],0)</f>
        <v>0</v>
      </c>
    </row>
    <row r="76" spans="1:6" x14ac:dyDescent="0.25">
      <c r="A76" s="1">
        <v>48715</v>
      </c>
      <c r="B76" t="s">
        <v>5</v>
      </c>
      <c r="C76">
        <v>28.8</v>
      </c>
      <c r="D76">
        <v>2.9</v>
      </c>
      <c r="E76">
        <f>IF(D76&gt;=1,martianeum[[#This Row],[zawartosc]] * 0.01 *martianeum[[#This Row],[masa '[kg']]],0)</f>
        <v>0.83519999999999994</v>
      </c>
    </row>
    <row r="77" spans="1:6" x14ac:dyDescent="0.25">
      <c r="A77" s="1">
        <v>48716</v>
      </c>
      <c r="B77" t="s">
        <v>9</v>
      </c>
      <c r="C77">
        <v>18.7</v>
      </c>
      <c r="D77">
        <v>0</v>
      </c>
      <c r="E77">
        <f>IF(D77&gt;=1,martianeum[[#This Row],[zawartosc]] * 0.01 *martianeum[[#This Row],[masa '[kg']]],0)</f>
        <v>0</v>
      </c>
    </row>
    <row r="78" spans="1:6" x14ac:dyDescent="0.25">
      <c r="A78" s="1">
        <v>48717</v>
      </c>
      <c r="B78" t="s">
        <v>17</v>
      </c>
      <c r="C78">
        <v>10.3</v>
      </c>
      <c r="D78">
        <v>9.1999999999999993</v>
      </c>
      <c r="E78">
        <f>IF(D78&gt;=1,martianeum[[#This Row],[zawartosc]] * 0.01 *martianeum[[#This Row],[masa '[kg']]],0)</f>
        <v>0.9476</v>
      </c>
      <c r="F78">
        <f t="shared" ref="F78" si="9">SUM(C72:C78)</f>
        <v>129.4</v>
      </c>
    </row>
    <row r="79" spans="1:6" x14ac:dyDescent="0.25">
      <c r="A79" s="1">
        <v>48718</v>
      </c>
      <c r="B79" t="s">
        <v>5</v>
      </c>
      <c r="C79">
        <v>29.8</v>
      </c>
      <c r="D79">
        <v>3.4</v>
      </c>
      <c r="E79">
        <f>IF(D79&gt;=1,martianeum[[#This Row],[zawartosc]] * 0.01 *martianeum[[#This Row],[masa '[kg']]],0)</f>
        <v>1.0132000000000001</v>
      </c>
    </row>
    <row r="80" spans="1:6" x14ac:dyDescent="0.25">
      <c r="A80" s="1">
        <v>48719</v>
      </c>
      <c r="B80" t="s">
        <v>9</v>
      </c>
      <c r="C80">
        <v>26.2</v>
      </c>
      <c r="D80">
        <v>32.299999999999997</v>
      </c>
      <c r="E80">
        <f>IF(D80&gt;=1,martianeum[[#This Row],[zawartosc]] * 0.01 *martianeum[[#This Row],[masa '[kg']]],0)</f>
        <v>8.4625999999999983</v>
      </c>
    </row>
    <row r="81" spans="1:6" x14ac:dyDescent="0.25">
      <c r="A81" s="1">
        <v>48720</v>
      </c>
      <c r="B81" t="s">
        <v>18</v>
      </c>
      <c r="C81">
        <v>13.8</v>
      </c>
      <c r="D81">
        <v>15.9</v>
      </c>
      <c r="E81">
        <f>IF(D81&gt;=1,martianeum[[#This Row],[zawartosc]] * 0.01 *martianeum[[#This Row],[masa '[kg']]],0)</f>
        <v>2.1941999999999999</v>
      </c>
    </row>
    <row r="82" spans="1:6" x14ac:dyDescent="0.25">
      <c r="A82" s="1">
        <v>48721</v>
      </c>
      <c r="B82" t="s">
        <v>18</v>
      </c>
      <c r="C82">
        <v>22.4</v>
      </c>
      <c r="D82">
        <v>24.5</v>
      </c>
      <c r="E82">
        <f>IF(D82&gt;=1,martianeum[[#This Row],[zawartosc]] * 0.01 *martianeum[[#This Row],[masa '[kg']]],0)</f>
        <v>5.4879999999999995</v>
      </c>
    </row>
    <row r="83" spans="1:6" x14ac:dyDescent="0.25">
      <c r="A83" s="1">
        <v>48722</v>
      </c>
      <c r="B83" t="s">
        <v>18</v>
      </c>
      <c r="C83">
        <v>24.5</v>
      </c>
      <c r="D83">
        <v>0.9</v>
      </c>
      <c r="E83">
        <f>IF(D83&gt;=1,martianeum[[#This Row],[zawartosc]] * 0.01 *martianeum[[#This Row],[masa '[kg']]],0)</f>
        <v>0</v>
      </c>
    </row>
    <row r="84" spans="1:6" x14ac:dyDescent="0.25">
      <c r="A84" s="1">
        <v>48723</v>
      </c>
      <c r="B84" t="s">
        <v>27</v>
      </c>
      <c r="C84">
        <v>23.1</v>
      </c>
      <c r="D84">
        <v>0.3</v>
      </c>
      <c r="E84">
        <f>IF(D84&gt;=1,martianeum[[#This Row],[zawartosc]] * 0.01 *martianeum[[#This Row],[masa '[kg']]],0)</f>
        <v>0</v>
      </c>
    </row>
    <row r="85" spans="1:6" x14ac:dyDescent="0.25">
      <c r="A85" s="1">
        <v>48724</v>
      </c>
      <c r="B85" t="s">
        <v>24</v>
      </c>
      <c r="C85">
        <v>29.8</v>
      </c>
      <c r="D85">
        <v>0</v>
      </c>
      <c r="E85">
        <f>IF(D85&gt;=1,martianeum[[#This Row],[zawartosc]] * 0.01 *martianeum[[#This Row],[masa '[kg']]],0)</f>
        <v>0</v>
      </c>
      <c r="F85">
        <f t="shared" ref="F85" si="10">SUM(C79:C85)</f>
        <v>169.6</v>
      </c>
    </row>
    <row r="86" spans="1:6" x14ac:dyDescent="0.25">
      <c r="A86" s="1">
        <v>48725</v>
      </c>
      <c r="B86" t="s">
        <v>3</v>
      </c>
      <c r="C86">
        <v>11.2</v>
      </c>
      <c r="D86">
        <v>0</v>
      </c>
      <c r="E86">
        <f>IF(D86&gt;=1,martianeum[[#This Row],[zawartosc]] * 0.01 *martianeum[[#This Row],[masa '[kg']]],0)</f>
        <v>0</v>
      </c>
    </row>
    <row r="87" spans="1:6" x14ac:dyDescent="0.25">
      <c r="A87" s="1">
        <v>48726</v>
      </c>
      <c r="B87" t="s">
        <v>18</v>
      </c>
      <c r="C87">
        <v>18.7</v>
      </c>
      <c r="D87">
        <v>0</v>
      </c>
      <c r="E87">
        <f>IF(D87&gt;=1,martianeum[[#This Row],[zawartosc]] * 0.01 *martianeum[[#This Row],[masa '[kg']]],0)</f>
        <v>0</v>
      </c>
    </row>
    <row r="88" spans="1:6" x14ac:dyDescent="0.25">
      <c r="A88" s="1">
        <v>48727</v>
      </c>
      <c r="B88" t="s">
        <v>17</v>
      </c>
      <c r="C88">
        <v>11.4</v>
      </c>
      <c r="D88">
        <v>8.1</v>
      </c>
      <c r="E88">
        <f>IF(D88&gt;=1,martianeum[[#This Row],[zawartosc]] * 0.01 *martianeum[[#This Row],[masa '[kg']]],0)</f>
        <v>0.92340000000000011</v>
      </c>
    </row>
    <row r="89" spans="1:6" x14ac:dyDescent="0.25">
      <c r="A89" s="1">
        <v>48728</v>
      </c>
      <c r="B89" t="s">
        <v>12</v>
      </c>
      <c r="C89">
        <v>21.3</v>
      </c>
      <c r="D89">
        <v>13.4</v>
      </c>
      <c r="E89">
        <f>IF(D89&gt;=1,martianeum[[#This Row],[zawartosc]] * 0.01 *martianeum[[#This Row],[masa '[kg']]],0)</f>
        <v>2.8542000000000001</v>
      </c>
    </row>
    <row r="90" spans="1:6" x14ac:dyDescent="0.25">
      <c r="A90" s="1">
        <v>48729</v>
      </c>
      <c r="B90" t="s">
        <v>4</v>
      </c>
      <c r="C90">
        <v>24.5</v>
      </c>
      <c r="D90">
        <v>2.6</v>
      </c>
      <c r="E90">
        <f>IF(D90&gt;=1,martianeum[[#This Row],[zawartosc]] * 0.01 *martianeum[[#This Row],[masa '[kg']]],0)</f>
        <v>0.63700000000000001</v>
      </c>
    </row>
    <row r="91" spans="1:6" x14ac:dyDescent="0.25">
      <c r="A91" s="1">
        <v>48730</v>
      </c>
      <c r="B91" t="s">
        <v>18</v>
      </c>
      <c r="C91">
        <v>20</v>
      </c>
      <c r="D91">
        <v>13.2</v>
      </c>
      <c r="E91">
        <f>IF(D91&gt;=1,martianeum[[#This Row],[zawartosc]] * 0.01 *martianeum[[#This Row],[masa '[kg']]],0)</f>
        <v>2.64</v>
      </c>
    </row>
    <row r="92" spans="1:6" x14ac:dyDescent="0.25">
      <c r="A92" s="1">
        <v>48731</v>
      </c>
      <c r="B92" t="s">
        <v>9</v>
      </c>
      <c r="C92">
        <v>28.4</v>
      </c>
      <c r="D92">
        <v>12</v>
      </c>
      <c r="E92">
        <f>IF(D92&gt;=1,martianeum[[#This Row],[zawartosc]] * 0.01 *martianeum[[#This Row],[masa '[kg']]],0)</f>
        <v>3.4079999999999999</v>
      </c>
      <c r="F92">
        <f t="shared" ref="F92" si="11">SUM(C86:C92)</f>
        <v>135.5</v>
      </c>
    </row>
    <row r="93" spans="1:6" x14ac:dyDescent="0.25">
      <c r="A93" s="1">
        <v>48732</v>
      </c>
      <c r="B93" t="s">
        <v>10</v>
      </c>
      <c r="C93">
        <v>14.8</v>
      </c>
      <c r="D93">
        <v>10.1</v>
      </c>
      <c r="E93">
        <f>IF(D93&gt;=1,martianeum[[#This Row],[zawartosc]] * 0.01 *martianeum[[#This Row],[masa '[kg']]],0)</f>
        <v>1.4947999999999999</v>
      </c>
    </row>
    <row r="94" spans="1:6" x14ac:dyDescent="0.25">
      <c r="A94" s="1">
        <v>48733</v>
      </c>
      <c r="B94" t="s">
        <v>28</v>
      </c>
      <c r="C94">
        <v>27.9</v>
      </c>
      <c r="D94">
        <v>0.6</v>
      </c>
      <c r="E94">
        <f>IF(D94&gt;=1,martianeum[[#This Row],[zawartosc]] * 0.01 *martianeum[[#This Row],[masa '[kg']]],0)</f>
        <v>0</v>
      </c>
    </row>
    <row r="95" spans="1:6" x14ac:dyDescent="0.25">
      <c r="A95" s="1">
        <v>48734</v>
      </c>
      <c r="B95" t="s">
        <v>11</v>
      </c>
      <c r="C95">
        <v>19.899999999999999</v>
      </c>
      <c r="D95">
        <v>9.8000000000000007</v>
      </c>
      <c r="E95">
        <f>IF(D95&gt;=1,martianeum[[#This Row],[zawartosc]] * 0.01 *martianeum[[#This Row],[masa '[kg']]],0)</f>
        <v>1.9501999999999999</v>
      </c>
    </row>
    <row r="96" spans="1:6" x14ac:dyDescent="0.25">
      <c r="A96" s="1">
        <v>48735</v>
      </c>
      <c r="B96" t="s">
        <v>18</v>
      </c>
      <c r="C96">
        <v>22.5</v>
      </c>
      <c r="D96">
        <v>0</v>
      </c>
      <c r="E96">
        <f>IF(D96&gt;=1,martianeum[[#This Row],[zawartosc]] * 0.01 *martianeum[[#This Row],[masa '[kg']]],0)</f>
        <v>0</v>
      </c>
    </row>
    <row r="97" spans="1:6" x14ac:dyDescent="0.25">
      <c r="A97" s="1">
        <v>48736</v>
      </c>
      <c r="B97" t="s">
        <v>7</v>
      </c>
      <c r="C97">
        <v>21.6</v>
      </c>
      <c r="D97">
        <v>4.9000000000000004</v>
      </c>
      <c r="E97">
        <f>IF(D97&gt;=1,martianeum[[#This Row],[zawartosc]] * 0.01 *martianeum[[#This Row],[masa '[kg']]],0)</f>
        <v>1.0584</v>
      </c>
    </row>
    <row r="98" spans="1:6" x14ac:dyDescent="0.25">
      <c r="A98" s="1">
        <v>48737</v>
      </c>
      <c r="B98" t="s">
        <v>9</v>
      </c>
      <c r="C98">
        <v>28.1</v>
      </c>
      <c r="D98">
        <v>0</v>
      </c>
      <c r="E98">
        <f>IF(D98&gt;=1,martianeum[[#This Row],[zawartosc]] * 0.01 *martianeum[[#This Row],[masa '[kg']]],0)</f>
        <v>0</v>
      </c>
    </row>
    <row r="99" spans="1:6" x14ac:dyDescent="0.25">
      <c r="A99" s="1">
        <v>48738</v>
      </c>
      <c r="B99" t="s">
        <v>11</v>
      </c>
      <c r="C99">
        <v>21.5</v>
      </c>
      <c r="D99">
        <v>8.6</v>
      </c>
      <c r="E99">
        <f>IF(D99&gt;=1,martianeum[[#This Row],[zawartosc]] * 0.01 *martianeum[[#This Row],[masa '[kg']]],0)</f>
        <v>1.8489999999999998</v>
      </c>
      <c r="F99">
        <f t="shared" ref="F99" si="12">SUM(C93:C99)</f>
        <v>156.29999999999998</v>
      </c>
    </row>
    <row r="100" spans="1:6" x14ac:dyDescent="0.25">
      <c r="A100" s="1">
        <v>48739</v>
      </c>
      <c r="B100" t="s">
        <v>13</v>
      </c>
      <c r="C100">
        <v>22.7</v>
      </c>
      <c r="D100">
        <v>0.1</v>
      </c>
      <c r="E100">
        <f>IF(D100&gt;=1,martianeum[[#This Row],[zawartosc]] * 0.01 *martianeum[[#This Row],[masa '[kg']]],0)</f>
        <v>0</v>
      </c>
    </row>
    <row r="101" spans="1:6" x14ac:dyDescent="0.25">
      <c r="A101" s="1">
        <v>48740</v>
      </c>
      <c r="B101" t="s">
        <v>9</v>
      </c>
      <c r="C101">
        <v>27.4</v>
      </c>
      <c r="D101">
        <v>21.8</v>
      </c>
      <c r="E101">
        <f>IF(D101&gt;=1,martianeum[[#This Row],[zawartosc]] * 0.01 *martianeum[[#This Row],[masa '[kg']]],0)</f>
        <v>5.9731999999999994</v>
      </c>
    </row>
    <row r="102" spans="1:6" x14ac:dyDescent="0.25">
      <c r="A102" s="1">
        <v>48741</v>
      </c>
      <c r="B102" t="s">
        <v>18</v>
      </c>
      <c r="C102">
        <v>18.3</v>
      </c>
      <c r="D102">
        <v>17.3</v>
      </c>
      <c r="E102">
        <f>IF(D102&gt;=1,martianeum[[#This Row],[zawartosc]] * 0.01 *martianeum[[#This Row],[masa '[kg']]],0)</f>
        <v>3.1659000000000006</v>
      </c>
    </row>
    <row r="103" spans="1:6" x14ac:dyDescent="0.25">
      <c r="A103" s="1">
        <v>48742</v>
      </c>
      <c r="B103" t="s">
        <v>18</v>
      </c>
      <c r="C103">
        <v>29</v>
      </c>
      <c r="D103">
        <v>27.3</v>
      </c>
      <c r="E103">
        <f>IF(D103&gt;=1,martianeum[[#This Row],[zawartosc]] * 0.01 *martianeum[[#This Row],[masa '[kg']]],0)</f>
        <v>7.9170000000000007</v>
      </c>
    </row>
    <row r="104" spans="1:6" x14ac:dyDescent="0.25">
      <c r="A104" s="1">
        <v>48743</v>
      </c>
      <c r="B104" t="s">
        <v>17</v>
      </c>
      <c r="C104">
        <v>18.100000000000001</v>
      </c>
      <c r="D104">
        <v>0</v>
      </c>
      <c r="E104">
        <f>IF(D104&gt;=1,martianeum[[#This Row],[zawartosc]] * 0.01 *martianeum[[#This Row],[masa '[kg']]],0)</f>
        <v>0</v>
      </c>
    </row>
    <row r="105" spans="1:6" x14ac:dyDescent="0.25">
      <c r="A105" s="1">
        <v>48744</v>
      </c>
      <c r="B105" t="s">
        <v>19</v>
      </c>
      <c r="C105">
        <v>16.399999999999999</v>
      </c>
      <c r="D105">
        <v>1.1000000000000001</v>
      </c>
      <c r="E105">
        <f>IF(D105&gt;=1,martianeum[[#This Row],[zawartosc]] * 0.01 *martianeum[[#This Row],[masa '[kg']]],0)</f>
        <v>0.1804</v>
      </c>
    </row>
    <row r="106" spans="1:6" x14ac:dyDescent="0.25">
      <c r="A106" s="1">
        <v>48745</v>
      </c>
      <c r="B106" t="s">
        <v>5</v>
      </c>
      <c r="C106">
        <v>21.8</v>
      </c>
      <c r="D106">
        <v>0</v>
      </c>
      <c r="E106">
        <f>IF(D106&gt;=1,martianeum[[#This Row],[zawartosc]] * 0.01 *martianeum[[#This Row],[masa '[kg']]],0)</f>
        <v>0</v>
      </c>
      <c r="F106">
        <f t="shared" ref="F106" si="13">SUM(C100:C106)</f>
        <v>153.70000000000002</v>
      </c>
    </row>
    <row r="107" spans="1:6" x14ac:dyDescent="0.25">
      <c r="A107" s="1">
        <v>48746</v>
      </c>
      <c r="B107" t="s">
        <v>28</v>
      </c>
      <c r="C107">
        <v>27.2</v>
      </c>
      <c r="D107">
        <v>0</v>
      </c>
      <c r="E107">
        <f>IF(D107&gt;=1,martianeum[[#This Row],[zawartosc]] * 0.01 *martianeum[[#This Row],[masa '[kg']]],0)</f>
        <v>0</v>
      </c>
    </row>
    <row r="108" spans="1:6" x14ac:dyDescent="0.25">
      <c r="A108" s="1">
        <v>48747</v>
      </c>
      <c r="B108" t="s">
        <v>21</v>
      </c>
      <c r="C108">
        <v>21.2</v>
      </c>
      <c r="D108">
        <v>0</v>
      </c>
      <c r="E108">
        <f>IF(D108&gt;=1,martianeum[[#This Row],[zawartosc]] * 0.01 *martianeum[[#This Row],[masa '[kg']]],0)</f>
        <v>0</v>
      </c>
    </row>
    <row r="109" spans="1:6" x14ac:dyDescent="0.25">
      <c r="A109" s="1">
        <v>48748</v>
      </c>
      <c r="B109" t="s">
        <v>18</v>
      </c>
      <c r="C109">
        <v>17.7</v>
      </c>
      <c r="D109">
        <v>13.9</v>
      </c>
      <c r="E109">
        <f>IF(D109&gt;=1,martianeum[[#This Row],[zawartosc]] * 0.01 *martianeum[[#This Row],[masa '[kg']]],0)</f>
        <v>2.4603000000000002</v>
      </c>
    </row>
    <row r="110" spans="1:6" x14ac:dyDescent="0.25">
      <c r="A110" s="1">
        <v>48749</v>
      </c>
      <c r="B110" t="s">
        <v>21</v>
      </c>
      <c r="C110">
        <v>10.6</v>
      </c>
      <c r="D110">
        <v>6.9</v>
      </c>
      <c r="E110">
        <f>IF(D110&gt;=1,martianeum[[#This Row],[zawartosc]] * 0.01 *martianeum[[#This Row],[masa '[kg']]],0)</f>
        <v>0.73140000000000005</v>
      </c>
    </row>
    <row r="111" spans="1:6" x14ac:dyDescent="0.25">
      <c r="A111" s="1">
        <v>48750</v>
      </c>
      <c r="B111" t="s">
        <v>26</v>
      </c>
      <c r="C111">
        <v>10.4</v>
      </c>
      <c r="D111">
        <v>1.1000000000000001</v>
      </c>
      <c r="E111">
        <f>IF(D111&gt;=1,martianeum[[#This Row],[zawartosc]] * 0.01 *martianeum[[#This Row],[masa '[kg']]],0)</f>
        <v>0.11440000000000002</v>
      </c>
    </row>
    <row r="112" spans="1:6" x14ac:dyDescent="0.25">
      <c r="A112" s="1">
        <v>48751</v>
      </c>
      <c r="B112" t="s">
        <v>9</v>
      </c>
      <c r="C112">
        <v>15.8</v>
      </c>
      <c r="D112">
        <v>7.1</v>
      </c>
      <c r="E112">
        <f>IF(D112&gt;=1,martianeum[[#This Row],[zawartosc]] * 0.01 *martianeum[[#This Row],[masa '[kg']]],0)</f>
        <v>1.1217999999999999</v>
      </c>
    </row>
    <row r="113" spans="1:6" x14ac:dyDescent="0.25">
      <c r="A113" s="1">
        <v>48752</v>
      </c>
      <c r="B113" t="s">
        <v>8</v>
      </c>
      <c r="C113">
        <v>19.899999999999999</v>
      </c>
      <c r="D113">
        <v>10.8</v>
      </c>
      <c r="E113">
        <f>IF(D113&gt;=1,martianeum[[#This Row],[zawartosc]] * 0.01 *martianeum[[#This Row],[masa '[kg']]],0)</f>
        <v>2.1492</v>
      </c>
      <c r="F113">
        <f t="shared" ref="F113" si="14">SUM(C107:C113)</f>
        <v>122.79999999999998</v>
      </c>
    </row>
    <row r="114" spans="1:6" x14ac:dyDescent="0.25">
      <c r="A114" s="1">
        <v>48753</v>
      </c>
      <c r="B114" t="s">
        <v>10</v>
      </c>
      <c r="C114">
        <v>13</v>
      </c>
      <c r="D114">
        <v>0</v>
      </c>
      <c r="E114">
        <f>IF(D114&gt;=1,martianeum[[#This Row],[zawartosc]] * 0.01 *martianeum[[#This Row],[masa '[kg']]],0)</f>
        <v>0</v>
      </c>
    </row>
    <row r="115" spans="1:6" x14ac:dyDescent="0.25">
      <c r="A115" s="1">
        <v>48754</v>
      </c>
      <c r="B115" t="s">
        <v>6</v>
      </c>
      <c r="C115">
        <v>28.1</v>
      </c>
      <c r="D115">
        <v>15</v>
      </c>
      <c r="E115">
        <f>IF(D115&gt;=1,martianeum[[#This Row],[zawartosc]] * 0.01 *martianeum[[#This Row],[masa '[kg']]],0)</f>
        <v>4.2149999999999999</v>
      </c>
    </row>
    <row r="116" spans="1:6" x14ac:dyDescent="0.25">
      <c r="A116" s="1">
        <v>48755</v>
      </c>
      <c r="B116" t="s">
        <v>11</v>
      </c>
      <c r="C116">
        <v>22.5</v>
      </c>
      <c r="D116">
        <v>8.6</v>
      </c>
      <c r="E116">
        <f>IF(D116&gt;=1,martianeum[[#This Row],[zawartosc]] * 0.01 *martianeum[[#This Row],[masa '[kg']]],0)</f>
        <v>1.9349999999999998</v>
      </c>
    </row>
    <row r="117" spans="1:6" x14ac:dyDescent="0.25">
      <c r="A117" s="1">
        <v>48756</v>
      </c>
      <c r="B117" t="s">
        <v>18</v>
      </c>
      <c r="C117">
        <v>14</v>
      </c>
      <c r="D117">
        <v>36.1</v>
      </c>
      <c r="E117">
        <f>IF(D117&gt;=1,martianeum[[#This Row],[zawartosc]] * 0.01 *martianeum[[#This Row],[masa '[kg']]],0)</f>
        <v>5.0540000000000003</v>
      </c>
    </row>
    <row r="118" spans="1:6" x14ac:dyDescent="0.25">
      <c r="A118" s="1">
        <v>48757</v>
      </c>
      <c r="B118" t="s">
        <v>9</v>
      </c>
      <c r="C118">
        <v>10.6</v>
      </c>
      <c r="D118">
        <v>18.399999999999999</v>
      </c>
      <c r="E118">
        <f>IF(D118&gt;=1,martianeum[[#This Row],[zawartosc]] * 0.01 *martianeum[[#This Row],[masa '[kg']]],0)</f>
        <v>1.9503999999999999</v>
      </c>
    </row>
    <row r="119" spans="1:6" x14ac:dyDescent="0.25">
      <c r="A119" s="1">
        <v>48758</v>
      </c>
      <c r="B119" t="s">
        <v>22</v>
      </c>
      <c r="C119">
        <v>22.3</v>
      </c>
      <c r="D119">
        <v>0</v>
      </c>
      <c r="E119">
        <f>IF(D119&gt;=1,martianeum[[#This Row],[zawartosc]] * 0.01 *martianeum[[#This Row],[masa '[kg']]],0)</f>
        <v>0</v>
      </c>
    </row>
    <row r="120" spans="1:6" x14ac:dyDescent="0.25">
      <c r="A120" s="1">
        <v>48759</v>
      </c>
      <c r="B120" t="s">
        <v>18</v>
      </c>
      <c r="C120">
        <v>14.5</v>
      </c>
      <c r="D120">
        <v>26</v>
      </c>
      <c r="E120">
        <f>IF(D120&gt;=1,martianeum[[#This Row],[zawartosc]] * 0.01 *martianeum[[#This Row],[masa '[kg']]],0)</f>
        <v>3.77</v>
      </c>
      <c r="F120">
        <f t="shared" ref="F120" si="15">SUM(C114:C120)</f>
        <v>124.99999999999999</v>
      </c>
    </row>
    <row r="121" spans="1:6" x14ac:dyDescent="0.25">
      <c r="A121" s="1">
        <v>48760</v>
      </c>
      <c r="B121" t="s">
        <v>4</v>
      </c>
      <c r="C121">
        <v>21</v>
      </c>
      <c r="D121">
        <v>1.7</v>
      </c>
      <c r="E121">
        <f>IF(D121&gt;=1,martianeum[[#This Row],[zawartosc]] * 0.01 *martianeum[[#This Row],[masa '[kg']]],0)</f>
        <v>0.35700000000000004</v>
      </c>
    </row>
    <row r="122" spans="1:6" x14ac:dyDescent="0.25">
      <c r="A122" s="1">
        <v>48761</v>
      </c>
      <c r="B122" t="s">
        <v>3</v>
      </c>
      <c r="C122">
        <v>17.7</v>
      </c>
      <c r="D122">
        <v>0.4</v>
      </c>
      <c r="E122">
        <f>IF(D122&gt;=1,martianeum[[#This Row],[zawartosc]] * 0.01 *martianeum[[#This Row],[masa '[kg']]],0)</f>
        <v>0</v>
      </c>
    </row>
    <row r="123" spans="1:6" x14ac:dyDescent="0.25">
      <c r="A123" s="1">
        <v>48762</v>
      </c>
      <c r="B123" t="s">
        <v>6</v>
      </c>
      <c r="C123">
        <v>24.3</v>
      </c>
      <c r="D123">
        <v>9.6999999999999993</v>
      </c>
      <c r="E123">
        <f>IF(D123&gt;=1,martianeum[[#This Row],[zawartosc]] * 0.01 *martianeum[[#This Row],[masa '[kg']]],0)</f>
        <v>2.3571</v>
      </c>
    </row>
    <row r="124" spans="1:6" x14ac:dyDescent="0.25">
      <c r="A124" s="1">
        <v>48763</v>
      </c>
      <c r="B124" t="s">
        <v>14</v>
      </c>
      <c r="C124">
        <v>18.8</v>
      </c>
      <c r="D124">
        <v>6.4</v>
      </c>
      <c r="E124">
        <f>IF(D124&gt;=1,martianeum[[#This Row],[zawartosc]] * 0.01 *martianeum[[#This Row],[masa '[kg']]],0)</f>
        <v>1.2032</v>
      </c>
    </row>
    <row r="125" spans="1:6" x14ac:dyDescent="0.25">
      <c r="A125" s="1">
        <v>48764</v>
      </c>
      <c r="B125" t="s">
        <v>12</v>
      </c>
      <c r="C125">
        <v>15.9</v>
      </c>
      <c r="D125">
        <v>5.2</v>
      </c>
      <c r="E125">
        <f>IF(D125&gt;=1,martianeum[[#This Row],[zawartosc]] * 0.01 *martianeum[[#This Row],[masa '[kg']]],0)</f>
        <v>0.82680000000000009</v>
      </c>
    </row>
    <row r="126" spans="1:6" x14ac:dyDescent="0.25">
      <c r="A126" s="1">
        <v>48765</v>
      </c>
      <c r="B126" t="s">
        <v>6</v>
      </c>
      <c r="C126">
        <v>26.1</v>
      </c>
      <c r="D126">
        <v>0</v>
      </c>
      <c r="E126">
        <f>IF(D126&gt;=1,martianeum[[#This Row],[zawartosc]] * 0.01 *martianeum[[#This Row],[masa '[kg']]],0)</f>
        <v>0</v>
      </c>
    </row>
    <row r="127" spans="1:6" x14ac:dyDescent="0.25">
      <c r="A127" s="1">
        <v>48766</v>
      </c>
      <c r="B127" t="s">
        <v>18</v>
      </c>
      <c r="C127">
        <v>29.4</v>
      </c>
      <c r="D127">
        <v>8.8000000000000007</v>
      </c>
      <c r="E127">
        <f>IF(D127&gt;=1,martianeum[[#This Row],[zawartosc]] * 0.01 *martianeum[[#This Row],[masa '[kg']]],0)</f>
        <v>2.5872000000000002</v>
      </c>
      <c r="F127">
        <f t="shared" ref="F127" si="16">SUM(C121:C127)</f>
        <v>153.20000000000002</v>
      </c>
    </row>
    <row r="128" spans="1:6" x14ac:dyDescent="0.25">
      <c r="A128" s="1">
        <v>48767</v>
      </c>
      <c r="B128" t="s">
        <v>12</v>
      </c>
      <c r="C128">
        <v>10.5</v>
      </c>
      <c r="D128">
        <v>14.5</v>
      </c>
      <c r="E128">
        <f>IF(D128&gt;=1,martianeum[[#This Row],[zawartosc]] * 0.01 *martianeum[[#This Row],[masa '[kg']]],0)</f>
        <v>1.5225</v>
      </c>
    </row>
    <row r="129" spans="1:6" x14ac:dyDescent="0.25">
      <c r="A129" s="1">
        <v>48768</v>
      </c>
      <c r="B129" t="s">
        <v>29</v>
      </c>
      <c r="C129">
        <v>18.100000000000001</v>
      </c>
      <c r="D129">
        <v>0</v>
      </c>
      <c r="E129">
        <f>IF(D129&gt;=1,martianeum[[#This Row],[zawartosc]] * 0.01 *martianeum[[#This Row],[masa '[kg']]],0)</f>
        <v>0</v>
      </c>
    </row>
    <row r="130" spans="1:6" x14ac:dyDescent="0.25">
      <c r="A130" s="1">
        <v>48769</v>
      </c>
      <c r="B130" t="s">
        <v>14</v>
      </c>
      <c r="C130">
        <v>20.6</v>
      </c>
      <c r="D130">
        <v>0</v>
      </c>
      <c r="E130">
        <f>IF(D130&gt;=1,martianeum[[#This Row],[zawartosc]] * 0.01 *martianeum[[#This Row],[masa '[kg']]],0)</f>
        <v>0</v>
      </c>
    </row>
    <row r="131" spans="1:6" x14ac:dyDescent="0.25">
      <c r="A131" s="1">
        <v>48770</v>
      </c>
      <c r="B131" t="s">
        <v>14</v>
      </c>
      <c r="C131">
        <v>17.100000000000001</v>
      </c>
      <c r="D131">
        <v>0</v>
      </c>
      <c r="E131">
        <f>IF(D131&gt;=1,martianeum[[#This Row],[zawartosc]] * 0.01 *martianeum[[#This Row],[masa '[kg']]],0)</f>
        <v>0</v>
      </c>
    </row>
    <row r="132" spans="1:6" x14ac:dyDescent="0.25">
      <c r="A132" s="1">
        <v>48771</v>
      </c>
      <c r="B132" t="s">
        <v>21</v>
      </c>
      <c r="C132">
        <v>17</v>
      </c>
      <c r="D132">
        <v>0.3</v>
      </c>
      <c r="E132">
        <f>IF(D132&gt;=1,martianeum[[#This Row],[zawartosc]] * 0.01 *martianeum[[#This Row],[masa '[kg']]],0)</f>
        <v>0</v>
      </c>
    </row>
    <row r="133" spans="1:6" x14ac:dyDescent="0.25">
      <c r="A133" s="1">
        <v>48772</v>
      </c>
      <c r="B133" t="s">
        <v>22</v>
      </c>
      <c r="C133">
        <v>14.7</v>
      </c>
      <c r="D133">
        <v>2.2999999999999998</v>
      </c>
      <c r="E133">
        <f>IF(D133&gt;=1,martianeum[[#This Row],[zawartosc]] * 0.01 *martianeum[[#This Row],[masa '[kg']]],0)</f>
        <v>0.33809999999999996</v>
      </c>
    </row>
    <row r="134" spans="1:6" x14ac:dyDescent="0.25">
      <c r="A134" s="1">
        <v>48773</v>
      </c>
      <c r="B134" t="s">
        <v>14</v>
      </c>
      <c r="C134">
        <v>21.7</v>
      </c>
      <c r="D134">
        <v>0</v>
      </c>
      <c r="E134">
        <f>IF(D134&gt;=1,martianeum[[#This Row],[zawartosc]] * 0.01 *martianeum[[#This Row],[masa '[kg']]],0)</f>
        <v>0</v>
      </c>
      <c r="F134">
        <f t="shared" ref="F134" si="17">SUM(C128:C134)</f>
        <v>119.70000000000002</v>
      </c>
    </row>
    <row r="135" spans="1:6" x14ac:dyDescent="0.25">
      <c r="A135" s="1">
        <v>48774</v>
      </c>
      <c r="B135" t="s">
        <v>15</v>
      </c>
      <c r="C135">
        <v>12.5</v>
      </c>
      <c r="D135">
        <v>0</v>
      </c>
      <c r="E135">
        <f>IF(D135&gt;=1,martianeum[[#This Row],[zawartosc]] * 0.01 *martianeum[[#This Row],[masa '[kg']]],0)</f>
        <v>0</v>
      </c>
    </row>
    <row r="136" spans="1:6" x14ac:dyDescent="0.25">
      <c r="A136" s="1">
        <v>48775</v>
      </c>
      <c r="B136" t="s">
        <v>7</v>
      </c>
      <c r="C136">
        <v>17.8</v>
      </c>
      <c r="D136">
        <v>4.0999999999999996</v>
      </c>
      <c r="E136">
        <f>IF(D136&gt;=1,martianeum[[#This Row],[zawartosc]] * 0.01 *martianeum[[#This Row],[masa '[kg']]],0)</f>
        <v>0.72979999999999989</v>
      </c>
    </row>
    <row r="137" spans="1:6" x14ac:dyDescent="0.25">
      <c r="A137" s="1">
        <v>48776</v>
      </c>
      <c r="B137" t="s">
        <v>9</v>
      </c>
      <c r="C137">
        <v>28.9</v>
      </c>
      <c r="D137">
        <v>38.700000000000003</v>
      </c>
      <c r="E137">
        <f>IF(D137&gt;=1,martianeum[[#This Row],[zawartosc]] * 0.01 *martianeum[[#This Row],[masa '[kg']]],0)</f>
        <v>11.1843</v>
      </c>
    </row>
    <row r="138" spans="1:6" x14ac:dyDescent="0.25">
      <c r="A138" s="1">
        <v>48777</v>
      </c>
      <c r="B138" t="s">
        <v>10</v>
      </c>
      <c r="C138">
        <v>21</v>
      </c>
      <c r="D138">
        <v>3.5</v>
      </c>
      <c r="E138">
        <f>IF(D138&gt;=1,martianeum[[#This Row],[zawartosc]] * 0.01 *martianeum[[#This Row],[masa '[kg']]],0)</f>
        <v>0.7350000000000001</v>
      </c>
    </row>
    <row r="139" spans="1:6" x14ac:dyDescent="0.25">
      <c r="A139" s="1">
        <v>48778</v>
      </c>
      <c r="B139" t="s">
        <v>20</v>
      </c>
      <c r="C139">
        <v>13</v>
      </c>
      <c r="D139">
        <v>0.1</v>
      </c>
      <c r="E139">
        <f>IF(D139&gt;=1,martianeum[[#This Row],[zawartosc]] * 0.01 *martianeum[[#This Row],[masa '[kg']]],0)</f>
        <v>0</v>
      </c>
    </row>
    <row r="140" spans="1:6" x14ac:dyDescent="0.25">
      <c r="A140" s="1">
        <v>48779</v>
      </c>
      <c r="B140" t="s">
        <v>9</v>
      </c>
      <c r="C140">
        <v>23.1</v>
      </c>
      <c r="D140">
        <v>0</v>
      </c>
      <c r="E140">
        <f>IF(D140&gt;=1,martianeum[[#This Row],[zawartosc]] * 0.01 *martianeum[[#This Row],[masa '[kg']]],0)</f>
        <v>0</v>
      </c>
    </row>
    <row r="141" spans="1:6" x14ac:dyDescent="0.25">
      <c r="A141" s="1">
        <v>48780</v>
      </c>
      <c r="B141" t="s">
        <v>14</v>
      </c>
      <c r="C141">
        <v>28.5</v>
      </c>
      <c r="D141">
        <v>0</v>
      </c>
      <c r="E141">
        <f>IF(D141&gt;=1,martianeum[[#This Row],[zawartosc]] * 0.01 *martianeum[[#This Row],[masa '[kg']]],0)</f>
        <v>0</v>
      </c>
      <c r="F141">
        <f t="shared" ref="F141" si="18">SUM(C135:C141)</f>
        <v>144.80000000000001</v>
      </c>
    </row>
    <row r="142" spans="1:6" x14ac:dyDescent="0.25">
      <c r="A142" s="1">
        <v>48781</v>
      </c>
      <c r="B142" t="s">
        <v>14</v>
      </c>
      <c r="C142">
        <v>12.8</v>
      </c>
      <c r="D142">
        <v>0</v>
      </c>
      <c r="E142">
        <f>IF(D142&gt;=1,martianeum[[#This Row],[zawartosc]] * 0.01 *martianeum[[#This Row],[masa '[kg']]],0)</f>
        <v>0</v>
      </c>
    </row>
    <row r="143" spans="1:6" x14ac:dyDescent="0.25">
      <c r="A143" s="1">
        <v>48782</v>
      </c>
      <c r="B143" t="s">
        <v>30</v>
      </c>
      <c r="C143">
        <v>26.8</v>
      </c>
      <c r="D143">
        <v>0</v>
      </c>
      <c r="E143">
        <f>IF(D143&gt;=1,martianeum[[#This Row],[zawartosc]] * 0.01 *martianeum[[#This Row],[masa '[kg']]],0)</f>
        <v>0</v>
      </c>
    </row>
    <row r="144" spans="1:6" x14ac:dyDescent="0.25">
      <c r="A144" s="1">
        <v>48783</v>
      </c>
      <c r="B144" t="s">
        <v>9</v>
      </c>
      <c r="C144">
        <v>15.1</v>
      </c>
      <c r="D144">
        <v>24.8</v>
      </c>
      <c r="E144">
        <f>IF(D144&gt;=1,martianeum[[#This Row],[zawartosc]] * 0.01 *martianeum[[#This Row],[masa '[kg']]],0)</f>
        <v>3.7448000000000001</v>
      </c>
    </row>
    <row r="145" spans="1:6" x14ac:dyDescent="0.25">
      <c r="A145" s="1">
        <v>48784</v>
      </c>
      <c r="B145" t="s">
        <v>17</v>
      </c>
      <c r="C145">
        <v>14.4</v>
      </c>
      <c r="D145">
        <v>13.5</v>
      </c>
      <c r="E145">
        <f>IF(D145&gt;=1,martianeum[[#This Row],[zawartosc]] * 0.01 *martianeum[[#This Row],[masa '[kg']]],0)</f>
        <v>1.9440000000000002</v>
      </c>
    </row>
    <row r="146" spans="1:6" x14ac:dyDescent="0.25">
      <c r="A146" s="1">
        <v>48785</v>
      </c>
      <c r="B146" t="s">
        <v>10</v>
      </c>
      <c r="C146">
        <v>29.2</v>
      </c>
      <c r="D146">
        <v>15.7</v>
      </c>
      <c r="E146">
        <f>IF(D146&gt;=1,martianeum[[#This Row],[zawartosc]] * 0.01 *martianeum[[#This Row],[masa '[kg']]],0)</f>
        <v>4.5843999999999996</v>
      </c>
    </row>
    <row r="147" spans="1:6" x14ac:dyDescent="0.25">
      <c r="A147" s="1">
        <v>48786</v>
      </c>
      <c r="B147" t="s">
        <v>9</v>
      </c>
      <c r="C147">
        <v>28.9</v>
      </c>
      <c r="D147">
        <v>47.2</v>
      </c>
      <c r="E147">
        <f>IF(D147&gt;=1,martianeum[[#This Row],[zawartosc]] * 0.01 *martianeum[[#This Row],[masa '[kg']]],0)</f>
        <v>13.6408</v>
      </c>
    </row>
    <row r="148" spans="1:6" x14ac:dyDescent="0.25">
      <c r="A148" s="1">
        <v>48787</v>
      </c>
      <c r="B148" t="s">
        <v>19</v>
      </c>
      <c r="C148">
        <v>18.399999999999999</v>
      </c>
      <c r="D148">
        <v>3.9</v>
      </c>
      <c r="E148">
        <f>IF(D148&gt;=1,martianeum[[#This Row],[zawartosc]] * 0.01 *martianeum[[#This Row],[masa '[kg']]],0)</f>
        <v>0.7175999999999999</v>
      </c>
      <c r="F148">
        <f t="shared" ref="F148" si="19">SUM(C142:C148)</f>
        <v>145.60000000000002</v>
      </c>
    </row>
    <row r="149" spans="1:6" x14ac:dyDescent="0.25">
      <c r="A149" s="1">
        <v>48788</v>
      </c>
      <c r="B149" t="s">
        <v>16</v>
      </c>
      <c r="C149">
        <v>26.2</v>
      </c>
      <c r="D149">
        <v>4</v>
      </c>
      <c r="E149">
        <f>IF(D149&gt;=1,martianeum[[#This Row],[zawartosc]] * 0.01 *martianeum[[#This Row],[masa '[kg']]],0)</f>
        <v>1.048</v>
      </c>
    </row>
    <row r="150" spans="1:6" x14ac:dyDescent="0.25">
      <c r="A150" s="1">
        <v>48789</v>
      </c>
      <c r="B150" t="s">
        <v>9</v>
      </c>
      <c r="C150">
        <v>14.3</v>
      </c>
      <c r="D150">
        <v>45.1</v>
      </c>
      <c r="E150">
        <f>IF(D150&gt;=1,martianeum[[#This Row],[zawartosc]] * 0.01 *martianeum[[#This Row],[masa '[kg']]],0)</f>
        <v>6.4493000000000009</v>
      </c>
    </row>
    <row r="151" spans="1:6" x14ac:dyDescent="0.25">
      <c r="A151" s="1">
        <v>48790</v>
      </c>
      <c r="B151" t="s">
        <v>6</v>
      </c>
      <c r="C151">
        <v>14.5</v>
      </c>
      <c r="D151">
        <v>0</v>
      </c>
      <c r="E151">
        <f>IF(D151&gt;=1,martianeum[[#This Row],[zawartosc]] * 0.01 *martianeum[[#This Row],[masa '[kg']]],0)</f>
        <v>0</v>
      </c>
    </row>
    <row r="152" spans="1:6" x14ac:dyDescent="0.25">
      <c r="A152" s="1">
        <v>48791</v>
      </c>
      <c r="B152" t="s">
        <v>9</v>
      </c>
      <c r="C152">
        <v>18.600000000000001</v>
      </c>
      <c r="D152">
        <v>5.5</v>
      </c>
      <c r="E152">
        <f>IF(D152&gt;=1,martianeum[[#This Row],[zawartosc]] * 0.01 *martianeum[[#This Row],[masa '[kg']]],0)</f>
        <v>1.0230000000000001</v>
      </c>
    </row>
    <row r="153" spans="1:6" x14ac:dyDescent="0.25">
      <c r="A153" s="1">
        <v>48792</v>
      </c>
      <c r="B153" t="s">
        <v>6</v>
      </c>
      <c r="C153">
        <v>26.3</v>
      </c>
      <c r="D153">
        <v>14.5</v>
      </c>
      <c r="E153">
        <f>IF(D153&gt;=1,martianeum[[#This Row],[zawartosc]] * 0.01 *martianeum[[#This Row],[masa '[kg']]],0)</f>
        <v>3.8134999999999999</v>
      </c>
    </row>
    <row r="154" spans="1:6" x14ac:dyDescent="0.25">
      <c r="A154" s="1">
        <v>48793</v>
      </c>
      <c r="B154" t="s">
        <v>31</v>
      </c>
      <c r="C154">
        <v>25.9</v>
      </c>
      <c r="D154">
        <v>0.7</v>
      </c>
      <c r="E154">
        <f>IF(D154&gt;=1,martianeum[[#This Row],[zawartosc]] * 0.01 *martianeum[[#This Row],[masa '[kg']]],0)</f>
        <v>0</v>
      </c>
    </row>
    <row r="155" spans="1:6" x14ac:dyDescent="0.25">
      <c r="A155" s="1">
        <v>48794</v>
      </c>
      <c r="B155" t="s">
        <v>11</v>
      </c>
      <c r="C155">
        <v>29.8</v>
      </c>
      <c r="D155">
        <v>0</v>
      </c>
      <c r="E155">
        <f>IF(D155&gt;=1,martianeum[[#This Row],[zawartosc]] * 0.01 *martianeum[[#This Row],[masa '[kg']]],0)</f>
        <v>0</v>
      </c>
      <c r="F155">
        <f t="shared" ref="F155" si="20">SUM(C149:C155)</f>
        <v>155.6</v>
      </c>
    </row>
    <row r="156" spans="1:6" x14ac:dyDescent="0.25">
      <c r="A156" s="1">
        <v>48795</v>
      </c>
      <c r="B156" t="s">
        <v>9</v>
      </c>
      <c r="C156">
        <v>18.3</v>
      </c>
      <c r="D156">
        <v>18.7</v>
      </c>
      <c r="E156">
        <f>IF(D156&gt;=1,martianeum[[#This Row],[zawartosc]] * 0.01 *martianeum[[#This Row],[masa '[kg']]],0)</f>
        <v>3.4220999999999999</v>
      </c>
    </row>
    <row r="157" spans="1:6" x14ac:dyDescent="0.25">
      <c r="A157" s="1">
        <v>48796</v>
      </c>
      <c r="B157" t="s">
        <v>11</v>
      </c>
      <c r="C157">
        <v>24.5</v>
      </c>
      <c r="D157">
        <v>6.7</v>
      </c>
      <c r="E157">
        <f>IF(D157&gt;=1,martianeum[[#This Row],[zawartosc]] * 0.01 *martianeum[[#This Row],[masa '[kg']]],0)</f>
        <v>1.6415000000000002</v>
      </c>
    </row>
    <row r="158" spans="1:6" x14ac:dyDescent="0.25">
      <c r="A158" s="1">
        <v>48797</v>
      </c>
      <c r="B158" t="s">
        <v>18</v>
      </c>
      <c r="C158">
        <v>18.7</v>
      </c>
      <c r="D158">
        <v>0</v>
      </c>
      <c r="E158">
        <f>IF(D158&gt;=1,martianeum[[#This Row],[zawartosc]] * 0.01 *martianeum[[#This Row],[masa '[kg']]],0)</f>
        <v>0</v>
      </c>
    </row>
    <row r="159" spans="1:6" x14ac:dyDescent="0.25">
      <c r="A159" s="1">
        <v>48798</v>
      </c>
      <c r="B159" t="s">
        <v>18</v>
      </c>
      <c r="C159">
        <v>29.2</v>
      </c>
      <c r="D159">
        <v>34.9</v>
      </c>
      <c r="E159">
        <f>IF(D159&gt;=1,martianeum[[#This Row],[zawartosc]] * 0.01 *martianeum[[#This Row],[masa '[kg']]],0)</f>
        <v>10.190799999999999</v>
      </c>
    </row>
    <row r="160" spans="1:6" x14ac:dyDescent="0.25">
      <c r="A160" s="1">
        <v>48799</v>
      </c>
      <c r="B160" t="s">
        <v>8</v>
      </c>
      <c r="C160">
        <v>21.4</v>
      </c>
      <c r="D160">
        <v>10.7</v>
      </c>
      <c r="E160">
        <f>IF(D160&gt;=1,martianeum[[#This Row],[zawartosc]] * 0.01 *martianeum[[#This Row],[masa '[kg']]],0)</f>
        <v>2.2897999999999996</v>
      </c>
    </row>
    <row r="161" spans="1:6" x14ac:dyDescent="0.25">
      <c r="A161" s="1">
        <v>48800</v>
      </c>
      <c r="B161" t="s">
        <v>14</v>
      </c>
      <c r="C161">
        <v>25.6</v>
      </c>
      <c r="D161">
        <v>3.1</v>
      </c>
      <c r="E161">
        <f>IF(D161&gt;=1,martianeum[[#This Row],[zawartosc]] * 0.01 *martianeum[[#This Row],[masa '[kg']]],0)</f>
        <v>0.79360000000000008</v>
      </c>
    </row>
    <row r="162" spans="1:6" x14ac:dyDescent="0.25">
      <c r="A162" s="1">
        <v>48801</v>
      </c>
      <c r="B162" t="s">
        <v>14</v>
      </c>
      <c r="C162">
        <v>15.7</v>
      </c>
      <c r="D162">
        <v>5.0999999999999996</v>
      </c>
      <c r="E162">
        <f>IF(D162&gt;=1,martianeum[[#This Row],[zawartosc]] * 0.01 *martianeum[[#This Row],[masa '[kg']]],0)</f>
        <v>0.80069999999999997</v>
      </c>
      <c r="F162">
        <f t="shared" ref="F162" si="21">SUM(C156:C162)</f>
        <v>153.39999999999998</v>
      </c>
    </row>
    <row r="163" spans="1:6" x14ac:dyDescent="0.25">
      <c r="A163" s="1">
        <v>48802</v>
      </c>
      <c r="B163" t="s">
        <v>5</v>
      </c>
      <c r="C163">
        <v>27.3</v>
      </c>
      <c r="D163">
        <v>11</v>
      </c>
      <c r="E163">
        <f>IF(D163&gt;=1,martianeum[[#This Row],[zawartosc]] * 0.01 *martianeum[[#This Row],[masa '[kg']]],0)</f>
        <v>3.0030000000000001</v>
      </c>
    </row>
    <row r="164" spans="1:6" x14ac:dyDescent="0.25">
      <c r="A164" s="1">
        <v>48803</v>
      </c>
      <c r="B164" t="s">
        <v>24</v>
      </c>
      <c r="C164">
        <v>28.4</v>
      </c>
      <c r="D164">
        <v>2.7</v>
      </c>
      <c r="E164">
        <f>IF(D164&gt;=1,martianeum[[#This Row],[zawartosc]] * 0.01 *martianeum[[#This Row],[masa '[kg']]],0)</f>
        <v>0.76680000000000004</v>
      </c>
    </row>
    <row r="165" spans="1:6" x14ac:dyDescent="0.25">
      <c r="A165" s="1">
        <v>48804</v>
      </c>
      <c r="B165" t="s">
        <v>10</v>
      </c>
      <c r="C165">
        <v>22</v>
      </c>
      <c r="D165">
        <v>3.3</v>
      </c>
      <c r="E165">
        <f>IF(D165&gt;=1,martianeum[[#This Row],[zawartosc]] * 0.01 *martianeum[[#This Row],[masa '[kg']]],0)</f>
        <v>0.72599999999999998</v>
      </c>
    </row>
    <row r="166" spans="1:6" x14ac:dyDescent="0.25">
      <c r="A166" s="1">
        <v>48805</v>
      </c>
      <c r="B166" t="s">
        <v>7</v>
      </c>
      <c r="C166">
        <v>19.399999999999999</v>
      </c>
      <c r="D166">
        <v>0</v>
      </c>
      <c r="E166">
        <f>IF(D166&gt;=1,martianeum[[#This Row],[zawartosc]] * 0.01 *martianeum[[#This Row],[masa '[kg']]],0)</f>
        <v>0</v>
      </c>
    </row>
    <row r="167" spans="1:6" x14ac:dyDescent="0.25">
      <c r="A167" s="1">
        <v>48806</v>
      </c>
      <c r="B167" t="s">
        <v>14</v>
      </c>
      <c r="C167">
        <v>22.7</v>
      </c>
      <c r="D167">
        <v>14.8</v>
      </c>
      <c r="E167">
        <f>IF(D167&gt;=1,martianeum[[#This Row],[zawartosc]] * 0.01 *martianeum[[#This Row],[masa '[kg']]],0)</f>
        <v>3.3596000000000004</v>
      </c>
    </row>
    <row r="168" spans="1:6" x14ac:dyDescent="0.25">
      <c r="A168" s="1">
        <v>48807</v>
      </c>
      <c r="B168" t="s">
        <v>6</v>
      </c>
      <c r="C168">
        <v>22.6</v>
      </c>
      <c r="D168">
        <v>16.5</v>
      </c>
      <c r="E168">
        <f>IF(D168&gt;=1,martianeum[[#This Row],[zawartosc]] * 0.01 *martianeum[[#This Row],[masa '[kg']]],0)</f>
        <v>3.7290000000000005</v>
      </c>
    </row>
    <row r="169" spans="1:6" x14ac:dyDescent="0.25">
      <c r="A169" s="1">
        <v>48808</v>
      </c>
      <c r="B169" t="s">
        <v>16</v>
      </c>
      <c r="C169">
        <v>26.1</v>
      </c>
      <c r="D169">
        <v>0</v>
      </c>
      <c r="E169">
        <f>IF(D169&gt;=1,martianeum[[#This Row],[zawartosc]] * 0.01 *martianeum[[#This Row],[masa '[kg']]],0)</f>
        <v>0</v>
      </c>
      <c r="F169">
        <f t="shared" ref="F169" si="22">SUM(C163:C169)</f>
        <v>168.5</v>
      </c>
    </row>
    <row r="170" spans="1:6" x14ac:dyDescent="0.25">
      <c r="A170" s="1">
        <v>48809</v>
      </c>
      <c r="B170" t="s">
        <v>14</v>
      </c>
      <c r="C170">
        <v>27.6</v>
      </c>
      <c r="D170">
        <v>6.7</v>
      </c>
      <c r="E170">
        <f>IF(D170&gt;=1,martianeum[[#This Row],[zawartosc]] * 0.01 *martianeum[[#This Row],[masa '[kg']]],0)</f>
        <v>1.8492000000000002</v>
      </c>
    </row>
    <row r="171" spans="1:6" x14ac:dyDescent="0.25">
      <c r="A171" s="1">
        <v>48810</v>
      </c>
      <c r="B171" t="s">
        <v>11</v>
      </c>
      <c r="C171">
        <v>13.2</v>
      </c>
      <c r="D171">
        <v>0</v>
      </c>
      <c r="E171">
        <f>IF(D171&gt;=1,martianeum[[#This Row],[zawartosc]] * 0.01 *martianeum[[#This Row],[masa '[kg']]],0)</f>
        <v>0</v>
      </c>
    </row>
    <row r="172" spans="1:6" x14ac:dyDescent="0.25">
      <c r="A172" s="1">
        <v>48811</v>
      </c>
      <c r="B172" t="s">
        <v>20</v>
      </c>
      <c r="C172">
        <v>22</v>
      </c>
      <c r="D172">
        <v>0</v>
      </c>
      <c r="E172">
        <f>IF(D172&gt;=1,martianeum[[#This Row],[zawartosc]] * 0.01 *martianeum[[#This Row],[masa '[kg']]],0)</f>
        <v>0</v>
      </c>
    </row>
    <row r="173" spans="1:6" x14ac:dyDescent="0.25">
      <c r="A173" s="1">
        <v>48812</v>
      </c>
      <c r="B173" t="s">
        <v>8</v>
      </c>
      <c r="C173">
        <v>10.8</v>
      </c>
      <c r="D173">
        <v>7.6</v>
      </c>
      <c r="E173">
        <f>IF(D173&gt;=1,martianeum[[#This Row],[zawartosc]] * 0.01 *martianeum[[#This Row],[masa '[kg']]],0)</f>
        <v>0.82080000000000009</v>
      </c>
    </row>
    <row r="174" spans="1:6" x14ac:dyDescent="0.25">
      <c r="A174" s="1">
        <v>48813</v>
      </c>
      <c r="B174" t="s">
        <v>9</v>
      </c>
      <c r="C174">
        <v>15.6</v>
      </c>
      <c r="D174">
        <v>38.4</v>
      </c>
      <c r="E174">
        <f>IF(D174&gt;=1,martianeum[[#This Row],[zawartosc]] * 0.01 *martianeum[[#This Row],[masa '[kg']]],0)</f>
        <v>5.9904000000000002</v>
      </c>
    </row>
    <row r="175" spans="1:6" x14ac:dyDescent="0.25">
      <c r="A175" s="1">
        <v>48814</v>
      </c>
      <c r="B175" t="s">
        <v>25</v>
      </c>
      <c r="C175">
        <v>11.7</v>
      </c>
      <c r="D175">
        <v>0.5</v>
      </c>
      <c r="E175">
        <f>IF(D175&gt;=1,martianeum[[#This Row],[zawartosc]] * 0.01 *martianeum[[#This Row],[masa '[kg']]],0)</f>
        <v>0</v>
      </c>
    </row>
    <row r="176" spans="1:6" x14ac:dyDescent="0.25">
      <c r="A176" s="1">
        <v>48815</v>
      </c>
      <c r="B176" t="s">
        <v>9</v>
      </c>
      <c r="C176">
        <v>27.2</v>
      </c>
      <c r="D176">
        <v>8.3000000000000007</v>
      </c>
      <c r="E176">
        <f>IF(D176&gt;=1,martianeum[[#This Row],[zawartosc]] * 0.01 *martianeum[[#This Row],[masa '[kg']]],0)</f>
        <v>2.2576000000000001</v>
      </c>
      <c r="F176">
        <f t="shared" ref="F176" si="23">SUM(C170:C176)</f>
        <v>128.1</v>
      </c>
    </row>
    <row r="177" spans="1:6" x14ac:dyDescent="0.25">
      <c r="A177" s="1">
        <v>48816</v>
      </c>
      <c r="B177" t="s">
        <v>9</v>
      </c>
      <c r="C177">
        <v>24.7</v>
      </c>
      <c r="D177">
        <v>28.9</v>
      </c>
      <c r="E177">
        <f>IF(D177&gt;=1,martianeum[[#This Row],[zawartosc]] * 0.01 *martianeum[[#This Row],[masa '[kg']]],0)</f>
        <v>7.1382999999999992</v>
      </c>
    </row>
    <row r="178" spans="1:6" x14ac:dyDescent="0.25">
      <c r="A178" s="1">
        <v>48817</v>
      </c>
      <c r="B178" t="s">
        <v>10</v>
      </c>
      <c r="C178">
        <v>18.2</v>
      </c>
      <c r="D178">
        <v>12.5</v>
      </c>
      <c r="E178">
        <f>IF(D178&gt;=1,martianeum[[#This Row],[zawartosc]] * 0.01 *martianeum[[#This Row],[masa '[kg']]],0)</f>
        <v>2.2749999999999999</v>
      </c>
    </row>
    <row r="179" spans="1:6" x14ac:dyDescent="0.25">
      <c r="A179" s="1">
        <v>48818</v>
      </c>
      <c r="B179" t="s">
        <v>10</v>
      </c>
      <c r="C179">
        <v>14.6</v>
      </c>
      <c r="D179">
        <v>17.899999999999999</v>
      </c>
      <c r="E179">
        <f>IF(D179&gt;=1,martianeum[[#This Row],[zawartosc]] * 0.01 *martianeum[[#This Row],[masa '[kg']]],0)</f>
        <v>2.6133999999999999</v>
      </c>
    </row>
    <row r="180" spans="1:6" x14ac:dyDescent="0.25">
      <c r="A180" s="1">
        <v>48819</v>
      </c>
      <c r="B180" t="s">
        <v>10</v>
      </c>
      <c r="C180">
        <v>16.5</v>
      </c>
      <c r="D180">
        <v>13.9</v>
      </c>
      <c r="E180">
        <f>IF(D180&gt;=1,martianeum[[#This Row],[zawartosc]] * 0.01 *martianeum[[#This Row],[masa '[kg']]],0)</f>
        <v>2.2935000000000003</v>
      </c>
    </row>
    <row r="181" spans="1:6" x14ac:dyDescent="0.25">
      <c r="A181" s="1">
        <v>48820</v>
      </c>
      <c r="B181" t="s">
        <v>17</v>
      </c>
      <c r="C181">
        <v>29.4</v>
      </c>
      <c r="D181">
        <v>0</v>
      </c>
      <c r="E181">
        <f>IF(D181&gt;=1,martianeum[[#This Row],[zawartosc]] * 0.01 *martianeum[[#This Row],[masa '[kg']]],0)</f>
        <v>0</v>
      </c>
    </row>
    <row r="182" spans="1:6" x14ac:dyDescent="0.25">
      <c r="A182" s="1">
        <v>48821</v>
      </c>
      <c r="B182" t="s">
        <v>9</v>
      </c>
      <c r="C182">
        <v>17.899999999999999</v>
      </c>
      <c r="D182">
        <v>0</v>
      </c>
      <c r="E182">
        <f>IF(D182&gt;=1,martianeum[[#This Row],[zawartosc]] * 0.01 *martianeum[[#This Row],[masa '[kg']]],0)</f>
        <v>0</v>
      </c>
    </row>
    <row r="183" spans="1:6" x14ac:dyDescent="0.25">
      <c r="A183" s="1">
        <v>48822</v>
      </c>
      <c r="B183" t="s">
        <v>16</v>
      </c>
      <c r="C183">
        <v>29.8</v>
      </c>
      <c r="D183">
        <v>0</v>
      </c>
      <c r="E183">
        <f>IF(D183&gt;=1,martianeum[[#This Row],[zawartosc]] * 0.01 *martianeum[[#This Row],[masa '[kg']]],0)</f>
        <v>0</v>
      </c>
      <c r="F183">
        <f t="shared" ref="F183" si="24">SUM(C177:C183)</f>
        <v>151.10000000000002</v>
      </c>
    </row>
    <row r="184" spans="1:6" x14ac:dyDescent="0.25">
      <c r="A184" s="1">
        <v>48823</v>
      </c>
      <c r="B184" t="s">
        <v>3</v>
      </c>
      <c r="C184">
        <v>18.7</v>
      </c>
      <c r="D184">
        <v>0</v>
      </c>
      <c r="E184">
        <f>IF(D184&gt;=1,martianeum[[#This Row],[zawartosc]] * 0.01 *martianeum[[#This Row],[masa '[kg']]],0)</f>
        <v>0</v>
      </c>
    </row>
    <row r="185" spans="1:6" x14ac:dyDescent="0.25">
      <c r="A185" s="1">
        <v>48824</v>
      </c>
      <c r="B185" t="s">
        <v>11</v>
      </c>
      <c r="C185">
        <v>24.3</v>
      </c>
      <c r="D185">
        <v>7.8</v>
      </c>
      <c r="E185">
        <f>IF(D185&gt;=1,martianeum[[#This Row],[zawartosc]] * 0.01 *martianeum[[#This Row],[masa '[kg']]],0)</f>
        <v>1.8954</v>
      </c>
    </row>
    <row r="186" spans="1:6" x14ac:dyDescent="0.25">
      <c r="A186" s="1">
        <v>48825</v>
      </c>
      <c r="B186" t="s">
        <v>12</v>
      </c>
      <c r="C186">
        <v>29.3</v>
      </c>
      <c r="D186">
        <v>4.5999999999999996</v>
      </c>
      <c r="E186">
        <f>IF(D186&gt;=1,martianeum[[#This Row],[zawartosc]] * 0.01 *martianeum[[#This Row],[masa '[kg']]],0)</f>
        <v>1.3478000000000001</v>
      </c>
    </row>
    <row r="187" spans="1:6" x14ac:dyDescent="0.25">
      <c r="A187" s="1">
        <v>48826</v>
      </c>
      <c r="B187" t="s">
        <v>6</v>
      </c>
      <c r="C187">
        <v>18.399999999999999</v>
      </c>
      <c r="D187">
        <v>0</v>
      </c>
      <c r="E187">
        <f>IF(D187&gt;=1,martianeum[[#This Row],[zawartosc]] * 0.01 *martianeum[[#This Row],[masa '[kg']]],0)</f>
        <v>0</v>
      </c>
    </row>
    <row r="188" spans="1:6" x14ac:dyDescent="0.25">
      <c r="A188" s="1">
        <v>48827</v>
      </c>
      <c r="B188" t="s">
        <v>6</v>
      </c>
      <c r="C188">
        <v>10.3</v>
      </c>
      <c r="D188">
        <v>16</v>
      </c>
      <c r="E188">
        <f>IF(D188&gt;=1,martianeum[[#This Row],[zawartosc]] * 0.01 *martianeum[[#This Row],[masa '[kg']]],0)</f>
        <v>1.6480000000000001</v>
      </c>
    </row>
    <row r="189" spans="1:6" x14ac:dyDescent="0.25">
      <c r="A189" s="1">
        <v>48828</v>
      </c>
      <c r="B189" t="s">
        <v>9</v>
      </c>
      <c r="C189">
        <v>27.5</v>
      </c>
      <c r="D189">
        <v>0</v>
      </c>
      <c r="E189">
        <f>IF(D189&gt;=1,martianeum[[#This Row],[zawartosc]] * 0.01 *martianeum[[#This Row],[masa '[kg']]],0)</f>
        <v>0</v>
      </c>
    </row>
    <row r="190" spans="1:6" x14ac:dyDescent="0.25">
      <c r="A190" s="1">
        <v>48829</v>
      </c>
      <c r="B190" t="s">
        <v>6</v>
      </c>
      <c r="C190">
        <v>20.6</v>
      </c>
      <c r="D190">
        <v>15.7</v>
      </c>
      <c r="E190">
        <f>IF(D190&gt;=1,martianeum[[#This Row],[zawartosc]] * 0.01 *martianeum[[#This Row],[masa '[kg']]],0)</f>
        <v>3.2342000000000004</v>
      </c>
      <c r="F190">
        <f t="shared" ref="F190" si="25">SUM(C184:C190)</f>
        <v>149.1</v>
      </c>
    </row>
    <row r="191" spans="1:6" x14ac:dyDescent="0.25">
      <c r="A191" s="1">
        <v>48830</v>
      </c>
      <c r="B191" t="s">
        <v>10</v>
      </c>
      <c r="C191">
        <v>21.3</v>
      </c>
      <c r="D191">
        <v>0</v>
      </c>
      <c r="E191">
        <f>IF(D191&gt;=1,martianeum[[#This Row],[zawartosc]] * 0.01 *martianeum[[#This Row],[masa '[kg']]],0)</f>
        <v>0</v>
      </c>
    </row>
    <row r="192" spans="1:6" x14ac:dyDescent="0.25">
      <c r="A192" s="1">
        <v>48831</v>
      </c>
      <c r="B192" t="s">
        <v>18</v>
      </c>
      <c r="C192">
        <v>26.2</v>
      </c>
      <c r="D192">
        <v>0</v>
      </c>
      <c r="E192">
        <f>IF(D192&gt;=1,martianeum[[#This Row],[zawartosc]] * 0.01 *martianeum[[#This Row],[masa '[kg']]],0)</f>
        <v>0</v>
      </c>
    </row>
    <row r="193" spans="1:6" x14ac:dyDescent="0.25">
      <c r="A193" s="1">
        <v>48832</v>
      </c>
      <c r="B193" t="s">
        <v>9</v>
      </c>
      <c r="C193">
        <v>23.9</v>
      </c>
      <c r="D193">
        <v>0</v>
      </c>
      <c r="E193">
        <f>IF(D193&gt;=1,martianeum[[#This Row],[zawartosc]] * 0.01 *martianeum[[#This Row],[masa '[kg']]],0)</f>
        <v>0</v>
      </c>
    </row>
    <row r="194" spans="1:6" x14ac:dyDescent="0.25">
      <c r="A194" s="1">
        <v>48833</v>
      </c>
      <c r="B194" t="s">
        <v>26</v>
      </c>
      <c r="C194">
        <v>26.6</v>
      </c>
      <c r="D194">
        <v>1.6</v>
      </c>
      <c r="E194">
        <f>IF(D194&gt;=1,martianeum[[#This Row],[zawartosc]] * 0.01 *martianeum[[#This Row],[masa '[kg']]],0)</f>
        <v>0.42560000000000003</v>
      </c>
    </row>
    <row r="195" spans="1:6" x14ac:dyDescent="0.25">
      <c r="A195" s="1">
        <v>48834</v>
      </c>
      <c r="B195" t="s">
        <v>9</v>
      </c>
      <c r="C195">
        <v>18.600000000000001</v>
      </c>
      <c r="D195">
        <v>20.399999999999999</v>
      </c>
      <c r="E195">
        <f>IF(D195&gt;=1,martianeum[[#This Row],[zawartosc]] * 0.01 *martianeum[[#This Row],[masa '[kg']]],0)</f>
        <v>3.7944</v>
      </c>
    </row>
    <row r="196" spans="1:6" x14ac:dyDescent="0.25">
      <c r="A196" s="1">
        <v>48835</v>
      </c>
      <c r="B196" t="s">
        <v>17</v>
      </c>
      <c r="C196">
        <v>22.3</v>
      </c>
      <c r="D196">
        <v>1.7</v>
      </c>
      <c r="E196">
        <f>IF(D196&gt;=1,martianeum[[#This Row],[zawartosc]] * 0.01 *martianeum[[#This Row],[masa '[kg']]],0)</f>
        <v>0.37910000000000005</v>
      </c>
    </row>
    <row r="197" spans="1:6" x14ac:dyDescent="0.25">
      <c r="A197" s="1">
        <v>48836</v>
      </c>
      <c r="B197" t="s">
        <v>16</v>
      </c>
      <c r="C197">
        <v>18.399999999999999</v>
      </c>
      <c r="D197">
        <v>3.9</v>
      </c>
      <c r="E197">
        <f>IF(D197&gt;=1,martianeum[[#This Row],[zawartosc]] * 0.01 *martianeum[[#This Row],[masa '[kg']]],0)</f>
        <v>0.7175999999999999</v>
      </c>
      <c r="F197">
        <f t="shared" ref="F197" si="26">SUM(C191:C197)</f>
        <v>157.30000000000001</v>
      </c>
    </row>
    <row r="198" spans="1:6" x14ac:dyDescent="0.25">
      <c r="A198" s="1">
        <v>48837</v>
      </c>
      <c r="B198" t="s">
        <v>26</v>
      </c>
      <c r="C198">
        <v>28</v>
      </c>
      <c r="D198">
        <v>4.4000000000000004</v>
      </c>
      <c r="E198">
        <f>IF(D198&gt;=1,martianeum[[#This Row],[zawartosc]] * 0.01 *martianeum[[#This Row],[masa '[kg']]],0)</f>
        <v>1.2320000000000002</v>
      </c>
    </row>
    <row r="199" spans="1:6" x14ac:dyDescent="0.25">
      <c r="A199" s="1">
        <v>48838</v>
      </c>
      <c r="B199" t="s">
        <v>9</v>
      </c>
      <c r="C199">
        <v>10.9</v>
      </c>
      <c r="D199">
        <v>32.9</v>
      </c>
      <c r="E199">
        <f>IF(D199&gt;=1,martianeum[[#This Row],[zawartosc]] * 0.01 *martianeum[[#This Row],[masa '[kg']]],0)</f>
        <v>3.5861000000000001</v>
      </c>
    </row>
    <row r="200" spans="1:6" x14ac:dyDescent="0.25">
      <c r="A200" s="1">
        <v>48839</v>
      </c>
      <c r="B200" t="s">
        <v>18</v>
      </c>
      <c r="C200">
        <v>25.1</v>
      </c>
      <c r="D200">
        <v>33.299999999999997</v>
      </c>
      <c r="E200">
        <f>IF(D200&gt;=1,martianeum[[#This Row],[zawartosc]] * 0.01 *martianeum[[#This Row],[masa '[kg']]],0)</f>
        <v>8.3582999999999998</v>
      </c>
    </row>
    <row r="201" spans="1:6" x14ac:dyDescent="0.25">
      <c r="A201" s="1">
        <v>48840</v>
      </c>
      <c r="B201" t="s">
        <v>27</v>
      </c>
      <c r="C201">
        <v>10.7</v>
      </c>
      <c r="D201">
        <v>0.3</v>
      </c>
      <c r="E201">
        <f>IF(D201&gt;=1,martianeum[[#This Row],[zawartosc]] * 0.01 *martianeum[[#This Row],[masa '[kg']]],0)</f>
        <v>0</v>
      </c>
    </row>
    <row r="202" spans="1:6" x14ac:dyDescent="0.25">
      <c r="A202" s="1">
        <v>48841</v>
      </c>
      <c r="B202" t="s">
        <v>9</v>
      </c>
      <c r="C202">
        <v>26.1</v>
      </c>
      <c r="D202">
        <v>31</v>
      </c>
      <c r="E202">
        <f>IF(D202&gt;=1,martianeum[[#This Row],[zawartosc]] * 0.01 *martianeum[[#This Row],[masa '[kg']]],0)</f>
        <v>8.0910000000000011</v>
      </c>
    </row>
    <row r="203" spans="1:6" x14ac:dyDescent="0.25">
      <c r="A203" s="1">
        <v>48842</v>
      </c>
      <c r="B203" t="s">
        <v>10</v>
      </c>
      <c r="C203">
        <v>15.2</v>
      </c>
      <c r="D203">
        <v>12.7</v>
      </c>
      <c r="E203">
        <f>IF(D203&gt;=1,martianeum[[#This Row],[zawartosc]] * 0.01 *martianeum[[#This Row],[masa '[kg']]],0)</f>
        <v>1.9303999999999999</v>
      </c>
    </row>
    <row r="204" spans="1:6" x14ac:dyDescent="0.25">
      <c r="A204" s="1">
        <v>48843</v>
      </c>
      <c r="B204" t="s">
        <v>13</v>
      </c>
      <c r="C204">
        <v>28.8</v>
      </c>
      <c r="D204">
        <v>4.3</v>
      </c>
      <c r="E204">
        <f>IF(D204&gt;=1,martianeum[[#This Row],[zawartosc]] * 0.01 *martianeum[[#This Row],[masa '[kg']]],0)</f>
        <v>1.2383999999999999</v>
      </c>
      <c r="F204">
        <f t="shared" ref="F204" si="27">SUM(C198:C204)</f>
        <v>144.80000000000001</v>
      </c>
    </row>
    <row r="205" spans="1:6" x14ac:dyDescent="0.25">
      <c r="A205" s="1">
        <v>48844</v>
      </c>
      <c r="B205" t="s">
        <v>25</v>
      </c>
      <c r="C205">
        <v>10.3</v>
      </c>
      <c r="D205">
        <v>0</v>
      </c>
      <c r="E205">
        <f>IF(D205&gt;=1,martianeum[[#This Row],[zawartosc]] * 0.01 *martianeum[[#This Row],[masa '[kg']]],0)</f>
        <v>0</v>
      </c>
    </row>
    <row r="206" spans="1:6" x14ac:dyDescent="0.25">
      <c r="A206" s="1">
        <v>48845</v>
      </c>
      <c r="B206" t="s">
        <v>5</v>
      </c>
      <c r="C206">
        <v>14.9</v>
      </c>
      <c r="D206">
        <v>0.1</v>
      </c>
      <c r="E206">
        <f>IF(D206&gt;=1,martianeum[[#This Row],[zawartosc]] * 0.01 *martianeum[[#This Row],[masa '[kg']]],0)</f>
        <v>0</v>
      </c>
    </row>
    <row r="207" spans="1:6" x14ac:dyDescent="0.25">
      <c r="A207" s="1">
        <v>48846</v>
      </c>
      <c r="B207" t="s">
        <v>9</v>
      </c>
      <c r="C207">
        <v>11.3</v>
      </c>
      <c r="D207">
        <v>0</v>
      </c>
      <c r="E207">
        <f>IF(D207&gt;=1,martianeum[[#This Row],[zawartosc]] * 0.01 *martianeum[[#This Row],[masa '[kg']]],0)</f>
        <v>0</v>
      </c>
    </row>
    <row r="208" spans="1:6" x14ac:dyDescent="0.25">
      <c r="A208" s="1">
        <v>48847</v>
      </c>
      <c r="B208" t="s">
        <v>9</v>
      </c>
      <c r="C208">
        <v>20.8</v>
      </c>
      <c r="D208">
        <v>34.9</v>
      </c>
      <c r="E208">
        <f>IF(D208&gt;=1,martianeum[[#This Row],[zawartosc]] * 0.01 *martianeum[[#This Row],[masa '[kg']]],0)</f>
        <v>7.2591999999999999</v>
      </c>
    </row>
    <row r="209" spans="1:6" x14ac:dyDescent="0.25">
      <c r="A209" s="1">
        <v>48848</v>
      </c>
      <c r="B209" t="s">
        <v>18</v>
      </c>
      <c r="C209">
        <v>18.2</v>
      </c>
      <c r="D209">
        <v>0</v>
      </c>
      <c r="E209">
        <f>IF(D209&gt;=1,martianeum[[#This Row],[zawartosc]] * 0.01 *martianeum[[#This Row],[masa '[kg']]],0)</f>
        <v>0</v>
      </c>
    </row>
    <row r="210" spans="1:6" x14ac:dyDescent="0.25">
      <c r="A210" s="1">
        <v>48849</v>
      </c>
      <c r="B210" t="s">
        <v>16</v>
      </c>
      <c r="C210">
        <v>12.7</v>
      </c>
      <c r="D210">
        <v>5.3</v>
      </c>
      <c r="E210">
        <f>IF(D210&gt;=1,martianeum[[#This Row],[zawartosc]] * 0.01 *martianeum[[#This Row],[masa '[kg']]],0)</f>
        <v>0.67309999999999992</v>
      </c>
    </row>
    <row r="211" spans="1:6" x14ac:dyDescent="0.25">
      <c r="A211" s="1">
        <v>48850</v>
      </c>
      <c r="B211" t="s">
        <v>13</v>
      </c>
      <c r="C211">
        <v>21.4</v>
      </c>
      <c r="D211">
        <v>8.3000000000000007</v>
      </c>
      <c r="E211">
        <f>IF(D211&gt;=1,martianeum[[#This Row],[zawartosc]] * 0.01 *martianeum[[#This Row],[masa '[kg']]],0)</f>
        <v>1.7762</v>
      </c>
      <c r="F211">
        <f t="shared" ref="F211" si="28">SUM(C205:C211)</f>
        <v>109.6</v>
      </c>
    </row>
    <row r="212" spans="1:6" x14ac:dyDescent="0.25">
      <c r="A212" s="1">
        <v>48851</v>
      </c>
      <c r="B212" t="s">
        <v>5</v>
      </c>
      <c r="C212">
        <v>21.3</v>
      </c>
      <c r="D212">
        <v>11.8</v>
      </c>
      <c r="E212">
        <f>IF(D212&gt;=1,martianeum[[#This Row],[zawartosc]] * 0.01 *martianeum[[#This Row],[masa '[kg']]],0)</f>
        <v>2.5134000000000003</v>
      </c>
    </row>
    <row r="213" spans="1:6" x14ac:dyDescent="0.25">
      <c r="A213" s="1">
        <v>48852</v>
      </c>
      <c r="B213" t="s">
        <v>16</v>
      </c>
      <c r="C213">
        <v>20.7</v>
      </c>
      <c r="D213">
        <v>3.9</v>
      </c>
      <c r="E213">
        <f>IF(D213&gt;=1,martianeum[[#This Row],[zawartosc]] * 0.01 *martianeum[[#This Row],[masa '[kg']]],0)</f>
        <v>0.80730000000000002</v>
      </c>
    </row>
    <row r="214" spans="1:6" x14ac:dyDescent="0.25">
      <c r="A214" s="1">
        <v>48853</v>
      </c>
      <c r="B214" t="s">
        <v>19</v>
      </c>
      <c r="C214">
        <v>19.7</v>
      </c>
      <c r="D214">
        <v>0</v>
      </c>
      <c r="E214">
        <f>IF(D214&gt;=1,martianeum[[#This Row],[zawartosc]] * 0.01 *martianeum[[#This Row],[masa '[kg']]],0)</f>
        <v>0</v>
      </c>
    </row>
    <row r="215" spans="1:6" x14ac:dyDescent="0.25">
      <c r="A215" s="1">
        <v>48854</v>
      </c>
      <c r="B215" t="s">
        <v>10</v>
      </c>
      <c r="C215">
        <v>27.2</v>
      </c>
      <c r="D215">
        <v>17.600000000000001</v>
      </c>
      <c r="E215">
        <f>IF(D215&gt;=1,martianeum[[#This Row],[zawartosc]] * 0.01 *martianeum[[#This Row],[masa '[kg']]],0)</f>
        <v>4.7872000000000003</v>
      </c>
    </row>
    <row r="216" spans="1:6" x14ac:dyDescent="0.25">
      <c r="A216" s="1">
        <v>48855</v>
      </c>
      <c r="B216" t="s">
        <v>24</v>
      </c>
      <c r="C216">
        <v>16.600000000000001</v>
      </c>
      <c r="D216">
        <v>1.7</v>
      </c>
      <c r="E216">
        <f>IF(D216&gt;=1,martianeum[[#This Row],[zawartosc]] * 0.01 *martianeum[[#This Row],[masa '[kg']]],0)</f>
        <v>0.28220000000000006</v>
      </c>
    </row>
    <row r="217" spans="1:6" x14ac:dyDescent="0.25">
      <c r="A217" s="1">
        <v>48856</v>
      </c>
      <c r="B217" t="s">
        <v>10</v>
      </c>
      <c r="C217">
        <v>22.3</v>
      </c>
      <c r="D217">
        <v>0</v>
      </c>
      <c r="E217">
        <f>IF(D217&gt;=1,martianeum[[#This Row],[zawartosc]] * 0.01 *martianeum[[#This Row],[masa '[kg']]],0)</f>
        <v>0</v>
      </c>
    </row>
    <row r="218" spans="1:6" x14ac:dyDescent="0.25">
      <c r="A218" s="1">
        <v>48857</v>
      </c>
      <c r="B218" t="s">
        <v>9</v>
      </c>
      <c r="C218">
        <v>18</v>
      </c>
      <c r="D218">
        <v>40.799999999999997</v>
      </c>
      <c r="E218">
        <f>IF(D218&gt;=1,martianeum[[#This Row],[zawartosc]] * 0.01 *martianeum[[#This Row],[masa '[kg']]],0)</f>
        <v>7.3439999999999994</v>
      </c>
      <c r="F218">
        <f t="shared" ref="F218" si="29">SUM(C212:C218)</f>
        <v>145.80000000000001</v>
      </c>
    </row>
    <row r="219" spans="1:6" x14ac:dyDescent="0.25">
      <c r="A219" s="1">
        <v>48858</v>
      </c>
      <c r="B219" t="s">
        <v>23</v>
      </c>
      <c r="C219">
        <v>21.8</v>
      </c>
      <c r="D219">
        <v>0</v>
      </c>
      <c r="E219">
        <f>IF(D219&gt;=1,martianeum[[#This Row],[zawartosc]] * 0.01 *martianeum[[#This Row],[masa '[kg']]],0)</f>
        <v>0</v>
      </c>
    </row>
    <row r="220" spans="1:6" x14ac:dyDescent="0.25">
      <c r="A220" s="1">
        <v>48859</v>
      </c>
      <c r="B220" t="s">
        <v>5</v>
      </c>
      <c r="C220">
        <v>22.2</v>
      </c>
      <c r="D220">
        <v>11.2</v>
      </c>
      <c r="E220">
        <f>IF(D220&gt;=1,martianeum[[#This Row],[zawartosc]] * 0.01 *martianeum[[#This Row],[masa '[kg']]],0)</f>
        <v>2.4863999999999997</v>
      </c>
    </row>
    <row r="221" spans="1:6" x14ac:dyDescent="0.25">
      <c r="A221" s="1">
        <v>48860</v>
      </c>
      <c r="B221" t="s">
        <v>5</v>
      </c>
      <c r="C221">
        <v>20</v>
      </c>
      <c r="D221">
        <v>0</v>
      </c>
      <c r="E221">
        <f>IF(D221&gt;=1,martianeum[[#This Row],[zawartosc]] * 0.01 *martianeum[[#This Row],[masa '[kg']]],0)</f>
        <v>0</v>
      </c>
    </row>
    <row r="222" spans="1:6" x14ac:dyDescent="0.25">
      <c r="A222" s="1">
        <v>48861</v>
      </c>
      <c r="B222" t="s">
        <v>31</v>
      </c>
      <c r="C222">
        <v>29.4</v>
      </c>
      <c r="D222">
        <v>0.7</v>
      </c>
      <c r="E222">
        <f>IF(D222&gt;=1,martianeum[[#This Row],[zawartosc]] * 0.01 *martianeum[[#This Row],[masa '[kg']]],0)</f>
        <v>0</v>
      </c>
    </row>
    <row r="223" spans="1:6" x14ac:dyDescent="0.25">
      <c r="A223" s="1">
        <v>48862</v>
      </c>
      <c r="B223" t="s">
        <v>9</v>
      </c>
      <c r="C223">
        <v>23.6</v>
      </c>
      <c r="D223">
        <v>0</v>
      </c>
      <c r="E223">
        <f>IF(D223&gt;=1,martianeum[[#This Row],[zawartosc]] * 0.01 *martianeum[[#This Row],[masa '[kg']]],0)</f>
        <v>0</v>
      </c>
    </row>
    <row r="224" spans="1:6" x14ac:dyDescent="0.25">
      <c r="A224" s="1">
        <v>48863</v>
      </c>
      <c r="B224" t="s">
        <v>6</v>
      </c>
      <c r="C224">
        <v>16.3</v>
      </c>
      <c r="D224">
        <v>22</v>
      </c>
      <c r="E224">
        <f>IF(D224&gt;=1,martianeum[[#This Row],[zawartosc]] * 0.01 *martianeum[[#This Row],[masa '[kg']]],0)</f>
        <v>3.5860000000000003</v>
      </c>
    </row>
    <row r="225" spans="1:6" x14ac:dyDescent="0.25">
      <c r="A225" s="1">
        <v>48864</v>
      </c>
      <c r="B225" t="s">
        <v>14</v>
      </c>
      <c r="C225">
        <v>15</v>
      </c>
      <c r="D225">
        <v>0</v>
      </c>
      <c r="E225">
        <f>IF(D225&gt;=1,martianeum[[#This Row],[zawartosc]] * 0.01 *martianeum[[#This Row],[masa '[kg']]],0)</f>
        <v>0</v>
      </c>
      <c r="F225">
        <f t="shared" ref="F225" si="30">SUM(C219:C225)</f>
        <v>148.30000000000001</v>
      </c>
    </row>
    <row r="226" spans="1:6" x14ac:dyDescent="0.25">
      <c r="A226" s="1">
        <v>48865</v>
      </c>
      <c r="B226" t="s">
        <v>13</v>
      </c>
      <c r="C226">
        <v>10.8</v>
      </c>
      <c r="D226">
        <v>0</v>
      </c>
      <c r="E226">
        <f>IF(D226&gt;=1,martianeum[[#This Row],[zawartosc]] * 0.01 *martianeum[[#This Row],[masa '[kg']]],0)</f>
        <v>0</v>
      </c>
    </row>
    <row r="227" spans="1:6" x14ac:dyDescent="0.25">
      <c r="A227" s="1">
        <v>48866</v>
      </c>
      <c r="B227" t="s">
        <v>18</v>
      </c>
      <c r="C227">
        <v>10.5</v>
      </c>
      <c r="D227">
        <v>0</v>
      </c>
      <c r="E227">
        <f>IF(D227&gt;=1,martianeum[[#This Row],[zawartosc]] * 0.01 *martianeum[[#This Row],[masa '[kg']]],0)</f>
        <v>0</v>
      </c>
    </row>
    <row r="228" spans="1:6" x14ac:dyDescent="0.25">
      <c r="A228" s="1">
        <v>48867</v>
      </c>
      <c r="B228" t="s">
        <v>4</v>
      </c>
      <c r="C228">
        <v>20.3</v>
      </c>
      <c r="D228">
        <v>0</v>
      </c>
      <c r="E228">
        <f>IF(D228&gt;=1,martianeum[[#This Row],[zawartosc]] * 0.01 *martianeum[[#This Row],[masa '[kg']]],0)</f>
        <v>0</v>
      </c>
    </row>
    <row r="229" spans="1:6" x14ac:dyDescent="0.25">
      <c r="A229" s="1">
        <v>48868</v>
      </c>
      <c r="B229" t="s">
        <v>9</v>
      </c>
      <c r="C229">
        <v>13.1</v>
      </c>
      <c r="D229">
        <v>50.4</v>
      </c>
      <c r="E229">
        <f>IF(D229&gt;=1,martianeum[[#This Row],[zawartosc]] * 0.01 *martianeum[[#This Row],[masa '[kg']]],0)</f>
        <v>6.6024000000000003</v>
      </c>
    </row>
    <row r="230" spans="1:6" x14ac:dyDescent="0.25">
      <c r="A230" s="1">
        <v>48869</v>
      </c>
      <c r="B230" t="s">
        <v>11</v>
      </c>
      <c r="C230">
        <v>24.8</v>
      </c>
      <c r="D230">
        <v>7.9</v>
      </c>
      <c r="E230">
        <f>IF(D230&gt;=1,martianeum[[#This Row],[zawartosc]] * 0.01 *martianeum[[#This Row],[masa '[kg']]],0)</f>
        <v>1.9592000000000001</v>
      </c>
    </row>
    <row r="231" spans="1:6" x14ac:dyDescent="0.25">
      <c r="A231" s="1">
        <v>48870</v>
      </c>
      <c r="B231" t="s">
        <v>10</v>
      </c>
      <c r="C231">
        <v>23.6</v>
      </c>
      <c r="D231">
        <v>0.8</v>
      </c>
      <c r="E231">
        <f>IF(D231&gt;=1,martianeum[[#This Row],[zawartosc]] * 0.01 *martianeum[[#This Row],[masa '[kg']]],0)</f>
        <v>0</v>
      </c>
    </row>
    <row r="232" spans="1:6" x14ac:dyDescent="0.25">
      <c r="A232" s="1">
        <v>48871</v>
      </c>
      <c r="B232" t="s">
        <v>16</v>
      </c>
      <c r="C232">
        <v>17.899999999999999</v>
      </c>
      <c r="D232">
        <v>0</v>
      </c>
      <c r="E232">
        <f>IF(D232&gt;=1,martianeum[[#This Row],[zawartosc]] * 0.01 *martianeum[[#This Row],[masa '[kg']]],0)</f>
        <v>0</v>
      </c>
      <c r="F232">
        <f t="shared" ref="F232" si="31">SUM(C226:C232)</f>
        <v>121</v>
      </c>
    </row>
    <row r="233" spans="1:6" x14ac:dyDescent="0.25">
      <c r="A233" s="1">
        <v>48872</v>
      </c>
      <c r="B233" t="s">
        <v>11</v>
      </c>
      <c r="C233">
        <v>23.2</v>
      </c>
      <c r="D233">
        <v>3</v>
      </c>
      <c r="E233">
        <f>IF(D233&gt;=1,martianeum[[#This Row],[zawartosc]] * 0.01 *martianeum[[#This Row],[masa '[kg']]],0)</f>
        <v>0.69599999999999995</v>
      </c>
    </row>
    <row r="234" spans="1:6" x14ac:dyDescent="0.25">
      <c r="A234" s="1">
        <v>48873</v>
      </c>
      <c r="B234" t="s">
        <v>7</v>
      </c>
      <c r="C234">
        <v>21.8</v>
      </c>
      <c r="D234">
        <v>2</v>
      </c>
      <c r="E234">
        <f>IF(D234&gt;=1,martianeum[[#This Row],[zawartosc]] * 0.01 *martianeum[[#This Row],[masa '[kg']]],0)</f>
        <v>0.436</v>
      </c>
    </row>
    <row r="235" spans="1:6" x14ac:dyDescent="0.25">
      <c r="A235" s="1">
        <v>48874</v>
      </c>
      <c r="B235" t="s">
        <v>25</v>
      </c>
      <c r="C235">
        <v>22.2</v>
      </c>
      <c r="D235">
        <v>3.1</v>
      </c>
      <c r="E235">
        <f>IF(D235&gt;=1,martianeum[[#This Row],[zawartosc]] * 0.01 *martianeum[[#This Row],[masa '[kg']]],0)</f>
        <v>0.68820000000000003</v>
      </c>
    </row>
    <row r="236" spans="1:6" x14ac:dyDescent="0.25">
      <c r="A236" s="1">
        <v>48875</v>
      </c>
      <c r="B236" t="s">
        <v>14</v>
      </c>
      <c r="C236">
        <v>29</v>
      </c>
      <c r="D236">
        <v>16.399999999999999</v>
      </c>
      <c r="E236">
        <f>IF(D236&gt;=1,martianeum[[#This Row],[zawartosc]] * 0.01 *martianeum[[#This Row],[masa '[kg']]],0)</f>
        <v>4.7559999999999993</v>
      </c>
    </row>
    <row r="237" spans="1:6" x14ac:dyDescent="0.25">
      <c r="A237" s="1">
        <v>48876</v>
      </c>
      <c r="B237" t="s">
        <v>23</v>
      </c>
      <c r="C237">
        <v>24.6</v>
      </c>
      <c r="D237">
        <v>1.7</v>
      </c>
      <c r="E237">
        <f>IF(D237&gt;=1,martianeum[[#This Row],[zawartosc]] * 0.01 *martianeum[[#This Row],[masa '[kg']]],0)</f>
        <v>0.41820000000000007</v>
      </c>
    </row>
    <row r="238" spans="1:6" x14ac:dyDescent="0.25">
      <c r="A238" s="1">
        <v>48877</v>
      </c>
      <c r="B238" t="s">
        <v>11</v>
      </c>
      <c r="C238">
        <v>23.4</v>
      </c>
      <c r="D238">
        <v>0.6</v>
      </c>
      <c r="E238">
        <f>IF(D238&gt;=1,martianeum[[#This Row],[zawartosc]] * 0.01 *martianeum[[#This Row],[masa '[kg']]],0)</f>
        <v>0</v>
      </c>
    </row>
    <row r="239" spans="1:6" x14ac:dyDescent="0.25">
      <c r="A239" s="1">
        <v>48878</v>
      </c>
      <c r="B239" t="s">
        <v>14</v>
      </c>
      <c r="C239">
        <v>21</v>
      </c>
      <c r="D239">
        <v>0</v>
      </c>
      <c r="E239">
        <f>IF(D239&gt;=1,martianeum[[#This Row],[zawartosc]] * 0.01 *martianeum[[#This Row],[masa '[kg']]],0)</f>
        <v>0</v>
      </c>
      <c r="F239">
        <f t="shared" ref="F239" si="32">SUM(C233:C239)</f>
        <v>165.20000000000002</v>
      </c>
    </row>
    <row r="240" spans="1:6" x14ac:dyDescent="0.25">
      <c r="A240" s="1">
        <v>48879</v>
      </c>
      <c r="B240" t="s">
        <v>4</v>
      </c>
      <c r="C240">
        <v>22</v>
      </c>
      <c r="D240">
        <v>0</v>
      </c>
      <c r="E240">
        <f>IF(D240&gt;=1,martianeum[[#This Row],[zawartosc]] * 0.01 *martianeum[[#This Row],[masa '[kg']]],0)</f>
        <v>0</v>
      </c>
    </row>
    <row r="241" spans="1:6" x14ac:dyDescent="0.25">
      <c r="A241" s="1">
        <v>48880</v>
      </c>
      <c r="B241" t="s">
        <v>8</v>
      </c>
      <c r="C241">
        <v>29.9</v>
      </c>
      <c r="D241">
        <v>8</v>
      </c>
      <c r="E241">
        <f>IF(D241&gt;=1,martianeum[[#This Row],[zawartosc]] * 0.01 *martianeum[[#This Row],[masa '[kg']]],0)</f>
        <v>2.3919999999999999</v>
      </c>
    </row>
    <row r="242" spans="1:6" x14ac:dyDescent="0.25">
      <c r="A242" s="1">
        <v>48881</v>
      </c>
      <c r="B242" t="s">
        <v>6</v>
      </c>
      <c r="C242">
        <v>27.2</v>
      </c>
      <c r="D242">
        <v>19.2</v>
      </c>
      <c r="E242">
        <f>IF(D242&gt;=1,martianeum[[#This Row],[zawartosc]] * 0.01 *martianeum[[#This Row],[masa '[kg']]],0)</f>
        <v>5.2224000000000004</v>
      </c>
    </row>
    <row r="243" spans="1:6" x14ac:dyDescent="0.25">
      <c r="A243" s="1">
        <v>48882</v>
      </c>
      <c r="B243" t="s">
        <v>18</v>
      </c>
      <c r="C243">
        <v>10.9</v>
      </c>
      <c r="D243">
        <v>9</v>
      </c>
      <c r="E243">
        <f>IF(D243&gt;=1,martianeum[[#This Row],[zawartosc]] * 0.01 *martianeum[[#This Row],[masa '[kg']]],0)</f>
        <v>0.98099999999999998</v>
      </c>
    </row>
    <row r="244" spans="1:6" x14ac:dyDescent="0.25">
      <c r="A244" s="1">
        <v>48883</v>
      </c>
      <c r="B244" t="s">
        <v>8</v>
      </c>
      <c r="C244">
        <v>22.6</v>
      </c>
      <c r="D244">
        <v>5.9</v>
      </c>
      <c r="E244">
        <f>IF(D244&gt;=1,martianeum[[#This Row],[zawartosc]] * 0.01 *martianeum[[#This Row],[masa '[kg']]],0)</f>
        <v>1.3334000000000001</v>
      </c>
    </row>
    <row r="245" spans="1:6" x14ac:dyDescent="0.25">
      <c r="A245" s="1">
        <v>48884</v>
      </c>
      <c r="B245" t="s">
        <v>22</v>
      </c>
      <c r="C245">
        <v>12</v>
      </c>
      <c r="D245">
        <v>3.9</v>
      </c>
      <c r="E245">
        <f>IF(D245&gt;=1,martianeum[[#This Row],[zawartosc]] * 0.01 *martianeum[[#This Row],[masa '[kg']]],0)</f>
        <v>0.46799999999999997</v>
      </c>
    </row>
    <row r="246" spans="1:6" x14ac:dyDescent="0.25">
      <c r="A246" s="1">
        <v>48885</v>
      </c>
      <c r="B246" t="s">
        <v>14</v>
      </c>
      <c r="C246">
        <v>19.5</v>
      </c>
      <c r="D246">
        <v>14.2</v>
      </c>
      <c r="E246">
        <f>IF(D246&gt;=1,martianeum[[#This Row],[zawartosc]] * 0.01 *martianeum[[#This Row],[masa '[kg']]],0)</f>
        <v>2.7689999999999997</v>
      </c>
      <c r="F246">
        <f t="shared" ref="F246" si="33">SUM(C240:C246)</f>
        <v>144.1</v>
      </c>
    </row>
    <row r="247" spans="1:6" x14ac:dyDescent="0.25">
      <c r="A247" s="1">
        <v>48886</v>
      </c>
      <c r="B247" t="s">
        <v>9</v>
      </c>
      <c r="C247">
        <v>27</v>
      </c>
      <c r="D247">
        <v>10.9</v>
      </c>
      <c r="E247">
        <f>IF(D247&gt;=1,martianeum[[#This Row],[zawartosc]] * 0.01 *martianeum[[#This Row],[masa '[kg']]],0)</f>
        <v>2.9430000000000001</v>
      </c>
    </row>
    <row r="248" spans="1:6" x14ac:dyDescent="0.25">
      <c r="A248" s="1">
        <v>48887</v>
      </c>
      <c r="B248" t="s">
        <v>21</v>
      </c>
      <c r="C248">
        <v>10.7</v>
      </c>
      <c r="D248">
        <v>5.6</v>
      </c>
      <c r="E248">
        <f>IF(D248&gt;=1,martianeum[[#This Row],[zawartosc]] * 0.01 *martianeum[[#This Row],[masa '[kg']]],0)</f>
        <v>0.59919999999999984</v>
      </c>
    </row>
    <row r="249" spans="1:6" x14ac:dyDescent="0.25">
      <c r="A249" s="1">
        <v>48888</v>
      </c>
      <c r="B249" t="s">
        <v>18</v>
      </c>
      <c r="C249">
        <v>29.1</v>
      </c>
      <c r="D249">
        <v>0</v>
      </c>
      <c r="E249">
        <f>IF(D249&gt;=1,martianeum[[#This Row],[zawartosc]] * 0.01 *martianeum[[#This Row],[masa '[kg']]],0)</f>
        <v>0</v>
      </c>
    </row>
    <row r="250" spans="1:6" x14ac:dyDescent="0.25">
      <c r="A250" s="1">
        <v>48889</v>
      </c>
      <c r="B250" t="s">
        <v>26</v>
      </c>
      <c r="C250">
        <v>25.3</v>
      </c>
      <c r="D250">
        <v>0</v>
      </c>
      <c r="E250">
        <f>IF(D250&gt;=1,martianeum[[#This Row],[zawartosc]] * 0.01 *martianeum[[#This Row],[masa '[kg']]],0)</f>
        <v>0</v>
      </c>
    </row>
    <row r="251" spans="1:6" x14ac:dyDescent="0.25">
      <c r="A251" s="1">
        <v>48890</v>
      </c>
      <c r="B251" t="s">
        <v>5</v>
      </c>
      <c r="C251">
        <v>13.3</v>
      </c>
      <c r="D251">
        <v>4.4000000000000004</v>
      </c>
      <c r="E251">
        <f>IF(D251&gt;=1,martianeum[[#This Row],[zawartosc]] * 0.01 *martianeum[[#This Row],[masa '[kg']]],0)</f>
        <v>0.58520000000000005</v>
      </c>
    </row>
    <row r="252" spans="1:6" x14ac:dyDescent="0.25">
      <c r="A252" s="1">
        <v>48891</v>
      </c>
      <c r="B252" t="s">
        <v>6</v>
      </c>
      <c r="C252">
        <v>16.899999999999999</v>
      </c>
      <c r="D252">
        <v>0</v>
      </c>
      <c r="E252">
        <f>IF(D252&gt;=1,martianeum[[#This Row],[zawartosc]] * 0.01 *martianeum[[#This Row],[masa '[kg']]],0)</f>
        <v>0</v>
      </c>
    </row>
    <row r="253" spans="1:6" x14ac:dyDescent="0.25">
      <c r="A253" s="1">
        <v>48892</v>
      </c>
      <c r="B253" t="s">
        <v>14</v>
      </c>
      <c r="C253">
        <v>26.4</v>
      </c>
      <c r="D253">
        <v>6.8</v>
      </c>
      <c r="E253">
        <f>IF(D253&gt;=1,martianeum[[#This Row],[zawartosc]] * 0.01 *martianeum[[#This Row],[masa '[kg']]],0)</f>
        <v>1.7952000000000001</v>
      </c>
      <c r="F253">
        <f t="shared" ref="F253" si="34">SUM(C247:C253)</f>
        <v>148.70000000000002</v>
      </c>
    </row>
    <row r="254" spans="1:6" x14ac:dyDescent="0.25">
      <c r="A254" s="1">
        <v>48893</v>
      </c>
      <c r="B254" t="s">
        <v>13</v>
      </c>
      <c r="C254">
        <v>29.7</v>
      </c>
      <c r="D254">
        <v>0</v>
      </c>
      <c r="E254">
        <f>IF(D254&gt;=1,martianeum[[#This Row],[zawartosc]] * 0.01 *martianeum[[#This Row],[masa '[kg']]],0)</f>
        <v>0</v>
      </c>
    </row>
    <row r="255" spans="1:6" x14ac:dyDescent="0.25">
      <c r="A255" s="1">
        <v>48894</v>
      </c>
      <c r="B255" t="s">
        <v>6</v>
      </c>
      <c r="C255">
        <v>17.600000000000001</v>
      </c>
      <c r="D255">
        <v>8.6999999999999993</v>
      </c>
      <c r="E255">
        <f>IF(D255&gt;=1,martianeum[[#This Row],[zawartosc]] * 0.01 *martianeum[[#This Row],[masa '[kg']]],0)</f>
        <v>1.5312000000000001</v>
      </c>
    </row>
    <row r="256" spans="1:6" x14ac:dyDescent="0.25">
      <c r="A256" s="1">
        <v>48895</v>
      </c>
      <c r="B256" t="s">
        <v>16</v>
      </c>
      <c r="C256">
        <v>13.2</v>
      </c>
      <c r="D256">
        <v>3.3</v>
      </c>
      <c r="E256">
        <f>IF(D256&gt;=1,martianeum[[#This Row],[zawartosc]] * 0.01 *martianeum[[#This Row],[masa '[kg']]],0)</f>
        <v>0.43559999999999999</v>
      </c>
    </row>
    <row r="257" spans="1:6" x14ac:dyDescent="0.25">
      <c r="A257" s="1">
        <v>48896</v>
      </c>
      <c r="B257" t="s">
        <v>14</v>
      </c>
      <c r="C257">
        <v>21.2</v>
      </c>
      <c r="D257">
        <v>0</v>
      </c>
      <c r="E257">
        <f>IF(D257&gt;=1,martianeum[[#This Row],[zawartosc]] * 0.01 *martianeum[[#This Row],[masa '[kg']]],0)</f>
        <v>0</v>
      </c>
    </row>
    <row r="258" spans="1:6" x14ac:dyDescent="0.25">
      <c r="A258" s="1">
        <v>48897</v>
      </c>
      <c r="B258" t="s">
        <v>14</v>
      </c>
      <c r="C258">
        <v>23</v>
      </c>
      <c r="D258">
        <v>7.7</v>
      </c>
      <c r="E258">
        <f>IF(D258&gt;=1,martianeum[[#This Row],[zawartosc]] * 0.01 *martianeum[[#This Row],[masa '[kg']]],0)</f>
        <v>1.7709999999999999</v>
      </c>
    </row>
    <row r="259" spans="1:6" x14ac:dyDescent="0.25">
      <c r="A259" s="1">
        <v>48898</v>
      </c>
      <c r="B259" t="s">
        <v>10</v>
      </c>
      <c r="C259">
        <v>23</v>
      </c>
      <c r="D259">
        <v>0</v>
      </c>
      <c r="E259">
        <f>IF(D259&gt;=1,martianeum[[#This Row],[zawartosc]] * 0.01 *martianeum[[#This Row],[masa '[kg']]],0)</f>
        <v>0</v>
      </c>
    </row>
    <row r="260" spans="1:6" x14ac:dyDescent="0.25">
      <c r="A260" s="1">
        <v>48899</v>
      </c>
      <c r="B260" t="s">
        <v>10</v>
      </c>
      <c r="C260">
        <v>23.4</v>
      </c>
      <c r="D260">
        <v>0</v>
      </c>
      <c r="E260">
        <f>IF(D260&gt;=1,martianeum[[#This Row],[zawartosc]] * 0.01 *martianeum[[#This Row],[masa '[kg']]],0)</f>
        <v>0</v>
      </c>
      <c r="F260">
        <f t="shared" ref="F260" si="35">SUM(C254:C260)</f>
        <v>151.1</v>
      </c>
    </row>
    <row r="261" spans="1:6" x14ac:dyDescent="0.25">
      <c r="A261" s="1">
        <v>48900</v>
      </c>
      <c r="B261" t="s">
        <v>6</v>
      </c>
      <c r="C261">
        <v>28.7</v>
      </c>
      <c r="D261">
        <v>3.3</v>
      </c>
      <c r="E261">
        <f>IF(D261&gt;=1,martianeum[[#This Row],[zawartosc]] * 0.01 *martianeum[[#This Row],[masa '[kg']]],0)</f>
        <v>0.94710000000000005</v>
      </c>
    </row>
    <row r="262" spans="1:6" x14ac:dyDescent="0.25">
      <c r="A262" s="1">
        <v>48901</v>
      </c>
      <c r="B262" t="s">
        <v>25</v>
      </c>
      <c r="C262">
        <v>23.6</v>
      </c>
      <c r="D262">
        <v>4.3</v>
      </c>
      <c r="E262">
        <f>IF(D262&gt;=1,martianeum[[#This Row],[zawartosc]] * 0.01 *martianeum[[#This Row],[masa '[kg']]],0)</f>
        <v>1.0147999999999999</v>
      </c>
    </row>
    <row r="263" spans="1:6" x14ac:dyDescent="0.25">
      <c r="A263" s="1">
        <v>48902</v>
      </c>
      <c r="B263" t="s">
        <v>5</v>
      </c>
      <c r="C263">
        <v>10.199999999999999</v>
      </c>
      <c r="D263">
        <v>8.6999999999999993</v>
      </c>
      <c r="E263">
        <f>IF(D263&gt;=1,martianeum[[#This Row],[zawartosc]] * 0.01 *martianeum[[#This Row],[masa '[kg']]],0)</f>
        <v>0.88739999999999986</v>
      </c>
    </row>
    <row r="264" spans="1:6" x14ac:dyDescent="0.25">
      <c r="A264" s="1">
        <v>48903</v>
      </c>
      <c r="B264" t="s">
        <v>8</v>
      </c>
      <c r="C264">
        <v>13.8</v>
      </c>
      <c r="D264">
        <v>0</v>
      </c>
      <c r="E264">
        <f>IF(D264&gt;=1,martianeum[[#This Row],[zawartosc]] * 0.01 *martianeum[[#This Row],[masa '[kg']]],0)</f>
        <v>0</v>
      </c>
    </row>
    <row r="265" spans="1:6" x14ac:dyDescent="0.25">
      <c r="A265" s="1">
        <v>48904</v>
      </c>
      <c r="B265" t="s">
        <v>7</v>
      </c>
      <c r="C265">
        <v>27.7</v>
      </c>
      <c r="D265">
        <v>0</v>
      </c>
      <c r="E265">
        <f>IF(D265&gt;=1,martianeum[[#This Row],[zawartosc]] * 0.01 *martianeum[[#This Row],[masa '[kg']]],0)</f>
        <v>0</v>
      </c>
    </row>
    <row r="266" spans="1:6" x14ac:dyDescent="0.25">
      <c r="A266" s="1">
        <v>48905</v>
      </c>
      <c r="B266" t="s">
        <v>6</v>
      </c>
      <c r="C266">
        <v>13.3</v>
      </c>
      <c r="D266">
        <v>7.2</v>
      </c>
      <c r="E266">
        <f>IF(D266&gt;=1,martianeum[[#This Row],[zawartosc]] * 0.01 *martianeum[[#This Row],[masa '[kg']]],0)</f>
        <v>0.95760000000000012</v>
      </c>
    </row>
    <row r="267" spans="1:6" x14ac:dyDescent="0.25">
      <c r="A267" s="1">
        <v>48906</v>
      </c>
      <c r="B267" t="s">
        <v>10</v>
      </c>
      <c r="C267">
        <v>26</v>
      </c>
      <c r="D267">
        <v>0.7</v>
      </c>
      <c r="E267">
        <f>IF(D267&gt;=1,martianeum[[#This Row],[zawartosc]] * 0.01 *martianeum[[#This Row],[masa '[kg']]],0)</f>
        <v>0</v>
      </c>
      <c r="F267">
        <f t="shared" ref="F267" si="36">SUM(C261:C267)</f>
        <v>143.30000000000001</v>
      </c>
    </row>
    <row r="268" spans="1:6" x14ac:dyDescent="0.25">
      <c r="A268" s="1">
        <v>48907</v>
      </c>
      <c r="B268" t="s">
        <v>5</v>
      </c>
      <c r="C268">
        <v>16.3</v>
      </c>
      <c r="D268">
        <v>11</v>
      </c>
      <c r="E268">
        <f>IF(D268&gt;=1,martianeum[[#This Row],[zawartosc]] * 0.01 *martianeum[[#This Row],[masa '[kg']]],0)</f>
        <v>1.7930000000000001</v>
      </c>
    </row>
    <row r="269" spans="1:6" x14ac:dyDescent="0.25">
      <c r="A269" s="1">
        <v>48908</v>
      </c>
      <c r="B269" t="s">
        <v>14</v>
      </c>
      <c r="C269">
        <v>23.5</v>
      </c>
      <c r="D269">
        <v>15.5</v>
      </c>
      <c r="E269">
        <f>IF(D269&gt;=1,martianeum[[#This Row],[zawartosc]] * 0.01 *martianeum[[#This Row],[masa '[kg']]],0)</f>
        <v>3.6425000000000001</v>
      </c>
    </row>
    <row r="270" spans="1:6" x14ac:dyDescent="0.25">
      <c r="A270" s="1">
        <v>48909</v>
      </c>
      <c r="B270" t="s">
        <v>26</v>
      </c>
      <c r="C270">
        <v>15.7</v>
      </c>
      <c r="D270">
        <v>0</v>
      </c>
      <c r="E270">
        <f>IF(D270&gt;=1,martianeum[[#This Row],[zawartosc]] * 0.01 *martianeum[[#This Row],[masa '[kg']]],0)</f>
        <v>0</v>
      </c>
    </row>
    <row r="271" spans="1:6" x14ac:dyDescent="0.25">
      <c r="A271" s="1">
        <v>48910</v>
      </c>
      <c r="B271" t="s">
        <v>25</v>
      </c>
      <c r="C271">
        <v>26</v>
      </c>
      <c r="D271">
        <v>6.4</v>
      </c>
      <c r="E271">
        <f>IF(D271&gt;=1,martianeum[[#This Row],[zawartosc]] * 0.01 *martianeum[[#This Row],[masa '[kg']]],0)</f>
        <v>1.6640000000000001</v>
      </c>
    </row>
    <row r="272" spans="1:6" x14ac:dyDescent="0.25">
      <c r="A272" s="1">
        <v>48911</v>
      </c>
      <c r="B272" t="s">
        <v>18</v>
      </c>
      <c r="C272">
        <v>22.7</v>
      </c>
      <c r="D272">
        <v>0</v>
      </c>
      <c r="E272">
        <f>IF(D272&gt;=1,martianeum[[#This Row],[zawartosc]] * 0.01 *martianeum[[#This Row],[masa '[kg']]],0)</f>
        <v>0</v>
      </c>
    </row>
    <row r="273" spans="1:6" x14ac:dyDescent="0.25">
      <c r="A273" s="1">
        <v>48912</v>
      </c>
      <c r="B273" t="s">
        <v>8</v>
      </c>
      <c r="C273">
        <v>26.2</v>
      </c>
      <c r="D273">
        <v>5.7</v>
      </c>
      <c r="E273">
        <f>IF(D273&gt;=1,martianeum[[#This Row],[zawartosc]] * 0.01 *martianeum[[#This Row],[masa '[kg']]],0)</f>
        <v>1.4934000000000001</v>
      </c>
    </row>
    <row r="274" spans="1:6" x14ac:dyDescent="0.25">
      <c r="A274" s="1">
        <v>48913</v>
      </c>
      <c r="B274" t="s">
        <v>21</v>
      </c>
      <c r="C274">
        <v>14.1</v>
      </c>
      <c r="D274">
        <v>0</v>
      </c>
      <c r="E274">
        <f>IF(D274&gt;=1,martianeum[[#This Row],[zawartosc]] * 0.01 *martianeum[[#This Row],[masa '[kg']]],0)</f>
        <v>0</v>
      </c>
      <c r="F274">
        <f t="shared" ref="F274" si="37">SUM(C268:C274)</f>
        <v>144.5</v>
      </c>
    </row>
    <row r="275" spans="1:6" x14ac:dyDescent="0.25">
      <c r="A275" s="1">
        <v>48914</v>
      </c>
      <c r="B275" t="s">
        <v>10</v>
      </c>
      <c r="C275">
        <v>23.6</v>
      </c>
      <c r="D275">
        <v>19.7</v>
      </c>
      <c r="E275">
        <f>IF(D275&gt;=1,martianeum[[#This Row],[zawartosc]] * 0.01 *martianeum[[#This Row],[masa '[kg']]],0)</f>
        <v>4.6492000000000004</v>
      </c>
    </row>
    <row r="276" spans="1:6" x14ac:dyDescent="0.25">
      <c r="A276" s="1">
        <v>48915</v>
      </c>
      <c r="B276" t="s">
        <v>18</v>
      </c>
      <c r="C276">
        <v>25.2</v>
      </c>
      <c r="D276">
        <v>37.200000000000003</v>
      </c>
      <c r="E276">
        <f>IF(D276&gt;=1,martianeum[[#This Row],[zawartosc]] * 0.01 *martianeum[[#This Row],[masa '[kg']]],0)</f>
        <v>9.3744000000000014</v>
      </c>
    </row>
    <row r="277" spans="1:6" x14ac:dyDescent="0.25">
      <c r="A277" s="1">
        <v>48916</v>
      </c>
      <c r="B277" t="s">
        <v>12</v>
      </c>
      <c r="C277">
        <v>23</v>
      </c>
      <c r="D277">
        <v>0</v>
      </c>
      <c r="E277">
        <f>IF(D277&gt;=1,martianeum[[#This Row],[zawartosc]] * 0.01 *martianeum[[#This Row],[masa '[kg']]],0)</f>
        <v>0</v>
      </c>
    </row>
    <row r="278" spans="1:6" x14ac:dyDescent="0.25">
      <c r="A278" s="1">
        <v>48917</v>
      </c>
      <c r="B278" t="s">
        <v>5</v>
      </c>
      <c r="C278">
        <v>29.7</v>
      </c>
      <c r="D278">
        <v>6.8</v>
      </c>
      <c r="E278">
        <f>IF(D278&gt;=1,martianeum[[#This Row],[zawartosc]] * 0.01 *martianeum[[#This Row],[masa '[kg']]],0)</f>
        <v>2.0196000000000001</v>
      </c>
    </row>
    <row r="279" spans="1:6" x14ac:dyDescent="0.25">
      <c r="A279" s="1">
        <v>48918</v>
      </c>
      <c r="B279" t="s">
        <v>8</v>
      </c>
      <c r="C279">
        <v>17.2</v>
      </c>
      <c r="D279">
        <v>3.5</v>
      </c>
      <c r="E279">
        <f>IF(D279&gt;=1,martianeum[[#This Row],[zawartosc]] * 0.01 *martianeum[[#This Row],[masa '[kg']]],0)</f>
        <v>0.60199999999999998</v>
      </c>
    </row>
    <row r="280" spans="1:6" x14ac:dyDescent="0.25">
      <c r="A280" s="1">
        <v>48919</v>
      </c>
      <c r="B280" t="s">
        <v>8</v>
      </c>
      <c r="C280">
        <v>21.7</v>
      </c>
      <c r="D280">
        <v>2.5</v>
      </c>
      <c r="E280">
        <f>IF(D280&gt;=1,martianeum[[#This Row],[zawartosc]] * 0.01 *martianeum[[#This Row],[masa '[kg']]],0)</f>
        <v>0.54249999999999998</v>
      </c>
    </row>
    <row r="281" spans="1:6" x14ac:dyDescent="0.25">
      <c r="A281" s="1">
        <v>48920</v>
      </c>
      <c r="B281" t="s">
        <v>10</v>
      </c>
      <c r="C281">
        <v>25.8</v>
      </c>
      <c r="D281">
        <v>3.8</v>
      </c>
      <c r="E281">
        <f>IF(D281&gt;=1,martianeum[[#This Row],[zawartosc]] * 0.01 *martianeum[[#This Row],[masa '[kg']]],0)</f>
        <v>0.98040000000000005</v>
      </c>
      <c r="F281">
        <f t="shared" ref="F281" si="38">SUM(C275:C281)</f>
        <v>166.20000000000002</v>
      </c>
    </row>
    <row r="282" spans="1:6" x14ac:dyDescent="0.25">
      <c r="A282" s="1">
        <v>48921</v>
      </c>
      <c r="B282" t="s">
        <v>25</v>
      </c>
      <c r="C282">
        <v>12.9</v>
      </c>
      <c r="D282">
        <v>1.6</v>
      </c>
      <c r="E282">
        <f>IF(D282&gt;=1,martianeum[[#This Row],[zawartosc]] * 0.01 *martianeum[[#This Row],[masa '[kg']]],0)</f>
        <v>0.2064</v>
      </c>
    </row>
    <row r="283" spans="1:6" x14ac:dyDescent="0.25">
      <c r="A283" s="1">
        <v>48922</v>
      </c>
      <c r="B283" t="s">
        <v>15</v>
      </c>
      <c r="C283">
        <v>18.2</v>
      </c>
      <c r="D283">
        <v>0</v>
      </c>
      <c r="E283">
        <f>IF(D283&gt;=1,martianeum[[#This Row],[zawartosc]] * 0.01 *martianeum[[#This Row],[masa '[kg']]],0)</f>
        <v>0</v>
      </c>
    </row>
    <row r="284" spans="1:6" x14ac:dyDescent="0.25">
      <c r="A284" s="1">
        <v>48923</v>
      </c>
      <c r="B284" t="s">
        <v>9</v>
      </c>
      <c r="C284">
        <v>20</v>
      </c>
      <c r="D284">
        <v>25.7</v>
      </c>
      <c r="E284">
        <f>IF(D284&gt;=1,martianeum[[#This Row],[zawartosc]] * 0.01 *martianeum[[#This Row],[masa '[kg']]],0)</f>
        <v>5.1400000000000006</v>
      </c>
    </row>
    <row r="285" spans="1:6" x14ac:dyDescent="0.25">
      <c r="A285" s="1">
        <v>48924</v>
      </c>
      <c r="B285" t="s">
        <v>18</v>
      </c>
      <c r="C285">
        <v>17.100000000000001</v>
      </c>
      <c r="D285">
        <v>33</v>
      </c>
      <c r="E285">
        <f>IF(D285&gt;=1,martianeum[[#This Row],[zawartosc]] * 0.01 *martianeum[[#This Row],[masa '[kg']]],0)</f>
        <v>5.6430000000000007</v>
      </c>
    </row>
    <row r="286" spans="1:6" x14ac:dyDescent="0.25">
      <c r="A286" s="1">
        <v>48925</v>
      </c>
      <c r="B286" t="s">
        <v>4</v>
      </c>
      <c r="C286">
        <v>23.2</v>
      </c>
      <c r="D286">
        <v>2.2999999999999998</v>
      </c>
      <c r="E286">
        <f>IF(D286&gt;=1,martianeum[[#This Row],[zawartosc]] * 0.01 *martianeum[[#This Row],[masa '[kg']]],0)</f>
        <v>0.53359999999999996</v>
      </c>
    </row>
    <row r="287" spans="1:6" x14ac:dyDescent="0.25">
      <c r="A287" s="1">
        <v>48926</v>
      </c>
      <c r="B287" t="s">
        <v>14</v>
      </c>
      <c r="C287">
        <v>23.1</v>
      </c>
      <c r="D287">
        <v>2.2000000000000002</v>
      </c>
      <c r="E287">
        <f>IF(D287&gt;=1,martianeum[[#This Row],[zawartosc]] * 0.01 *martianeum[[#This Row],[masa '[kg']]],0)</f>
        <v>0.5082000000000001</v>
      </c>
    </row>
    <row r="288" spans="1:6" x14ac:dyDescent="0.25">
      <c r="A288" s="1">
        <v>48927</v>
      </c>
      <c r="B288" t="s">
        <v>9</v>
      </c>
      <c r="C288">
        <v>22.4</v>
      </c>
      <c r="D288">
        <v>33.5</v>
      </c>
      <c r="E288">
        <f>IF(D288&gt;=1,martianeum[[#This Row],[zawartosc]] * 0.01 *martianeum[[#This Row],[masa '[kg']]],0)</f>
        <v>7.5039999999999996</v>
      </c>
      <c r="F288">
        <f t="shared" ref="F288" si="39">SUM(C282:C288)</f>
        <v>136.9</v>
      </c>
    </row>
    <row r="289" spans="1:6" x14ac:dyDescent="0.25">
      <c r="A289" s="1">
        <v>48928</v>
      </c>
      <c r="B289" t="s">
        <v>32</v>
      </c>
      <c r="C289">
        <v>25.4</v>
      </c>
      <c r="D289">
        <v>0.9</v>
      </c>
      <c r="E289">
        <f>IF(D289&gt;=1,martianeum[[#This Row],[zawartosc]] * 0.01 *martianeum[[#This Row],[masa '[kg']]],0)</f>
        <v>0</v>
      </c>
    </row>
    <row r="290" spans="1:6" x14ac:dyDescent="0.25">
      <c r="A290" s="1">
        <v>48929</v>
      </c>
      <c r="B290" t="s">
        <v>9</v>
      </c>
      <c r="C290">
        <v>15.4</v>
      </c>
      <c r="D290">
        <v>1.6</v>
      </c>
      <c r="E290">
        <f>IF(D290&gt;=1,martianeum[[#This Row],[zawartosc]] * 0.01 *martianeum[[#This Row],[masa '[kg']]],0)</f>
        <v>0.24640000000000001</v>
      </c>
    </row>
    <row r="291" spans="1:6" x14ac:dyDescent="0.25">
      <c r="A291" s="1">
        <v>48930</v>
      </c>
      <c r="B291" t="s">
        <v>24</v>
      </c>
      <c r="C291">
        <v>23.5</v>
      </c>
      <c r="D291">
        <v>0.6</v>
      </c>
      <c r="E291">
        <f>IF(D291&gt;=1,martianeum[[#This Row],[zawartosc]] * 0.01 *martianeum[[#This Row],[masa '[kg']]],0)</f>
        <v>0</v>
      </c>
    </row>
    <row r="292" spans="1:6" x14ac:dyDescent="0.25">
      <c r="A292" s="1">
        <v>48931</v>
      </c>
      <c r="B292" t="s">
        <v>14</v>
      </c>
      <c r="C292">
        <v>10.3</v>
      </c>
      <c r="D292">
        <v>15.4</v>
      </c>
      <c r="E292">
        <f>IF(D292&gt;=1,martianeum[[#This Row],[zawartosc]] * 0.01 *martianeum[[#This Row],[masa '[kg']]],0)</f>
        <v>1.5862000000000001</v>
      </c>
    </row>
    <row r="293" spans="1:6" x14ac:dyDescent="0.25">
      <c r="A293" s="1">
        <v>48932</v>
      </c>
      <c r="B293" t="s">
        <v>9</v>
      </c>
      <c r="C293">
        <v>15.5</v>
      </c>
      <c r="D293">
        <v>20.2</v>
      </c>
      <c r="E293">
        <f>IF(D293&gt;=1,martianeum[[#This Row],[zawartosc]] * 0.01 *martianeum[[#This Row],[masa '[kg']]],0)</f>
        <v>3.1309999999999998</v>
      </c>
    </row>
    <row r="294" spans="1:6" x14ac:dyDescent="0.25">
      <c r="A294" s="1">
        <v>48933</v>
      </c>
      <c r="B294" t="s">
        <v>23</v>
      </c>
      <c r="C294">
        <v>20.7</v>
      </c>
      <c r="D294">
        <v>3</v>
      </c>
      <c r="E294">
        <f>IF(D294&gt;=1,martianeum[[#This Row],[zawartosc]] * 0.01 *martianeum[[#This Row],[masa '[kg']]],0)</f>
        <v>0.621</v>
      </c>
    </row>
    <row r="295" spans="1:6" x14ac:dyDescent="0.25">
      <c r="A295" s="1">
        <v>48934</v>
      </c>
      <c r="B295" t="s">
        <v>12</v>
      </c>
      <c r="C295">
        <v>12.7</v>
      </c>
      <c r="D295">
        <v>14.4</v>
      </c>
      <c r="E295">
        <f>IF(D295&gt;=1,martianeum[[#This Row],[zawartosc]] * 0.01 *martianeum[[#This Row],[masa '[kg']]],0)</f>
        <v>1.8288000000000002</v>
      </c>
      <c r="F295">
        <f t="shared" ref="F295" si="40">SUM(C289:C295)</f>
        <v>123.5</v>
      </c>
    </row>
    <row r="296" spans="1:6" x14ac:dyDescent="0.25">
      <c r="A296" s="1">
        <v>48935</v>
      </c>
      <c r="B296" t="s">
        <v>22</v>
      </c>
      <c r="C296">
        <v>22.8</v>
      </c>
      <c r="D296">
        <v>3.3</v>
      </c>
      <c r="E296">
        <f>IF(D296&gt;=1,martianeum[[#This Row],[zawartosc]] * 0.01 *martianeum[[#This Row],[masa '[kg']]],0)</f>
        <v>0.75240000000000007</v>
      </c>
    </row>
    <row r="297" spans="1:6" x14ac:dyDescent="0.25">
      <c r="A297" s="1">
        <v>48936</v>
      </c>
      <c r="B297" t="s">
        <v>29</v>
      </c>
      <c r="C297">
        <v>20.5</v>
      </c>
      <c r="D297">
        <v>0</v>
      </c>
      <c r="E297">
        <f>IF(D297&gt;=1,martianeum[[#This Row],[zawartosc]] * 0.01 *martianeum[[#This Row],[masa '[kg']]],0)</f>
        <v>0</v>
      </c>
    </row>
    <row r="298" spans="1:6" x14ac:dyDescent="0.25">
      <c r="A298" s="1">
        <v>48937</v>
      </c>
      <c r="B298" t="s">
        <v>21</v>
      </c>
      <c r="C298">
        <v>13.1</v>
      </c>
      <c r="D298">
        <v>5.9</v>
      </c>
      <c r="E298">
        <f>IF(D298&gt;=1,martianeum[[#This Row],[zawartosc]] * 0.01 *martianeum[[#This Row],[masa '[kg']]],0)</f>
        <v>0.77290000000000003</v>
      </c>
    </row>
    <row r="299" spans="1:6" x14ac:dyDescent="0.25">
      <c r="A299" s="1">
        <v>48938</v>
      </c>
      <c r="B299" t="s">
        <v>20</v>
      </c>
      <c r="C299">
        <v>29</v>
      </c>
      <c r="D299">
        <v>1</v>
      </c>
      <c r="E299">
        <f>IF(D299&gt;=1,martianeum[[#This Row],[zawartosc]] * 0.01 *martianeum[[#This Row],[masa '[kg']]],0)</f>
        <v>0.28999999999999998</v>
      </c>
    </row>
    <row r="300" spans="1:6" x14ac:dyDescent="0.25">
      <c r="A300" s="1">
        <v>48939</v>
      </c>
      <c r="B300" t="s">
        <v>18</v>
      </c>
      <c r="C300">
        <v>15.4</v>
      </c>
      <c r="D300">
        <v>0</v>
      </c>
      <c r="E300">
        <f>IF(D300&gt;=1,martianeum[[#This Row],[zawartosc]] * 0.01 *martianeum[[#This Row],[masa '[kg']]],0)</f>
        <v>0</v>
      </c>
    </row>
    <row r="301" spans="1:6" x14ac:dyDescent="0.25">
      <c r="A301" s="1">
        <v>48940</v>
      </c>
      <c r="B301" t="s">
        <v>9</v>
      </c>
      <c r="C301">
        <v>20.3</v>
      </c>
      <c r="D301">
        <v>10.7</v>
      </c>
      <c r="E301">
        <f>IF(D301&gt;=1,martianeum[[#This Row],[zawartosc]] * 0.01 *martianeum[[#This Row],[masa '[kg']]],0)</f>
        <v>2.1720999999999999</v>
      </c>
    </row>
    <row r="302" spans="1:6" x14ac:dyDescent="0.25">
      <c r="A302" s="1">
        <v>48941</v>
      </c>
      <c r="B302" t="s">
        <v>9</v>
      </c>
      <c r="C302">
        <v>15</v>
      </c>
      <c r="D302">
        <v>0</v>
      </c>
      <c r="E302">
        <f>IF(D302&gt;=1,martianeum[[#This Row],[zawartosc]] * 0.01 *martianeum[[#This Row],[masa '[kg']]],0)</f>
        <v>0</v>
      </c>
      <c r="F302">
        <f t="shared" ref="F302" si="41">SUM(C296:C302)</f>
        <v>136.10000000000002</v>
      </c>
    </row>
    <row r="303" spans="1:6" x14ac:dyDescent="0.25">
      <c r="A303" s="1">
        <v>48942</v>
      </c>
      <c r="B303" t="s">
        <v>17</v>
      </c>
      <c r="C303">
        <v>16.600000000000001</v>
      </c>
      <c r="D303">
        <v>0</v>
      </c>
      <c r="E303">
        <f>IF(D303&gt;=1,martianeum[[#This Row],[zawartosc]] * 0.01 *martianeum[[#This Row],[masa '[kg']]],0)</f>
        <v>0</v>
      </c>
    </row>
    <row r="304" spans="1:6" x14ac:dyDescent="0.25">
      <c r="A304" s="1">
        <v>48943</v>
      </c>
      <c r="B304" t="s">
        <v>10</v>
      </c>
      <c r="C304">
        <v>28.6</v>
      </c>
      <c r="D304">
        <v>0</v>
      </c>
      <c r="E304">
        <f>IF(D304&gt;=1,martianeum[[#This Row],[zawartosc]] * 0.01 *martianeum[[#This Row],[masa '[kg']]],0)</f>
        <v>0</v>
      </c>
    </row>
    <row r="305" spans="1:6" x14ac:dyDescent="0.25">
      <c r="A305" s="1">
        <v>48944</v>
      </c>
      <c r="B305" t="s">
        <v>16</v>
      </c>
      <c r="C305">
        <v>11.4</v>
      </c>
      <c r="D305">
        <v>3.6</v>
      </c>
      <c r="E305">
        <f>IF(D305&gt;=1,martianeum[[#This Row],[zawartosc]] * 0.01 *martianeum[[#This Row],[masa '[kg']]],0)</f>
        <v>0.41040000000000004</v>
      </c>
    </row>
    <row r="306" spans="1:6" x14ac:dyDescent="0.25">
      <c r="A306" s="1">
        <v>48945</v>
      </c>
      <c r="B306" t="s">
        <v>8</v>
      </c>
      <c r="C306">
        <v>15.5</v>
      </c>
      <c r="D306">
        <v>1</v>
      </c>
      <c r="E306">
        <f>IF(D306&gt;=1,martianeum[[#This Row],[zawartosc]] * 0.01 *martianeum[[#This Row],[masa '[kg']]],0)</f>
        <v>0.155</v>
      </c>
    </row>
    <row r="307" spans="1:6" x14ac:dyDescent="0.25">
      <c r="A307" s="1">
        <v>48946</v>
      </c>
      <c r="B307" t="s">
        <v>5</v>
      </c>
      <c r="C307">
        <v>18.3</v>
      </c>
      <c r="D307">
        <v>0.7</v>
      </c>
      <c r="E307">
        <f>IF(D307&gt;=1,martianeum[[#This Row],[zawartosc]] * 0.01 *martianeum[[#This Row],[masa '[kg']]],0)</f>
        <v>0</v>
      </c>
    </row>
    <row r="308" spans="1:6" x14ac:dyDescent="0.25">
      <c r="A308" s="1">
        <v>48947</v>
      </c>
      <c r="B308" t="s">
        <v>18</v>
      </c>
      <c r="C308">
        <v>14.9</v>
      </c>
      <c r="D308">
        <v>6.1</v>
      </c>
      <c r="E308">
        <f>IF(D308&gt;=1,martianeum[[#This Row],[zawartosc]] * 0.01 *martianeum[[#This Row],[masa '[kg']]],0)</f>
        <v>0.90890000000000004</v>
      </c>
    </row>
    <row r="309" spans="1:6" x14ac:dyDescent="0.25">
      <c r="A309" s="1">
        <v>48948</v>
      </c>
      <c r="B309" t="s">
        <v>10</v>
      </c>
      <c r="C309">
        <v>29.7</v>
      </c>
      <c r="D309">
        <v>13.3</v>
      </c>
      <c r="E309">
        <f>IF(D309&gt;=1,martianeum[[#This Row],[zawartosc]] * 0.01 *martianeum[[#This Row],[masa '[kg']]],0)</f>
        <v>3.9500999999999999</v>
      </c>
      <c r="F309">
        <f t="shared" ref="F309" si="42">SUM(C303:C309)</f>
        <v>135</v>
      </c>
    </row>
    <row r="310" spans="1:6" x14ac:dyDescent="0.25">
      <c r="A310" s="1">
        <v>48949</v>
      </c>
      <c r="B310" t="s">
        <v>6</v>
      </c>
      <c r="C310">
        <v>28.9</v>
      </c>
      <c r="D310">
        <v>13.8</v>
      </c>
      <c r="E310">
        <f>IF(D310&gt;=1,martianeum[[#This Row],[zawartosc]] * 0.01 *martianeum[[#This Row],[masa '[kg']]],0)</f>
        <v>3.9882</v>
      </c>
    </row>
    <row r="311" spans="1:6" x14ac:dyDescent="0.25">
      <c r="A311" s="1">
        <v>48950</v>
      </c>
      <c r="B311" t="s">
        <v>16</v>
      </c>
      <c r="C311">
        <v>24.3</v>
      </c>
      <c r="D311">
        <v>0</v>
      </c>
      <c r="E311">
        <f>IF(D311&gt;=1,martianeum[[#This Row],[zawartosc]] * 0.01 *martianeum[[#This Row],[masa '[kg']]],0)</f>
        <v>0</v>
      </c>
    </row>
    <row r="312" spans="1:6" x14ac:dyDescent="0.25">
      <c r="A312" s="1">
        <v>48951</v>
      </c>
      <c r="B312" t="s">
        <v>9</v>
      </c>
      <c r="C312">
        <v>24</v>
      </c>
      <c r="D312">
        <v>19.7</v>
      </c>
      <c r="E312">
        <f>IF(D312&gt;=1,martianeum[[#This Row],[zawartosc]] * 0.01 *martianeum[[#This Row],[masa '[kg']]],0)</f>
        <v>4.7279999999999998</v>
      </c>
    </row>
    <row r="313" spans="1:6" x14ac:dyDescent="0.25">
      <c r="A313" s="1">
        <v>48952</v>
      </c>
      <c r="B313" t="s">
        <v>14</v>
      </c>
      <c r="C313">
        <v>11.8</v>
      </c>
      <c r="D313">
        <v>13.3</v>
      </c>
      <c r="E313">
        <f>IF(D313&gt;=1,martianeum[[#This Row],[zawartosc]] * 0.01 *martianeum[[#This Row],[masa '[kg']]],0)</f>
        <v>1.5694000000000001</v>
      </c>
    </row>
    <row r="314" spans="1:6" x14ac:dyDescent="0.25">
      <c r="A314" s="1">
        <v>48953</v>
      </c>
      <c r="B314" t="s">
        <v>9</v>
      </c>
      <c r="C314">
        <v>26.5</v>
      </c>
      <c r="D314">
        <v>19.7</v>
      </c>
      <c r="E314">
        <f>IF(D314&gt;=1,martianeum[[#This Row],[zawartosc]] * 0.01 *martianeum[[#This Row],[masa '[kg']]],0)</f>
        <v>5.2205000000000004</v>
      </c>
    </row>
    <row r="315" spans="1:6" x14ac:dyDescent="0.25">
      <c r="A315" s="1">
        <v>48954</v>
      </c>
      <c r="B315" t="s">
        <v>25</v>
      </c>
      <c r="C315">
        <v>12.4</v>
      </c>
      <c r="D315">
        <v>5.0999999999999996</v>
      </c>
      <c r="E315">
        <f>IF(D315&gt;=1,martianeum[[#This Row],[zawartosc]] * 0.01 *martianeum[[#This Row],[masa '[kg']]],0)</f>
        <v>0.63239999999999996</v>
      </c>
    </row>
    <row r="316" spans="1:6" x14ac:dyDescent="0.25">
      <c r="A316" s="1">
        <v>48955</v>
      </c>
      <c r="B316" t="s">
        <v>9</v>
      </c>
      <c r="C316">
        <v>21.9</v>
      </c>
      <c r="D316">
        <v>6.6</v>
      </c>
      <c r="E316">
        <f>IF(D316&gt;=1,martianeum[[#This Row],[zawartosc]] * 0.01 *martianeum[[#This Row],[masa '[kg']]],0)</f>
        <v>1.4454</v>
      </c>
      <c r="F316">
        <f t="shared" ref="F316" si="43">SUM(C310:C316)</f>
        <v>149.80000000000001</v>
      </c>
    </row>
    <row r="317" spans="1:6" x14ac:dyDescent="0.25">
      <c r="A317" s="1">
        <v>48956</v>
      </c>
      <c r="B317" t="s">
        <v>9</v>
      </c>
      <c r="C317">
        <v>20.3</v>
      </c>
      <c r="D317">
        <v>0</v>
      </c>
      <c r="E317">
        <f>IF(D317&gt;=1,martianeum[[#This Row],[zawartosc]] * 0.01 *martianeum[[#This Row],[masa '[kg']]],0)</f>
        <v>0</v>
      </c>
    </row>
    <row r="318" spans="1:6" x14ac:dyDescent="0.25">
      <c r="A318" s="1">
        <v>48957</v>
      </c>
      <c r="B318" t="s">
        <v>31</v>
      </c>
      <c r="C318">
        <v>27.7</v>
      </c>
      <c r="D318">
        <v>0.3</v>
      </c>
      <c r="E318">
        <f>IF(D318&gt;=1,martianeum[[#This Row],[zawartosc]] * 0.01 *martianeum[[#This Row],[masa '[kg']]],0)</f>
        <v>0</v>
      </c>
    </row>
    <row r="319" spans="1:6" x14ac:dyDescent="0.25">
      <c r="A319" s="1">
        <v>48958</v>
      </c>
      <c r="B319" t="s">
        <v>18</v>
      </c>
      <c r="C319">
        <v>28.5</v>
      </c>
      <c r="D319">
        <v>30</v>
      </c>
      <c r="E319">
        <f>IF(D319&gt;=1,martianeum[[#This Row],[zawartosc]] * 0.01 *martianeum[[#This Row],[masa '[kg']]],0)</f>
        <v>8.5499999999999989</v>
      </c>
    </row>
    <row r="320" spans="1:6" x14ac:dyDescent="0.25">
      <c r="A320" s="1">
        <v>48959</v>
      </c>
      <c r="B320" t="s">
        <v>20</v>
      </c>
      <c r="C320">
        <v>28.7</v>
      </c>
      <c r="D320">
        <v>1.9</v>
      </c>
      <c r="E320">
        <f>IF(D320&gt;=1,martianeum[[#This Row],[zawartosc]] * 0.01 *martianeum[[#This Row],[masa '[kg']]],0)</f>
        <v>0.54530000000000001</v>
      </c>
    </row>
    <row r="321" spans="1:6" x14ac:dyDescent="0.25">
      <c r="A321" s="1">
        <v>48960</v>
      </c>
      <c r="B321" t="s">
        <v>3</v>
      </c>
      <c r="C321">
        <v>10.9</v>
      </c>
      <c r="D321">
        <v>0</v>
      </c>
      <c r="E321">
        <f>IF(D321&gt;=1,martianeum[[#This Row],[zawartosc]] * 0.01 *martianeum[[#This Row],[masa '[kg']]],0)</f>
        <v>0</v>
      </c>
    </row>
    <row r="322" spans="1:6" x14ac:dyDescent="0.25">
      <c r="A322" s="1">
        <v>48961</v>
      </c>
      <c r="B322" t="s">
        <v>8</v>
      </c>
      <c r="C322">
        <v>13.7</v>
      </c>
      <c r="D322">
        <v>0</v>
      </c>
      <c r="E322">
        <f>IF(D322&gt;=1,martianeum[[#This Row],[zawartosc]] * 0.01 *martianeum[[#This Row],[masa '[kg']]],0)</f>
        <v>0</v>
      </c>
    </row>
    <row r="323" spans="1:6" x14ac:dyDescent="0.25">
      <c r="A323" s="1">
        <v>48962</v>
      </c>
      <c r="B323" t="s">
        <v>10</v>
      </c>
      <c r="C323">
        <v>28.2</v>
      </c>
      <c r="D323">
        <v>0</v>
      </c>
      <c r="E323">
        <f>IF(D323&gt;=1,martianeum[[#This Row],[zawartosc]] * 0.01 *martianeum[[#This Row],[masa '[kg']]],0)</f>
        <v>0</v>
      </c>
      <c r="F323">
        <f t="shared" ref="F323" si="44">SUM(C317:C323)</f>
        <v>158</v>
      </c>
    </row>
    <row r="324" spans="1:6" x14ac:dyDescent="0.25">
      <c r="A324" s="1">
        <v>48963</v>
      </c>
      <c r="B324" t="s">
        <v>18</v>
      </c>
      <c r="C324">
        <v>20.100000000000001</v>
      </c>
      <c r="D324">
        <v>0</v>
      </c>
      <c r="E324">
        <f>IF(D324&gt;=1,martianeum[[#This Row],[zawartosc]] * 0.01 *martianeum[[#This Row],[masa '[kg']]],0)</f>
        <v>0</v>
      </c>
    </row>
    <row r="325" spans="1:6" x14ac:dyDescent="0.25">
      <c r="A325" s="1">
        <v>48964</v>
      </c>
      <c r="B325" t="s">
        <v>10</v>
      </c>
      <c r="C325">
        <v>20.6</v>
      </c>
      <c r="D325">
        <v>0</v>
      </c>
      <c r="E325">
        <f>IF(D325&gt;=1,martianeum[[#This Row],[zawartosc]] * 0.01 *martianeum[[#This Row],[masa '[kg']]],0)</f>
        <v>0</v>
      </c>
    </row>
    <row r="326" spans="1:6" x14ac:dyDescent="0.25">
      <c r="A326" s="1">
        <v>48965</v>
      </c>
      <c r="B326" t="s">
        <v>12</v>
      </c>
      <c r="C326">
        <v>15.5</v>
      </c>
      <c r="D326">
        <v>16.8</v>
      </c>
      <c r="E326">
        <f>IF(D326&gt;=1,martianeum[[#This Row],[zawartosc]] * 0.01 *martianeum[[#This Row],[masa '[kg']]],0)</f>
        <v>2.6040000000000001</v>
      </c>
    </row>
    <row r="327" spans="1:6" x14ac:dyDescent="0.25">
      <c r="A327" s="1">
        <v>48966</v>
      </c>
      <c r="B327" t="s">
        <v>11</v>
      </c>
      <c r="C327">
        <v>22.2</v>
      </c>
      <c r="D327">
        <v>2.4</v>
      </c>
      <c r="E327">
        <f>IF(D327&gt;=1,martianeum[[#This Row],[zawartosc]] * 0.01 *martianeum[[#This Row],[masa '[kg']]],0)</f>
        <v>0.53279999999999994</v>
      </c>
    </row>
    <row r="328" spans="1:6" x14ac:dyDescent="0.25">
      <c r="A328" s="1">
        <v>48967</v>
      </c>
      <c r="B328" t="s">
        <v>12</v>
      </c>
      <c r="C328">
        <v>15</v>
      </c>
      <c r="D328">
        <v>4.0999999999999996</v>
      </c>
      <c r="E328">
        <f>IF(D328&gt;=1,martianeum[[#This Row],[zawartosc]] * 0.01 *martianeum[[#This Row],[masa '[kg']]],0)</f>
        <v>0.61499999999999988</v>
      </c>
    </row>
    <row r="329" spans="1:6" x14ac:dyDescent="0.25">
      <c r="A329" s="1">
        <v>48968</v>
      </c>
      <c r="B329" t="s">
        <v>18</v>
      </c>
      <c r="C329">
        <v>18.399999999999999</v>
      </c>
      <c r="D329">
        <v>30.4</v>
      </c>
      <c r="E329">
        <f>IF(D329&gt;=1,martianeum[[#This Row],[zawartosc]] * 0.01 *martianeum[[#This Row],[masa '[kg']]],0)</f>
        <v>5.5935999999999995</v>
      </c>
    </row>
    <row r="330" spans="1:6" x14ac:dyDescent="0.25">
      <c r="A330" s="1">
        <v>48969</v>
      </c>
      <c r="B330" t="s">
        <v>31</v>
      </c>
      <c r="C330">
        <v>29.3</v>
      </c>
      <c r="D330">
        <v>0.4</v>
      </c>
      <c r="E330">
        <f>IF(D330&gt;=1,martianeum[[#This Row],[zawartosc]] * 0.01 *martianeum[[#This Row],[masa '[kg']]],0)</f>
        <v>0</v>
      </c>
      <c r="F330">
        <f t="shared" ref="F330" si="45">SUM(C324:C330)</f>
        <v>141.10000000000002</v>
      </c>
    </row>
    <row r="331" spans="1:6" x14ac:dyDescent="0.25">
      <c r="A331" s="1">
        <v>48970</v>
      </c>
      <c r="B331" t="s">
        <v>22</v>
      </c>
      <c r="C331">
        <v>23.9</v>
      </c>
      <c r="D331">
        <v>3.3</v>
      </c>
      <c r="E331">
        <f>IF(D331&gt;=1,martianeum[[#This Row],[zawartosc]] * 0.01 *martianeum[[#This Row],[masa '[kg']]],0)</f>
        <v>0.78869999999999996</v>
      </c>
    </row>
    <row r="332" spans="1:6" x14ac:dyDescent="0.25">
      <c r="A332" s="1">
        <v>48971</v>
      </c>
      <c r="B332" t="s">
        <v>19</v>
      </c>
      <c r="C332">
        <v>29.8</v>
      </c>
      <c r="D332">
        <v>3.3</v>
      </c>
      <c r="E332">
        <f>IF(D332&gt;=1,martianeum[[#This Row],[zawartosc]] * 0.01 *martianeum[[#This Row],[masa '[kg']]],0)</f>
        <v>0.98340000000000005</v>
      </c>
    </row>
    <row r="333" spans="1:6" x14ac:dyDescent="0.25">
      <c r="A333" s="1">
        <v>48972</v>
      </c>
      <c r="B333" t="s">
        <v>9</v>
      </c>
      <c r="C333">
        <v>29.1</v>
      </c>
      <c r="D333">
        <v>23</v>
      </c>
      <c r="E333">
        <f>IF(D333&gt;=1,martianeum[[#This Row],[zawartosc]] * 0.01 *martianeum[[#This Row],[masa '[kg']]],0)</f>
        <v>6.6930000000000005</v>
      </c>
    </row>
    <row r="334" spans="1:6" x14ac:dyDescent="0.25">
      <c r="A334" s="1">
        <v>48973</v>
      </c>
      <c r="B334" t="s">
        <v>10</v>
      </c>
      <c r="C334">
        <v>22.5</v>
      </c>
      <c r="D334">
        <v>17.2</v>
      </c>
      <c r="E334">
        <f>IF(D334&gt;=1,martianeum[[#This Row],[zawartosc]] * 0.01 *martianeum[[#This Row],[masa '[kg']]],0)</f>
        <v>3.8699999999999997</v>
      </c>
    </row>
    <row r="335" spans="1:6" x14ac:dyDescent="0.25">
      <c r="A335" s="1">
        <v>48974</v>
      </c>
      <c r="B335" t="s">
        <v>18</v>
      </c>
      <c r="C335">
        <v>15.3</v>
      </c>
      <c r="D335">
        <v>21.5</v>
      </c>
      <c r="E335">
        <f>IF(D335&gt;=1,martianeum[[#This Row],[zawartosc]] * 0.01 *martianeum[[#This Row],[masa '[kg']]],0)</f>
        <v>3.2895000000000003</v>
      </c>
    </row>
    <row r="336" spans="1:6" x14ac:dyDescent="0.25">
      <c r="A336" s="1">
        <v>48975</v>
      </c>
      <c r="B336" t="s">
        <v>9</v>
      </c>
      <c r="C336">
        <v>13.8</v>
      </c>
      <c r="D336">
        <v>40.4</v>
      </c>
      <c r="E336">
        <f>IF(D336&gt;=1,martianeum[[#This Row],[zawartosc]] * 0.01 *martianeum[[#This Row],[masa '[kg']]],0)</f>
        <v>5.5751999999999997</v>
      </c>
    </row>
    <row r="337" spans="1:6" x14ac:dyDescent="0.25">
      <c r="A337" s="1">
        <v>48976</v>
      </c>
      <c r="B337" t="s">
        <v>6</v>
      </c>
      <c r="C337">
        <v>12.3</v>
      </c>
      <c r="D337">
        <v>0</v>
      </c>
      <c r="E337">
        <f>IF(D337&gt;=1,martianeum[[#This Row],[zawartosc]] * 0.01 *martianeum[[#This Row],[masa '[kg']]],0)</f>
        <v>0</v>
      </c>
      <c r="F337">
        <f t="shared" ref="F337" si="46">SUM(C331:C337)</f>
        <v>146.70000000000002</v>
      </c>
    </row>
    <row r="338" spans="1:6" x14ac:dyDescent="0.25">
      <c r="A338" s="1">
        <v>48977</v>
      </c>
      <c r="B338" t="s">
        <v>4</v>
      </c>
      <c r="C338">
        <v>18.5</v>
      </c>
      <c r="D338">
        <v>4.2</v>
      </c>
      <c r="E338">
        <f>IF(D338&gt;=1,martianeum[[#This Row],[zawartosc]] * 0.01 *martianeum[[#This Row],[masa '[kg']]],0)</f>
        <v>0.77700000000000002</v>
      </c>
    </row>
    <row r="339" spans="1:6" x14ac:dyDescent="0.25">
      <c r="A339" s="1">
        <v>48978</v>
      </c>
      <c r="B339" t="s">
        <v>19</v>
      </c>
      <c r="C339">
        <v>10.3</v>
      </c>
      <c r="D339">
        <v>3.2</v>
      </c>
      <c r="E339">
        <f>IF(D339&gt;=1,martianeum[[#This Row],[zawartosc]] * 0.01 *martianeum[[#This Row],[masa '[kg']]],0)</f>
        <v>0.3296</v>
      </c>
    </row>
    <row r="340" spans="1:6" x14ac:dyDescent="0.25">
      <c r="A340" s="1">
        <v>48979</v>
      </c>
      <c r="B340" t="s">
        <v>18</v>
      </c>
      <c r="C340">
        <v>24.9</v>
      </c>
      <c r="D340">
        <v>12.1</v>
      </c>
      <c r="E340">
        <f>IF(D340&gt;=1,martianeum[[#This Row],[zawartosc]] * 0.01 *martianeum[[#This Row],[masa '[kg']]],0)</f>
        <v>3.0128999999999997</v>
      </c>
    </row>
    <row r="341" spans="1:6" x14ac:dyDescent="0.25">
      <c r="A341" s="1">
        <v>48980</v>
      </c>
      <c r="B341" t="s">
        <v>9</v>
      </c>
      <c r="C341">
        <v>26.4</v>
      </c>
      <c r="D341">
        <v>0</v>
      </c>
      <c r="E341">
        <f>IF(D341&gt;=1,martianeum[[#This Row],[zawartosc]] * 0.01 *martianeum[[#This Row],[masa '[kg']]],0)</f>
        <v>0</v>
      </c>
    </row>
    <row r="342" spans="1:6" x14ac:dyDescent="0.25">
      <c r="A342" s="1">
        <v>48981</v>
      </c>
      <c r="B342" t="s">
        <v>6</v>
      </c>
      <c r="C342">
        <v>11.8</v>
      </c>
      <c r="D342">
        <v>0</v>
      </c>
      <c r="E342">
        <f>IF(D342&gt;=1,martianeum[[#This Row],[zawartosc]] * 0.01 *martianeum[[#This Row],[masa '[kg']]],0)</f>
        <v>0</v>
      </c>
    </row>
    <row r="343" spans="1:6" x14ac:dyDescent="0.25">
      <c r="A343" s="1">
        <v>48982</v>
      </c>
      <c r="B343" t="s">
        <v>5</v>
      </c>
      <c r="C343">
        <v>11</v>
      </c>
      <c r="D343">
        <v>7.5</v>
      </c>
      <c r="E343">
        <f>IF(D343&gt;=1,martianeum[[#This Row],[zawartosc]] * 0.01 *martianeum[[#This Row],[masa '[kg']]],0)</f>
        <v>0.82499999999999996</v>
      </c>
    </row>
    <row r="344" spans="1:6" x14ac:dyDescent="0.25">
      <c r="A344" s="1">
        <v>48983</v>
      </c>
      <c r="B344" t="s">
        <v>9</v>
      </c>
      <c r="C344">
        <v>15.4</v>
      </c>
      <c r="D344">
        <v>5.2</v>
      </c>
      <c r="E344">
        <f>IF(D344&gt;=1,martianeum[[#This Row],[zawartosc]] * 0.01 *martianeum[[#This Row],[masa '[kg']]],0)</f>
        <v>0.80080000000000007</v>
      </c>
      <c r="F344">
        <f t="shared" ref="F344" si="47">SUM(C338:C344)</f>
        <v>118.3</v>
      </c>
    </row>
    <row r="345" spans="1:6" x14ac:dyDescent="0.25">
      <c r="A345" s="1">
        <v>48984</v>
      </c>
      <c r="B345" t="s">
        <v>26</v>
      </c>
      <c r="C345">
        <v>25.7</v>
      </c>
      <c r="D345">
        <v>5.8</v>
      </c>
      <c r="E345">
        <f>IF(D345&gt;=1,martianeum[[#This Row],[zawartosc]] * 0.01 *martianeum[[#This Row],[masa '[kg']]],0)</f>
        <v>1.4905999999999999</v>
      </c>
    </row>
    <row r="346" spans="1:6" x14ac:dyDescent="0.25">
      <c r="A346" s="1">
        <v>48985</v>
      </c>
      <c r="B346" t="s">
        <v>12</v>
      </c>
      <c r="C346">
        <v>14.8</v>
      </c>
      <c r="D346">
        <v>0</v>
      </c>
      <c r="E346">
        <f>IF(D346&gt;=1,martianeum[[#This Row],[zawartosc]] * 0.01 *martianeum[[#This Row],[masa '[kg']]],0)</f>
        <v>0</v>
      </c>
    </row>
    <row r="347" spans="1:6" x14ac:dyDescent="0.25">
      <c r="A347" s="1">
        <v>48986</v>
      </c>
      <c r="B347" t="s">
        <v>30</v>
      </c>
      <c r="C347">
        <v>21.5</v>
      </c>
      <c r="D347">
        <v>0.8</v>
      </c>
      <c r="E347">
        <f>IF(D347&gt;=1,martianeum[[#This Row],[zawartosc]] * 0.01 *martianeum[[#This Row],[masa '[kg']]],0)</f>
        <v>0</v>
      </c>
    </row>
    <row r="348" spans="1:6" x14ac:dyDescent="0.25">
      <c r="A348" s="1">
        <v>48987</v>
      </c>
      <c r="B348" t="s">
        <v>18</v>
      </c>
      <c r="C348">
        <v>26.2</v>
      </c>
      <c r="D348">
        <v>8.9</v>
      </c>
      <c r="E348">
        <f>IF(D348&gt;=1,martianeum[[#This Row],[zawartosc]] * 0.01 *martianeum[[#This Row],[masa '[kg']]],0)</f>
        <v>2.3318000000000003</v>
      </c>
    </row>
    <row r="349" spans="1:6" x14ac:dyDescent="0.25">
      <c r="A349" s="1">
        <v>48988</v>
      </c>
      <c r="B349" t="s">
        <v>3</v>
      </c>
      <c r="C349">
        <v>20.6</v>
      </c>
      <c r="D349">
        <v>0.1</v>
      </c>
      <c r="E349">
        <f>IF(D349&gt;=1,martianeum[[#This Row],[zawartosc]] * 0.01 *martianeum[[#This Row],[masa '[kg']]],0)</f>
        <v>0</v>
      </c>
    </row>
    <row r="350" spans="1:6" x14ac:dyDescent="0.25">
      <c r="A350" s="1">
        <v>48989</v>
      </c>
      <c r="B350" t="s">
        <v>9</v>
      </c>
      <c r="C350">
        <v>14.1</v>
      </c>
      <c r="D350">
        <v>20.9</v>
      </c>
      <c r="E350">
        <f>IF(D350&gt;=1,martianeum[[#This Row],[zawartosc]] * 0.01 *martianeum[[#This Row],[masa '[kg']]],0)</f>
        <v>2.9468999999999999</v>
      </c>
    </row>
    <row r="351" spans="1:6" x14ac:dyDescent="0.25">
      <c r="A351" s="1">
        <v>48990</v>
      </c>
      <c r="B351" t="s">
        <v>23</v>
      </c>
      <c r="C351">
        <v>20.8</v>
      </c>
      <c r="D351">
        <v>0.7</v>
      </c>
      <c r="E351">
        <f>IF(D351&gt;=1,martianeum[[#This Row],[zawartosc]] * 0.01 *martianeum[[#This Row],[masa '[kg']]],0)</f>
        <v>0</v>
      </c>
      <c r="F351">
        <f t="shared" ref="F351" si="48">SUM(C345:C351)</f>
        <v>143.70000000000002</v>
      </c>
    </row>
    <row r="352" spans="1:6" x14ac:dyDescent="0.25">
      <c r="A352" s="1">
        <v>48991</v>
      </c>
      <c r="B352" t="s">
        <v>17</v>
      </c>
      <c r="C352">
        <v>17.600000000000001</v>
      </c>
      <c r="D352">
        <v>10.5</v>
      </c>
      <c r="E352">
        <f>IF(D352&gt;=1,martianeum[[#This Row],[zawartosc]] * 0.01 *martianeum[[#This Row],[masa '[kg']]],0)</f>
        <v>1.8480000000000001</v>
      </c>
    </row>
    <row r="353" spans="1:6" x14ac:dyDescent="0.25">
      <c r="A353" s="1">
        <v>48992</v>
      </c>
      <c r="B353" t="s">
        <v>9</v>
      </c>
      <c r="C353">
        <v>16.8</v>
      </c>
      <c r="D353">
        <v>38.9</v>
      </c>
      <c r="E353">
        <f>IF(D353&gt;=1,martianeum[[#This Row],[zawartosc]] * 0.01 *martianeum[[#This Row],[masa '[kg']]],0)</f>
        <v>6.5352000000000006</v>
      </c>
    </row>
    <row r="354" spans="1:6" x14ac:dyDescent="0.25">
      <c r="A354" s="1">
        <v>48993</v>
      </c>
      <c r="B354" t="s">
        <v>3</v>
      </c>
      <c r="C354">
        <v>23.1</v>
      </c>
      <c r="D354">
        <v>0</v>
      </c>
      <c r="E354">
        <f>IF(D354&gt;=1,martianeum[[#This Row],[zawartosc]] * 0.01 *martianeum[[#This Row],[masa '[kg']]],0)</f>
        <v>0</v>
      </c>
    </row>
    <row r="355" spans="1:6" x14ac:dyDescent="0.25">
      <c r="A355" s="1">
        <v>48994</v>
      </c>
      <c r="B355" t="s">
        <v>26</v>
      </c>
      <c r="C355">
        <v>16.3</v>
      </c>
      <c r="D355">
        <v>3.4</v>
      </c>
      <c r="E355">
        <f>IF(D355&gt;=1,martianeum[[#This Row],[zawartosc]] * 0.01 *martianeum[[#This Row],[masa '[kg']]],0)</f>
        <v>0.55420000000000003</v>
      </c>
    </row>
    <row r="356" spans="1:6" x14ac:dyDescent="0.25">
      <c r="A356" s="1">
        <v>48995</v>
      </c>
      <c r="B356" t="s">
        <v>6</v>
      </c>
      <c r="C356">
        <v>15.7</v>
      </c>
      <c r="D356">
        <v>10.9</v>
      </c>
      <c r="E356">
        <f>IF(D356&gt;=1,martianeum[[#This Row],[zawartosc]] * 0.01 *martianeum[[#This Row],[masa '[kg']]],0)</f>
        <v>1.7112999999999998</v>
      </c>
    </row>
    <row r="357" spans="1:6" x14ac:dyDescent="0.25">
      <c r="A357" s="1">
        <v>48996</v>
      </c>
      <c r="B357" t="s">
        <v>17</v>
      </c>
      <c r="C357">
        <v>29.3</v>
      </c>
      <c r="D357">
        <v>2.1</v>
      </c>
      <c r="E357">
        <f>IF(D357&gt;=1,martianeum[[#This Row],[zawartosc]] * 0.01 *martianeum[[#This Row],[masa '[kg']]],0)</f>
        <v>0.61530000000000007</v>
      </c>
    </row>
    <row r="358" spans="1:6" x14ac:dyDescent="0.25">
      <c r="A358" s="1">
        <v>48997</v>
      </c>
      <c r="B358" t="s">
        <v>21</v>
      </c>
      <c r="C358">
        <v>24</v>
      </c>
      <c r="D358">
        <v>7.3</v>
      </c>
      <c r="E358">
        <f>IF(D358&gt;=1,martianeum[[#This Row],[zawartosc]] * 0.01 *martianeum[[#This Row],[masa '[kg']]],0)</f>
        <v>1.7519999999999998</v>
      </c>
      <c r="F358">
        <f t="shared" ref="F358" si="49">SUM(C352:C358)</f>
        <v>142.80000000000001</v>
      </c>
    </row>
    <row r="359" spans="1:6" x14ac:dyDescent="0.25">
      <c r="A359" s="1">
        <v>48998</v>
      </c>
      <c r="B359" t="s">
        <v>5</v>
      </c>
      <c r="C359">
        <v>27</v>
      </c>
      <c r="D359">
        <v>0.6</v>
      </c>
      <c r="E359">
        <f>IF(D359&gt;=1,martianeum[[#This Row],[zawartosc]] * 0.01 *martianeum[[#This Row],[masa '[kg']]],0)</f>
        <v>0</v>
      </c>
    </row>
    <row r="360" spans="1:6" x14ac:dyDescent="0.25">
      <c r="A360" s="1">
        <v>48999</v>
      </c>
      <c r="B360" t="s">
        <v>9</v>
      </c>
      <c r="C360">
        <v>26.3</v>
      </c>
      <c r="D360">
        <v>1.2</v>
      </c>
      <c r="E360">
        <f>IF(D360&gt;=1,martianeum[[#This Row],[zawartosc]] * 0.01 *martianeum[[#This Row],[masa '[kg']]],0)</f>
        <v>0.31559999999999999</v>
      </c>
    </row>
    <row r="361" spans="1:6" x14ac:dyDescent="0.25">
      <c r="A361" s="1">
        <v>49000</v>
      </c>
      <c r="B361" t="s">
        <v>14</v>
      </c>
      <c r="C361">
        <v>26.3</v>
      </c>
      <c r="D361">
        <v>8.1999999999999993</v>
      </c>
      <c r="E361">
        <f>IF(D361&gt;=1,martianeum[[#This Row],[zawartosc]] * 0.01 *martianeum[[#This Row],[masa '[kg']]],0)</f>
        <v>2.1565999999999996</v>
      </c>
    </row>
    <row r="362" spans="1:6" x14ac:dyDescent="0.25">
      <c r="A362" s="1">
        <v>49001</v>
      </c>
      <c r="B362" t="s">
        <v>5</v>
      </c>
      <c r="C362">
        <v>25.2</v>
      </c>
      <c r="D362">
        <v>4.7</v>
      </c>
      <c r="E362">
        <f>IF(D362&gt;=1,martianeum[[#This Row],[zawartosc]] * 0.01 *martianeum[[#This Row],[masa '[kg']]],0)</f>
        <v>1.1843999999999999</v>
      </c>
    </row>
    <row r="363" spans="1:6" x14ac:dyDescent="0.25">
      <c r="A363" s="1">
        <v>49002</v>
      </c>
      <c r="B363" t="s">
        <v>9</v>
      </c>
      <c r="C363">
        <v>22.1</v>
      </c>
      <c r="D363">
        <v>0</v>
      </c>
      <c r="E363">
        <f>IF(D363&gt;=1,martianeum[[#This Row],[zawartosc]] * 0.01 *martianeum[[#This Row],[masa '[kg']]],0)</f>
        <v>0</v>
      </c>
    </row>
    <row r="364" spans="1:6" x14ac:dyDescent="0.25">
      <c r="A364" s="1">
        <v>49003</v>
      </c>
      <c r="B364" t="s">
        <v>9</v>
      </c>
      <c r="C364">
        <v>11.9</v>
      </c>
      <c r="D364">
        <v>41.6</v>
      </c>
      <c r="E364">
        <f>IF(D364&gt;=1,martianeum[[#This Row],[zawartosc]] * 0.01 *martianeum[[#This Row],[masa '[kg']]],0)</f>
        <v>4.950400000000001</v>
      </c>
    </row>
    <row r="365" spans="1:6" x14ac:dyDescent="0.25">
      <c r="A365" s="1">
        <v>49004</v>
      </c>
      <c r="B365" t="s">
        <v>12</v>
      </c>
      <c r="C365">
        <v>19.600000000000001</v>
      </c>
      <c r="D365">
        <v>0</v>
      </c>
      <c r="E365">
        <f>IF(D365&gt;=1,martianeum[[#This Row],[zawartosc]] * 0.01 *martianeum[[#This Row],[masa '[kg']]],0)</f>
        <v>0</v>
      </c>
      <c r="F365">
        <f t="shared" ref="F365" si="50">SUM(C359:C365)</f>
        <v>158.4</v>
      </c>
    </row>
    <row r="366" spans="1:6" x14ac:dyDescent="0.25">
      <c r="A366" s="1">
        <v>49005</v>
      </c>
      <c r="B366" t="s">
        <v>26</v>
      </c>
      <c r="C366">
        <v>15.9</v>
      </c>
      <c r="D366">
        <v>0</v>
      </c>
      <c r="E366">
        <f>IF(D366&gt;=1,martianeum[[#This Row],[zawartosc]] * 0.01 *martianeum[[#This Row],[masa '[kg']]],0)</f>
        <v>0</v>
      </c>
    </row>
    <row r="367" spans="1:6" x14ac:dyDescent="0.25">
      <c r="A367" s="1">
        <v>49006</v>
      </c>
      <c r="B367" t="s">
        <v>11</v>
      </c>
      <c r="C367">
        <v>24.3</v>
      </c>
      <c r="D367">
        <v>1.7</v>
      </c>
      <c r="E367">
        <f>IF(D367&gt;=1,martianeum[[#This Row],[zawartosc]] * 0.01 *martianeum[[#This Row],[masa '[kg']]],0)</f>
        <v>0.41310000000000002</v>
      </c>
    </row>
    <row r="368" spans="1:6" x14ac:dyDescent="0.25">
      <c r="A368" s="1">
        <v>49007</v>
      </c>
      <c r="B368" t="s">
        <v>13</v>
      </c>
      <c r="C368">
        <v>20</v>
      </c>
      <c r="D368">
        <v>0</v>
      </c>
      <c r="E368">
        <f>IF(D368&gt;=1,martianeum[[#This Row],[zawartosc]] * 0.01 *martianeum[[#This Row],[masa '[kg']]],0)</f>
        <v>0</v>
      </c>
    </row>
    <row r="369" spans="1:6" x14ac:dyDescent="0.25">
      <c r="A369" s="1">
        <v>49008</v>
      </c>
      <c r="B369" t="s">
        <v>9</v>
      </c>
      <c r="C369">
        <v>14.2</v>
      </c>
      <c r="D369">
        <v>32.200000000000003</v>
      </c>
      <c r="E369">
        <f>IF(D369&gt;=1,martianeum[[#This Row],[zawartosc]] * 0.01 *martianeum[[#This Row],[masa '[kg']]],0)</f>
        <v>4.5724</v>
      </c>
    </row>
    <row r="370" spans="1:6" x14ac:dyDescent="0.25">
      <c r="A370" s="1">
        <v>49009</v>
      </c>
      <c r="B370" t="s">
        <v>6</v>
      </c>
      <c r="C370">
        <v>20.5</v>
      </c>
      <c r="D370">
        <v>18.3</v>
      </c>
      <c r="E370">
        <f>IF(D370&gt;=1,martianeum[[#This Row],[zawartosc]] * 0.01 *martianeum[[#This Row],[masa '[kg']]],0)</f>
        <v>3.7515000000000005</v>
      </c>
    </row>
    <row r="371" spans="1:6" x14ac:dyDescent="0.25">
      <c r="A371" s="1">
        <v>49010</v>
      </c>
      <c r="B371" t="s">
        <v>9</v>
      </c>
      <c r="C371">
        <v>22.4</v>
      </c>
      <c r="D371">
        <v>0</v>
      </c>
      <c r="E371">
        <f>IF(D371&gt;=1,martianeum[[#This Row],[zawartosc]] * 0.01 *martianeum[[#This Row],[masa '[kg']]],0)</f>
        <v>0</v>
      </c>
    </row>
    <row r="372" spans="1:6" x14ac:dyDescent="0.25">
      <c r="A372" s="1">
        <v>49011</v>
      </c>
      <c r="B372" t="s">
        <v>21</v>
      </c>
      <c r="C372">
        <v>19.100000000000001</v>
      </c>
      <c r="D372">
        <v>0</v>
      </c>
      <c r="E372">
        <f>IF(D372&gt;=1,martianeum[[#This Row],[zawartosc]] * 0.01 *martianeum[[#This Row],[masa '[kg']]],0)</f>
        <v>0</v>
      </c>
      <c r="F372">
        <f t="shared" ref="F372" si="51">SUM(C366:C372)</f>
        <v>136.4</v>
      </c>
    </row>
    <row r="373" spans="1:6" x14ac:dyDescent="0.25">
      <c r="A373" s="1">
        <v>49012</v>
      </c>
      <c r="B373" t="s">
        <v>14</v>
      </c>
      <c r="C373">
        <v>20.399999999999999</v>
      </c>
      <c r="D373">
        <v>4.3</v>
      </c>
      <c r="E373">
        <f>IF(D373&gt;=1,martianeum[[#This Row],[zawartosc]] * 0.01 *martianeum[[#This Row],[masa '[kg']]],0)</f>
        <v>0.87719999999999987</v>
      </c>
    </row>
    <row r="374" spans="1:6" x14ac:dyDescent="0.25">
      <c r="A374" s="1">
        <v>49013</v>
      </c>
      <c r="B374" t="s">
        <v>18</v>
      </c>
      <c r="C374">
        <v>29.8</v>
      </c>
      <c r="D374">
        <v>0</v>
      </c>
      <c r="E374">
        <f>IF(D374&gt;=1,martianeum[[#This Row],[zawartosc]] * 0.01 *martianeum[[#This Row],[masa '[kg']]],0)</f>
        <v>0</v>
      </c>
    </row>
    <row r="375" spans="1:6" x14ac:dyDescent="0.25">
      <c r="A375" s="1">
        <v>49014</v>
      </c>
      <c r="B375" t="s">
        <v>32</v>
      </c>
      <c r="C375">
        <v>13.7</v>
      </c>
      <c r="D375">
        <v>0.7</v>
      </c>
      <c r="E375">
        <f>IF(D375&gt;=1,martianeum[[#This Row],[zawartosc]] * 0.01 *martianeum[[#This Row],[masa '[kg']]],0)</f>
        <v>0</v>
      </c>
    </row>
    <row r="376" spans="1:6" x14ac:dyDescent="0.25">
      <c r="A376" s="1">
        <v>49015</v>
      </c>
      <c r="B376" t="s">
        <v>7</v>
      </c>
      <c r="C376">
        <v>20.2</v>
      </c>
      <c r="D376">
        <v>3.7</v>
      </c>
      <c r="E376">
        <f>IF(D376&gt;=1,martianeum[[#This Row],[zawartosc]] * 0.01 *martianeum[[#This Row],[masa '[kg']]],0)</f>
        <v>0.74740000000000006</v>
      </c>
    </row>
    <row r="377" spans="1:6" x14ac:dyDescent="0.25">
      <c r="A377" s="1">
        <v>49016</v>
      </c>
      <c r="B377" t="s">
        <v>10</v>
      </c>
      <c r="C377">
        <v>18.2</v>
      </c>
      <c r="D377">
        <v>1.6</v>
      </c>
      <c r="E377">
        <f>IF(D377&gt;=1,martianeum[[#This Row],[zawartosc]] * 0.01 *martianeum[[#This Row],[masa '[kg']]],0)</f>
        <v>0.29120000000000001</v>
      </c>
    </row>
    <row r="378" spans="1:6" x14ac:dyDescent="0.25">
      <c r="A378" s="1">
        <v>49017</v>
      </c>
      <c r="B378" t="s">
        <v>12</v>
      </c>
      <c r="C378">
        <v>14.2</v>
      </c>
      <c r="D378">
        <v>2</v>
      </c>
      <c r="E378">
        <f>IF(D378&gt;=1,martianeum[[#This Row],[zawartosc]] * 0.01 *martianeum[[#This Row],[masa '[kg']]],0)</f>
        <v>0.28399999999999997</v>
      </c>
    </row>
    <row r="379" spans="1:6" x14ac:dyDescent="0.25">
      <c r="A379" s="1">
        <v>49018</v>
      </c>
      <c r="B379" t="s">
        <v>14</v>
      </c>
      <c r="C379">
        <v>11.2</v>
      </c>
      <c r="D379">
        <v>14.3</v>
      </c>
      <c r="E379">
        <f>IF(D379&gt;=1,martianeum[[#This Row],[zawartosc]] * 0.01 *martianeum[[#This Row],[masa '[kg']]],0)</f>
        <v>1.6016000000000001</v>
      </c>
      <c r="F379">
        <f t="shared" ref="F379" si="52">SUM(C373:C379)</f>
        <v>127.70000000000002</v>
      </c>
    </row>
    <row r="380" spans="1:6" x14ac:dyDescent="0.25">
      <c r="A380" s="1">
        <v>49019</v>
      </c>
      <c r="B380" t="s">
        <v>31</v>
      </c>
      <c r="C380">
        <v>13.9</v>
      </c>
      <c r="D380">
        <v>0.2</v>
      </c>
      <c r="E380">
        <f>IF(D380&gt;=1,martianeum[[#This Row],[zawartosc]] * 0.01 *martianeum[[#This Row],[masa '[kg']]],0)</f>
        <v>0</v>
      </c>
    </row>
    <row r="381" spans="1:6" x14ac:dyDescent="0.25">
      <c r="A381" s="1">
        <v>49020</v>
      </c>
      <c r="B381" t="s">
        <v>10</v>
      </c>
      <c r="C381">
        <v>22.6</v>
      </c>
      <c r="D381">
        <v>15.1</v>
      </c>
      <c r="E381">
        <f>IF(D381&gt;=1,martianeum[[#This Row],[zawartosc]] * 0.01 *martianeum[[#This Row],[masa '[kg']]],0)</f>
        <v>3.4126000000000003</v>
      </c>
    </row>
    <row r="382" spans="1:6" x14ac:dyDescent="0.25">
      <c r="A382" s="1">
        <v>49021</v>
      </c>
      <c r="B382" t="s">
        <v>14</v>
      </c>
      <c r="C382">
        <v>29.8</v>
      </c>
      <c r="D382">
        <v>0</v>
      </c>
      <c r="E382">
        <f>IF(D382&gt;=1,martianeum[[#This Row],[zawartosc]] * 0.01 *martianeum[[#This Row],[masa '[kg']]],0)</f>
        <v>0</v>
      </c>
    </row>
    <row r="383" spans="1:6" x14ac:dyDescent="0.25">
      <c r="A383" s="1">
        <v>49022</v>
      </c>
      <c r="B383" t="s">
        <v>19</v>
      </c>
      <c r="C383">
        <v>12.7</v>
      </c>
      <c r="D383">
        <v>2.6</v>
      </c>
      <c r="E383">
        <f>IF(D383&gt;=1,martianeum[[#This Row],[zawartosc]] * 0.01 *martianeum[[#This Row],[masa '[kg']]],0)</f>
        <v>0.33019999999999999</v>
      </c>
    </row>
    <row r="384" spans="1:6" x14ac:dyDescent="0.25">
      <c r="A384" s="1">
        <v>49023</v>
      </c>
      <c r="B384" t="s">
        <v>26</v>
      </c>
      <c r="C384">
        <v>14.4</v>
      </c>
      <c r="D384">
        <v>0</v>
      </c>
      <c r="E384">
        <f>IF(D384&gt;=1,martianeum[[#This Row],[zawartosc]] * 0.01 *martianeum[[#This Row],[masa '[kg']]],0)</f>
        <v>0</v>
      </c>
    </row>
    <row r="385" spans="1:6" x14ac:dyDescent="0.25">
      <c r="A385" s="1">
        <v>49024</v>
      </c>
      <c r="B385" t="s">
        <v>32</v>
      </c>
      <c r="C385">
        <v>18.399999999999999</v>
      </c>
      <c r="D385">
        <v>0.2</v>
      </c>
      <c r="E385">
        <f>IF(D385&gt;=1,martianeum[[#This Row],[zawartosc]] * 0.01 *martianeum[[#This Row],[masa '[kg']]],0)</f>
        <v>0</v>
      </c>
    </row>
    <row r="386" spans="1:6" x14ac:dyDescent="0.25">
      <c r="A386" s="1">
        <v>49025</v>
      </c>
      <c r="B386" t="s">
        <v>8</v>
      </c>
      <c r="C386">
        <v>27.2</v>
      </c>
      <c r="D386">
        <v>9.6</v>
      </c>
      <c r="E386">
        <f>IF(D386&gt;=1,martianeum[[#This Row],[zawartosc]] * 0.01 *martianeum[[#This Row],[masa '[kg']]],0)</f>
        <v>2.6112000000000002</v>
      </c>
      <c r="F386">
        <f t="shared" ref="F386" si="53">SUM(C380:C386)</f>
        <v>139</v>
      </c>
    </row>
    <row r="387" spans="1:6" x14ac:dyDescent="0.25">
      <c r="A387" s="1">
        <v>49026</v>
      </c>
      <c r="B387" t="s">
        <v>21</v>
      </c>
      <c r="C387">
        <v>12.5</v>
      </c>
      <c r="D387">
        <v>8.8000000000000007</v>
      </c>
      <c r="E387">
        <f>IF(D387&gt;=1,martianeum[[#This Row],[zawartosc]] * 0.01 *martianeum[[#This Row],[masa '[kg']]],0)</f>
        <v>1.1000000000000001</v>
      </c>
    </row>
    <row r="388" spans="1:6" x14ac:dyDescent="0.25">
      <c r="A388" s="1">
        <v>49027</v>
      </c>
      <c r="B388" t="s">
        <v>25</v>
      </c>
      <c r="C388">
        <v>22.6</v>
      </c>
      <c r="D388">
        <v>3.5</v>
      </c>
      <c r="E388">
        <f>IF(D388&gt;=1,martianeum[[#This Row],[zawartosc]] * 0.01 *martianeum[[#This Row],[masa '[kg']]],0)</f>
        <v>0.79100000000000015</v>
      </c>
    </row>
    <row r="389" spans="1:6" x14ac:dyDescent="0.25">
      <c r="A389" s="1">
        <v>49028</v>
      </c>
      <c r="B389" t="s">
        <v>6</v>
      </c>
      <c r="C389">
        <v>21.8</v>
      </c>
      <c r="D389">
        <v>6.5</v>
      </c>
      <c r="E389">
        <f>IF(D389&gt;=1,martianeum[[#This Row],[zawartosc]] * 0.01 *martianeum[[#This Row],[masa '[kg']]],0)</f>
        <v>1.417</v>
      </c>
    </row>
    <row r="390" spans="1:6" x14ac:dyDescent="0.25">
      <c r="A390" s="1">
        <v>49029</v>
      </c>
      <c r="B390" t="s">
        <v>22</v>
      </c>
      <c r="C390">
        <v>17.2</v>
      </c>
      <c r="D390">
        <v>0</v>
      </c>
      <c r="E390">
        <f>IF(D390&gt;=1,martianeum[[#This Row],[zawartosc]] * 0.01 *martianeum[[#This Row],[masa '[kg']]],0)</f>
        <v>0</v>
      </c>
    </row>
    <row r="391" spans="1:6" x14ac:dyDescent="0.25">
      <c r="A391" s="1">
        <v>49030</v>
      </c>
      <c r="B391" t="s">
        <v>12</v>
      </c>
      <c r="C391">
        <v>13.4</v>
      </c>
      <c r="D391">
        <v>14.1</v>
      </c>
      <c r="E391">
        <f>IF(D391&gt;=1,martianeum[[#This Row],[zawartosc]] * 0.01 *martianeum[[#This Row],[masa '[kg']]],0)</f>
        <v>1.8894</v>
      </c>
    </row>
    <row r="392" spans="1:6" x14ac:dyDescent="0.25">
      <c r="A392" s="1">
        <v>49031</v>
      </c>
      <c r="B392" t="s">
        <v>8</v>
      </c>
      <c r="C392">
        <v>13.8</v>
      </c>
      <c r="D392">
        <v>9.9</v>
      </c>
      <c r="E392">
        <f>IF(D392&gt;=1,martianeum[[#This Row],[zawartosc]] * 0.01 *martianeum[[#This Row],[masa '[kg']]],0)</f>
        <v>1.3662000000000001</v>
      </c>
    </row>
    <row r="393" spans="1:6" x14ac:dyDescent="0.25">
      <c r="A393" s="1">
        <v>49032</v>
      </c>
      <c r="B393" t="s">
        <v>23</v>
      </c>
      <c r="C393">
        <v>10.6</v>
      </c>
      <c r="D393">
        <v>1.2</v>
      </c>
      <c r="E393">
        <f>IF(D393&gt;=1,martianeum[[#This Row],[zawartosc]] * 0.01 *martianeum[[#This Row],[masa '[kg']]],0)</f>
        <v>0.12720000000000001</v>
      </c>
      <c r="F393">
        <f t="shared" ref="F393" si="54">SUM(C387:C393)</f>
        <v>111.9</v>
      </c>
    </row>
    <row r="394" spans="1:6" x14ac:dyDescent="0.25">
      <c r="A394" s="1">
        <v>49033</v>
      </c>
      <c r="B394" t="s">
        <v>15</v>
      </c>
      <c r="C394">
        <v>28.8</v>
      </c>
      <c r="D394">
        <v>0.1</v>
      </c>
      <c r="E394">
        <f>IF(D394&gt;=1,martianeum[[#This Row],[zawartosc]] * 0.01 *martianeum[[#This Row],[masa '[kg']]],0)</f>
        <v>0</v>
      </c>
    </row>
    <row r="395" spans="1:6" x14ac:dyDescent="0.25">
      <c r="A395" s="1">
        <v>49034</v>
      </c>
      <c r="B395" t="s">
        <v>27</v>
      </c>
      <c r="C395">
        <v>16.899999999999999</v>
      </c>
      <c r="D395">
        <v>0.7</v>
      </c>
      <c r="E395">
        <f>IF(D395&gt;=1,martianeum[[#This Row],[zawartosc]] * 0.01 *martianeum[[#This Row],[masa '[kg']]],0)</f>
        <v>0</v>
      </c>
    </row>
    <row r="396" spans="1:6" x14ac:dyDescent="0.25">
      <c r="A396" s="1">
        <v>49035</v>
      </c>
      <c r="B396" t="s">
        <v>17</v>
      </c>
      <c r="C396">
        <v>11.2</v>
      </c>
      <c r="D396">
        <v>4.8</v>
      </c>
      <c r="E396">
        <f>IF(D396&gt;=1,martianeum[[#This Row],[zawartosc]] * 0.01 *martianeum[[#This Row],[masa '[kg']]],0)</f>
        <v>0.53759999999999997</v>
      </c>
    </row>
    <row r="397" spans="1:6" x14ac:dyDescent="0.25">
      <c r="A397" s="1">
        <v>49036</v>
      </c>
      <c r="B397" t="s">
        <v>9</v>
      </c>
      <c r="C397">
        <v>13.9</v>
      </c>
      <c r="D397">
        <v>23</v>
      </c>
      <c r="E397">
        <f>IF(D397&gt;=1,martianeum[[#This Row],[zawartosc]] * 0.01 *martianeum[[#This Row],[masa '[kg']]],0)</f>
        <v>3.1970000000000001</v>
      </c>
    </row>
    <row r="398" spans="1:6" x14ac:dyDescent="0.25">
      <c r="A398" s="1">
        <v>49037</v>
      </c>
      <c r="B398" t="s">
        <v>10</v>
      </c>
      <c r="C398">
        <v>25.3</v>
      </c>
      <c r="D398">
        <v>21.9</v>
      </c>
      <c r="E398">
        <f>IF(D398&gt;=1,martianeum[[#This Row],[zawartosc]] * 0.01 *martianeum[[#This Row],[masa '[kg']]],0)</f>
        <v>5.5407000000000002</v>
      </c>
    </row>
    <row r="399" spans="1:6" x14ac:dyDescent="0.25">
      <c r="A399" s="1">
        <v>49038</v>
      </c>
      <c r="B399" t="s">
        <v>9</v>
      </c>
      <c r="C399">
        <v>14.7</v>
      </c>
      <c r="D399">
        <v>0</v>
      </c>
      <c r="E399">
        <f>IF(D399&gt;=1,martianeum[[#This Row],[zawartosc]] * 0.01 *martianeum[[#This Row],[masa '[kg']]],0)</f>
        <v>0</v>
      </c>
    </row>
    <row r="400" spans="1:6" x14ac:dyDescent="0.25">
      <c r="A400" s="1">
        <v>49039</v>
      </c>
      <c r="B400" t="s">
        <v>11</v>
      </c>
      <c r="C400">
        <v>20.3</v>
      </c>
      <c r="D400">
        <v>5.3</v>
      </c>
      <c r="E400">
        <f>IF(D400&gt;=1,martianeum[[#This Row],[zawartosc]] * 0.01 *martianeum[[#This Row],[masa '[kg']]],0)</f>
        <v>1.0759000000000001</v>
      </c>
      <c r="F400">
        <f t="shared" ref="F400" si="55">SUM(C394:C400)</f>
        <v>131.10000000000002</v>
      </c>
    </row>
    <row r="401" spans="1:6" x14ac:dyDescent="0.25">
      <c r="A401" s="1">
        <v>49040</v>
      </c>
      <c r="B401" t="s">
        <v>14</v>
      </c>
      <c r="C401">
        <v>25</v>
      </c>
      <c r="D401">
        <v>3.8</v>
      </c>
      <c r="E401">
        <f>IF(D401&gt;=1,martianeum[[#This Row],[zawartosc]] * 0.01 *martianeum[[#This Row],[masa '[kg']]],0)</f>
        <v>0.95</v>
      </c>
    </row>
    <row r="402" spans="1:6" x14ac:dyDescent="0.25">
      <c r="A402" s="1">
        <v>49041</v>
      </c>
      <c r="B402" t="s">
        <v>17</v>
      </c>
      <c r="C402">
        <v>19.600000000000001</v>
      </c>
      <c r="D402">
        <v>0.6</v>
      </c>
      <c r="E402">
        <f>IF(D402&gt;=1,martianeum[[#This Row],[zawartosc]] * 0.01 *martianeum[[#This Row],[masa '[kg']]],0)</f>
        <v>0</v>
      </c>
    </row>
    <row r="403" spans="1:6" x14ac:dyDescent="0.25">
      <c r="A403" s="1">
        <v>49042</v>
      </c>
      <c r="B403" t="s">
        <v>11</v>
      </c>
      <c r="C403">
        <v>10.8</v>
      </c>
      <c r="D403">
        <v>0</v>
      </c>
      <c r="E403">
        <f>IF(D403&gt;=1,martianeum[[#This Row],[zawartosc]] * 0.01 *martianeum[[#This Row],[masa '[kg']]],0)</f>
        <v>0</v>
      </c>
    </row>
    <row r="404" spans="1:6" x14ac:dyDescent="0.25">
      <c r="A404" s="1">
        <v>49043</v>
      </c>
      <c r="B404" t="s">
        <v>20</v>
      </c>
      <c r="C404">
        <v>17.100000000000001</v>
      </c>
      <c r="D404">
        <v>0.7</v>
      </c>
      <c r="E404">
        <f>IF(D404&gt;=1,martianeum[[#This Row],[zawartosc]] * 0.01 *martianeum[[#This Row],[masa '[kg']]],0)</f>
        <v>0</v>
      </c>
    </row>
    <row r="405" spans="1:6" x14ac:dyDescent="0.25">
      <c r="A405" s="1">
        <v>49044</v>
      </c>
      <c r="B405" t="s">
        <v>13</v>
      </c>
      <c r="C405">
        <v>15.1</v>
      </c>
      <c r="D405">
        <v>0</v>
      </c>
      <c r="E405">
        <f>IF(D405&gt;=1,martianeum[[#This Row],[zawartosc]] * 0.01 *martianeum[[#This Row],[masa '[kg']]],0)</f>
        <v>0</v>
      </c>
    </row>
    <row r="406" spans="1:6" x14ac:dyDescent="0.25">
      <c r="A406" s="1">
        <v>49045</v>
      </c>
      <c r="B406" t="s">
        <v>17</v>
      </c>
      <c r="C406">
        <v>26.4</v>
      </c>
      <c r="D406">
        <v>1.9</v>
      </c>
      <c r="E406">
        <f>IF(D406&gt;=1,martianeum[[#This Row],[zawartosc]] * 0.01 *martianeum[[#This Row],[masa '[kg']]],0)</f>
        <v>0.50159999999999993</v>
      </c>
    </row>
    <row r="407" spans="1:6" x14ac:dyDescent="0.25">
      <c r="A407" s="1">
        <v>49046</v>
      </c>
      <c r="B407" t="s">
        <v>9</v>
      </c>
      <c r="C407">
        <v>11.6</v>
      </c>
      <c r="D407">
        <v>14.4</v>
      </c>
      <c r="E407">
        <f>IF(D407&gt;=1,martianeum[[#This Row],[zawartosc]] * 0.01 *martianeum[[#This Row],[masa '[kg']]],0)</f>
        <v>1.6704000000000001</v>
      </c>
      <c r="F407">
        <f t="shared" ref="F407" si="56">SUM(C401:C407)</f>
        <v>125.6</v>
      </c>
    </row>
    <row r="408" spans="1:6" x14ac:dyDescent="0.25">
      <c r="A408" s="1">
        <v>49047</v>
      </c>
      <c r="B408" t="s">
        <v>9</v>
      </c>
      <c r="C408">
        <v>16.600000000000001</v>
      </c>
      <c r="D408">
        <v>40.6</v>
      </c>
      <c r="E408">
        <f>IF(D408&gt;=1,martianeum[[#This Row],[zawartosc]] * 0.01 *martianeum[[#This Row],[masa '[kg']]],0)</f>
        <v>6.7396000000000011</v>
      </c>
    </row>
    <row r="409" spans="1:6" x14ac:dyDescent="0.25">
      <c r="A409" s="1">
        <v>49048</v>
      </c>
      <c r="B409" t="s">
        <v>18</v>
      </c>
      <c r="C409">
        <v>19.5</v>
      </c>
      <c r="D409">
        <v>24.9</v>
      </c>
      <c r="E409">
        <f>IF(D409&gt;=1,martianeum[[#This Row],[zawartosc]] * 0.01 *martianeum[[#This Row],[masa '[kg']]],0)</f>
        <v>4.8555000000000001</v>
      </c>
    </row>
    <row r="410" spans="1:6" x14ac:dyDescent="0.25">
      <c r="A410" s="1">
        <v>49049</v>
      </c>
      <c r="B410" t="s">
        <v>16</v>
      </c>
      <c r="C410">
        <v>24.9</v>
      </c>
      <c r="D410">
        <v>6.5</v>
      </c>
      <c r="E410">
        <f>IF(D410&gt;=1,martianeum[[#This Row],[zawartosc]] * 0.01 *martianeum[[#This Row],[masa '[kg']]],0)</f>
        <v>1.6185</v>
      </c>
    </row>
    <row r="411" spans="1:6" x14ac:dyDescent="0.25">
      <c r="A411" s="1">
        <v>49050</v>
      </c>
      <c r="B411" t="s">
        <v>22</v>
      </c>
      <c r="C411">
        <v>19.3</v>
      </c>
      <c r="D411">
        <v>0.8</v>
      </c>
      <c r="E411">
        <f>IF(D411&gt;=1,martianeum[[#This Row],[zawartosc]] * 0.01 *martianeum[[#This Row],[masa '[kg']]],0)</f>
        <v>0</v>
      </c>
    </row>
    <row r="412" spans="1:6" x14ac:dyDescent="0.25">
      <c r="A412" s="1">
        <v>49051</v>
      </c>
      <c r="B412" t="s">
        <v>16</v>
      </c>
      <c r="C412">
        <v>26.2</v>
      </c>
      <c r="D412">
        <v>2.8</v>
      </c>
      <c r="E412">
        <f>IF(D412&gt;=1,martianeum[[#This Row],[zawartosc]] * 0.01 *martianeum[[#This Row],[masa '[kg']]],0)</f>
        <v>0.73359999999999992</v>
      </c>
    </row>
    <row r="413" spans="1:6" x14ac:dyDescent="0.25">
      <c r="A413" s="1">
        <v>49052</v>
      </c>
      <c r="B413" t="s">
        <v>6</v>
      </c>
      <c r="C413">
        <v>28.1</v>
      </c>
      <c r="D413">
        <v>0.6</v>
      </c>
      <c r="E413">
        <f>IF(D413&gt;=1,martianeum[[#This Row],[zawartosc]] * 0.01 *martianeum[[#This Row],[masa '[kg']]],0)</f>
        <v>0</v>
      </c>
    </row>
    <row r="414" spans="1:6" x14ac:dyDescent="0.25">
      <c r="A414" s="1">
        <v>49053</v>
      </c>
      <c r="B414" t="s">
        <v>13</v>
      </c>
      <c r="C414">
        <v>17</v>
      </c>
      <c r="D414">
        <v>4.8</v>
      </c>
      <c r="E414">
        <f>IF(D414&gt;=1,martianeum[[#This Row],[zawartosc]] * 0.01 *martianeum[[#This Row],[masa '[kg']]],0)</f>
        <v>0.81600000000000006</v>
      </c>
      <c r="F414">
        <f t="shared" ref="F414" si="57">SUM(C408:C414)</f>
        <v>151.6</v>
      </c>
    </row>
    <row r="415" spans="1:6" x14ac:dyDescent="0.25">
      <c r="A415" s="1">
        <v>49054</v>
      </c>
      <c r="B415" t="s">
        <v>16</v>
      </c>
      <c r="C415">
        <v>28.5</v>
      </c>
      <c r="D415">
        <v>7.1</v>
      </c>
      <c r="E415">
        <f>IF(D415&gt;=1,martianeum[[#This Row],[zawartosc]] * 0.01 *martianeum[[#This Row],[masa '[kg']]],0)</f>
        <v>2.0234999999999999</v>
      </c>
    </row>
    <row r="416" spans="1:6" x14ac:dyDescent="0.25">
      <c r="A416" s="1">
        <v>49055</v>
      </c>
      <c r="B416" t="s">
        <v>4</v>
      </c>
      <c r="C416">
        <v>14.2</v>
      </c>
      <c r="D416">
        <v>2.1</v>
      </c>
      <c r="E416">
        <f>IF(D416&gt;=1,martianeum[[#This Row],[zawartosc]] * 0.01 *martianeum[[#This Row],[masa '[kg']]],0)</f>
        <v>0.29820000000000002</v>
      </c>
    </row>
    <row r="417" spans="1:6" x14ac:dyDescent="0.25">
      <c r="A417" s="1">
        <v>49056</v>
      </c>
      <c r="B417" t="s">
        <v>6</v>
      </c>
      <c r="C417">
        <v>24.9</v>
      </c>
      <c r="D417">
        <v>8.3000000000000007</v>
      </c>
      <c r="E417">
        <f>IF(D417&gt;=1,martianeum[[#This Row],[zawartosc]] * 0.01 *martianeum[[#This Row],[masa '[kg']]],0)</f>
        <v>2.0667</v>
      </c>
    </row>
    <row r="418" spans="1:6" x14ac:dyDescent="0.25">
      <c r="A418" s="1">
        <v>49057</v>
      </c>
      <c r="B418" t="s">
        <v>16</v>
      </c>
      <c r="C418">
        <v>19.100000000000001</v>
      </c>
      <c r="D418">
        <v>3.4</v>
      </c>
      <c r="E418">
        <f>IF(D418&gt;=1,martianeum[[#This Row],[zawartosc]] * 0.01 *martianeum[[#This Row],[masa '[kg']]],0)</f>
        <v>0.64940000000000009</v>
      </c>
    </row>
    <row r="419" spans="1:6" x14ac:dyDescent="0.25">
      <c r="A419" s="1">
        <v>49058</v>
      </c>
      <c r="B419" t="s">
        <v>9</v>
      </c>
      <c r="C419">
        <v>14.9</v>
      </c>
      <c r="D419">
        <v>23.1</v>
      </c>
      <c r="E419">
        <f>IF(D419&gt;=1,martianeum[[#This Row],[zawartosc]] * 0.01 *martianeum[[#This Row],[masa '[kg']]],0)</f>
        <v>3.4419000000000004</v>
      </c>
    </row>
    <row r="420" spans="1:6" x14ac:dyDescent="0.25">
      <c r="A420" s="1">
        <v>49059</v>
      </c>
      <c r="B420" t="s">
        <v>26</v>
      </c>
      <c r="C420">
        <v>16.899999999999999</v>
      </c>
      <c r="D420">
        <v>6.8</v>
      </c>
      <c r="E420">
        <f>IF(D420&gt;=1,martianeum[[#This Row],[zawartosc]] * 0.01 *martianeum[[#This Row],[masa '[kg']]],0)</f>
        <v>1.1492</v>
      </c>
    </row>
    <row r="421" spans="1:6" x14ac:dyDescent="0.25">
      <c r="A421" s="1">
        <v>49060</v>
      </c>
      <c r="B421" t="s">
        <v>11</v>
      </c>
      <c r="C421">
        <v>15.9</v>
      </c>
      <c r="D421">
        <v>6.8</v>
      </c>
      <c r="E421">
        <f>IF(D421&gt;=1,martianeum[[#This Row],[zawartosc]] * 0.01 *martianeum[[#This Row],[masa '[kg']]],0)</f>
        <v>1.0812000000000002</v>
      </c>
      <c r="F421">
        <f t="shared" ref="F421" si="58">SUM(C415:C421)</f>
        <v>134.4</v>
      </c>
    </row>
    <row r="422" spans="1:6" x14ac:dyDescent="0.25">
      <c r="A422" s="1">
        <v>49061</v>
      </c>
      <c r="B422" t="s">
        <v>28</v>
      </c>
      <c r="C422">
        <v>26.3</v>
      </c>
      <c r="D422">
        <v>0.7</v>
      </c>
      <c r="E422">
        <f>IF(D422&gt;=1,martianeum[[#This Row],[zawartosc]] * 0.01 *martianeum[[#This Row],[masa '[kg']]],0)</f>
        <v>0</v>
      </c>
    </row>
    <row r="423" spans="1:6" x14ac:dyDescent="0.25">
      <c r="A423" s="1">
        <v>49062</v>
      </c>
      <c r="B423" t="s">
        <v>9</v>
      </c>
      <c r="C423">
        <v>12.2</v>
      </c>
      <c r="D423">
        <v>0</v>
      </c>
      <c r="E423">
        <f>IF(D423&gt;=1,martianeum[[#This Row],[zawartosc]] * 0.01 *martianeum[[#This Row],[masa '[kg']]],0)</f>
        <v>0</v>
      </c>
    </row>
    <row r="424" spans="1:6" x14ac:dyDescent="0.25">
      <c r="A424" s="1">
        <v>49063</v>
      </c>
      <c r="B424" t="s">
        <v>6</v>
      </c>
      <c r="C424">
        <v>27.5</v>
      </c>
      <c r="D424">
        <v>0</v>
      </c>
      <c r="E424">
        <f>IF(D424&gt;=1,martianeum[[#This Row],[zawartosc]] * 0.01 *martianeum[[#This Row],[masa '[kg']]],0)</f>
        <v>0</v>
      </c>
    </row>
    <row r="425" spans="1:6" x14ac:dyDescent="0.25">
      <c r="A425" s="1">
        <v>49064</v>
      </c>
      <c r="B425" t="s">
        <v>20</v>
      </c>
      <c r="C425">
        <v>23</v>
      </c>
      <c r="D425">
        <v>0</v>
      </c>
      <c r="E425">
        <f>IF(D425&gt;=1,martianeum[[#This Row],[zawartosc]] * 0.01 *martianeum[[#This Row],[masa '[kg']]],0)</f>
        <v>0</v>
      </c>
    </row>
    <row r="426" spans="1:6" x14ac:dyDescent="0.25">
      <c r="A426" s="1">
        <v>49065</v>
      </c>
      <c r="B426" t="s">
        <v>18</v>
      </c>
      <c r="C426">
        <v>17.899999999999999</v>
      </c>
      <c r="D426">
        <v>36.799999999999997</v>
      </c>
      <c r="E426">
        <f>IF(D426&gt;=1,martianeum[[#This Row],[zawartosc]] * 0.01 *martianeum[[#This Row],[masa '[kg']]],0)</f>
        <v>6.5871999999999993</v>
      </c>
    </row>
    <row r="427" spans="1:6" x14ac:dyDescent="0.25">
      <c r="A427" s="1">
        <v>49066</v>
      </c>
      <c r="B427" t="s">
        <v>18</v>
      </c>
      <c r="C427">
        <v>27.3</v>
      </c>
      <c r="D427">
        <v>0</v>
      </c>
      <c r="E427">
        <f>IF(D427&gt;=1,martianeum[[#This Row],[zawartosc]] * 0.01 *martianeum[[#This Row],[masa '[kg']]],0)</f>
        <v>0</v>
      </c>
    </row>
    <row r="428" spans="1:6" x14ac:dyDescent="0.25">
      <c r="A428" s="1">
        <v>49067</v>
      </c>
      <c r="B428" t="s">
        <v>3</v>
      </c>
      <c r="C428">
        <v>19.3</v>
      </c>
      <c r="D428">
        <v>0.4</v>
      </c>
      <c r="E428">
        <f>IF(D428&gt;=1,martianeum[[#This Row],[zawartosc]] * 0.01 *martianeum[[#This Row],[masa '[kg']]],0)</f>
        <v>0</v>
      </c>
      <c r="F428">
        <f t="shared" ref="F428" si="59">SUM(C422:C428)</f>
        <v>153.50000000000003</v>
      </c>
    </row>
    <row r="429" spans="1:6" x14ac:dyDescent="0.25">
      <c r="A429" s="1">
        <v>49068</v>
      </c>
      <c r="B429" t="s">
        <v>13</v>
      </c>
      <c r="C429">
        <v>25.5</v>
      </c>
      <c r="D429">
        <v>0</v>
      </c>
      <c r="E429">
        <f>IF(D429&gt;=1,martianeum[[#This Row],[zawartosc]] * 0.01 *martianeum[[#This Row],[masa '[kg']]],0)</f>
        <v>0</v>
      </c>
    </row>
    <row r="430" spans="1:6" x14ac:dyDescent="0.25">
      <c r="A430" s="1">
        <v>49069</v>
      </c>
      <c r="B430" t="s">
        <v>5</v>
      </c>
      <c r="C430">
        <v>13.7</v>
      </c>
      <c r="D430">
        <v>11.7</v>
      </c>
      <c r="E430">
        <f>IF(D430&gt;=1,martianeum[[#This Row],[zawartosc]] * 0.01 *martianeum[[#This Row],[masa '[kg']]],0)</f>
        <v>1.6028999999999998</v>
      </c>
    </row>
    <row r="431" spans="1:6" x14ac:dyDescent="0.25">
      <c r="A431" s="1">
        <v>49070</v>
      </c>
      <c r="B431" t="s">
        <v>18</v>
      </c>
      <c r="C431">
        <v>18.399999999999999</v>
      </c>
      <c r="D431">
        <v>0</v>
      </c>
      <c r="E431">
        <f>IF(D431&gt;=1,martianeum[[#This Row],[zawartosc]] * 0.01 *martianeum[[#This Row],[masa '[kg']]],0)</f>
        <v>0</v>
      </c>
    </row>
    <row r="432" spans="1:6" x14ac:dyDescent="0.25">
      <c r="A432" s="1">
        <v>49071</v>
      </c>
      <c r="B432" t="s">
        <v>17</v>
      </c>
      <c r="C432">
        <v>11.1</v>
      </c>
      <c r="D432">
        <v>0</v>
      </c>
      <c r="E432">
        <f>IF(D432&gt;=1,martianeum[[#This Row],[zawartosc]] * 0.01 *martianeum[[#This Row],[masa '[kg']]],0)</f>
        <v>0</v>
      </c>
    </row>
    <row r="433" spans="1:6" x14ac:dyDescent="0.25">
      <c r="A433" s="1">
        <v>49072</v>
      </c>
      <c r="B433" t="s">
        <v>11</v>
      </c>
      <c r="C433">
        <v>28</v>
      </c>
      <c r="D433">
        <v>0</v>
      </c>
      <c r="E433">
        <f>IF(D433&gt;=1,martianeum[[#This Row],[zawartosc]] * 0.01 *martianeum[[#This Row],[masa '[kg']]],0)</f>
        <v>0</v>
      </c>
    </row>
    <row r="434" spans="1:6" x14ac:dyDescent="0.25">
      <c r="A434" s="1">
        <v>49073</v>
      </c>
      <c r="B434" t="s">
        <v>5</v>
      </c>
      <c r="C434">
        <v>16.2</v>
      </c>
      <c r="D434">
        <v>13.7</v>
      </c>
      <c r="E434">
        <f>IF(D434&gt;=1,martianeum[[#This Row],[zawartosc]] * 0.01 *martianeum[[#This Row],[masa '[kg']]],0)</f>
        <v>2.2193999999999998</v>
      </c>
    </row>
    <row r="435" spans="1:6" x14ac:dyDescent="0.25">
      <c r="A435" s="1">
        <v>49074</v>
      </c>
      <c r="B435" t="s">
        <v>18</v>
      </c>
      <c r="C435">
        <v>12.1</v>
      </c>
      <c r="D435">
        <v>37.200000000000003</v>
      </c>
      <c r="E435">
        <f>IF(D435&gt;=1,martianeum[[#This Row],[zawartosc]] * 0.01 *martianeum[[#This Row],[masa '[kg']]],0)</f>
        <v>4.5012000000000008</v>
      </c>
      <c r="F435">
        <f t="shared" ref="F435" si="60">SUM(C429:C435)</f>
        <v>125</v>
      </c>
    </row>
    <row r="436" spans="1:6" x14ac:dyDescent="0.25">
      <c r="A436" s="1">
        <v>49075</v>
      </c>
      <c r="B436" t="s">
        <v>19</v>
      </c>
      <c r="C436">
        <v>21.4</v>
      </c>
      <c r="D436">
        <v>3.1</v>
      </c>
      <c r="E436">
        <f>IF(D436&gt;=1,martianeum[[#This Row],[zawartosc]] * 0.01 *martianeum[[#This Row],[masa '[kg']]],0)</f>
        <v>0.66339999999999999</v>
      </c>
    </row>
    <row r="437" spans="1:6" x14ac:dyDescent="0.25">
      <c r="A437" s="1">
        <v>49076</v>
      </c>
      <c r="B437" t="s">
        <v>9</v>
      </c>
      <c r="C437">
        <v>11.2</v>
      </c>
      <c r="D437">
        <v>0</v>
      </c>
      <c r="E437">
        <f>IF(D437&gt;=1,martianeum[[#This Row],[zawartosc]] * 0.01 *martianeum[[#This Row],[masa '[kg']]],0)</f>
        <v>0</v>
      </c>
    </row>
    <row r="438" spans="1:6" x14ac:dyDescent="0.25">
      <c r="A438" s="1">
        <v>49077</v>
      </c>
      <c r="B438" t="s">
        <v>27</v>
      </c>
      <c r="C438">
        <v>18.399999999999999</v>
      </c>
      <c r="D438">
        <v>0.2</v>
      </c>
      <c r="E438">
        <f>IF(D438&gt;=1,martianeum[[#This Row],[zawartosc]] * 0.01 *martianeum[[#This Row],[masa '[kg']]],0)</f>
        <v>0</v>
      </c>
    </row>
    <row r="439" spans="1:6" x14ac:dyDescent="0.25">
      <c r="A439" s="1">
        <v>49078</v>
      </c>
      <c r="B439" t="s">
        <v>11</v>
      </c>
      <c r="C439">
        <v>13.7</v>
      </c>
      <c r="D439">
        <v>0</v>
      </c>
      <c r="E439">
        <f>IF(D439&gt;=1,martianeum[[#This Row],[zawartosc]] * 0.01 *martianeum[[#This Row],[masa '[kg']]],0)</f>
        <v>0</v>
      </c>
    </row>
    <row r="440" spans="1:6" x14ac:dyDescent="0.25">
      <c r="A440" s="1">
        <v>49079</v>
      </c>
      <c r="B440" t="s">
        <v>18</v>
      </c>
      <c r="C440">
        <v>10.4</v>
      </c>
      <c r="D440">
        <v>15.6</v>
      </c>
      <c r="E440">
        <f>IF(D440&gt;=1,martianeum[[#This Row],[zawartosc]] * 0.01 *martianeum[[#This Row],[masa '[kg']]],0)</f>
        <v>1.6224000000000001</v>
      </c>
    </row>
    <row r="441" spans="1:6" x14ac:dyDescent="0.25">
      <c r="A441" s="1">
        <v>49080</v>
      </c>
      <c r="B441" t="s">
        <v>30</v>
      </c>
      <c r="C441">
        <v>21.8</v>
      </c>
      <c r="D441">
        <v>0</v>
      </c>
      <c r="E441">
        <f>IF(D441&gt;=1,martianeum[[#This Row],[zawartosc]] * 0.01 *martianeum[[#This Row],[masa '[kg']]],0)</f>
        <v>0</v>
      </c>
    </row>
    <row r="442" spans="1:6" x14ac:dyDescent="0.25">
      <c r="A442" s="1">
        <v>49081</v>
      </c>
      <c r="B442" t="s">
        <v>6</v>
      </c>
      <c r="C442">
        <v>11</v>
      </c>
      <c r="D442">
        <v>0.4</v>
      </c>
      <c r="E442">
        <f>IF(D442&gt;=1,martianeum[[#This Row],[zawartosc]] * 0.01 *martianeum[[#This Row],[masa '[kg']]],0)</f>
        <v>0</v>
      </c>
      <c r="F442">
        <f t="shared" ref="F442" si="61">SUM(C436:C442)</f>
        <v>107.89999999999999</v>
      </c>
    </row>
    <row r="443" spans="1:6" x14ac:dyDescent="0.25">
      <c r="A443" s="1">
        <v>49082</v>
      </c>
      <c r="B443" t="s">
        <v>9</v>
      </c>
      <c r="C443">
        <v>19</v>
      </c>
      <c r="D443">
        <v>21.9</v>
      </c>
      <c r="E443">
        <f>IF(D443&gt;=1,martianeum[[#This Row],[zawartosc]] * 0.01 *martianeum[[#This Row],[masa '[kg']]],0)</f>
        <v>4.1609999999999996</v>
      </c>
    </row>
    <row r="444" spans="1:6" x14ac:dyDescent="0.25">
      <c r="A444" s="1">
        <v>49083</v>
      </c>
      <c r="B444" t="s">
        <v>9</v>
      </c>
      <c r="C444">
        <v>12.5</v>
      </c>
      <c r="D444">
        <v>0</v>
      </c>
      <c r="E444">
        <f>IF(D444&gt;=1,martianeum[[#This Row],[zawartosc]] * 0.01 *martianeum[[#This Row],[masa '[kg']]],0)</f>
        <v>0</v>
      </c>
    </row>
    <row r="445" spans="1:6" x14ac:dyDescent="0.25">
      <c r="A445" s="1">
        <v>49084</v>
      </c>
      <c r="B445" t="s">
        <v>14</v>
      </c>
      <c r="C445">
        <v>13.6</v>
      </c>
      <c r="D445">
        <v>12.6</v>
      </c>
      <c r="E445">
        <f>IF(D445&gt;=1,martianeum[[#This Row],[zawartosc]] * 0.01 *martianeum[[#This Row],[masa '[kg']]],0)</f>
        <v>1.7136</v>
      </c>
    </row>
    <row r="446" spans="1:6" x14ac:dyDescent="0.25">
      <c r="A446" s="1">
        <v>49085</v>
      </c>
      <c r="B446" t="s">
        <v>9</v>
      </c>
      <c r="C446">
        <v>20.2</v>
      </c>
      <c r="D446">
        <v>17.899999999999999</v>
      </c>
      <c r="E446">
        <f>IF(D446&gt;=1,martianeum[[#This Row],[zawartosc]] * 0.01 *martianeum[[#This Row],[masa '[kg']]],0)</f>
        <v>3.6157999999999997</v>
      </c>
    </row>
    <row r="447" spans="1:6" x14ac:dyDescent="0.25">
      <c r="A447" s="1">
        <v>49086</v>
      </c>
      <c r="B447" t="s">
        <v>9</v>
      </c>
      <c r="C447">
        <v>28.7</v>
      </c>
      <c r="D447">
        <v>0</v>
      </c>
      <c r="E447">
        <f>IF(D447&gt;=1,martianeum[[#This Row],[zawartosc]] * 0.01 *martianeum[[#This Row],[masa '[kg']]],0)</f>
        <v>0</v>
      </c>
    </row>
    <row r="448" spans="1:6" x14ac:dyDescent="0.25">
      <c r="A448" s="1">
        <v>49087</v>
      </c>
      <c r="B448" t="s">
        <v>19</v>
      </c>
      <c r="C448">
        <v>13.4</v>
      </c>
      <c r="D448">
        <v>4.8</v>
      </c>
      <c r="E448">
        <f>IF(D448&gt;=1,martianeum[[#This Row],[zawartosc]] * 0.01 *martianeum[[#This Row],[masa '[kg']]],0)</f>
        <v>0.64319999999999999</v>
      </c>
    </row>
    <row r="449" spans="1:6" x14ac:dyDescent="0.25">
      <c r="A449" s="1">
        <v>49088</v>
      </c>
      <c r="B449" t="s">
        <v>14</v>
      </c>
      <c r="C449">
        <v>12</v>
      </c>
      <c r="D449">
        <v>8.9</v>
      </c>
      <c r="E449">
        <f>IF(D449&gt;=1,martianeum[[#This Row],[zawartosc]] * 0.01 *martianeum[[#This Row],[masa '[kg']]],0)</f>
        <v>1.0680000000000001</v>
      </c>
      <c r="F449">
        <f t="shared" ref="F449" si="62">SUM(C443:C449)</f>
        <v>119.4</v>
      </c>
    </row>
    <row r="450" spans="1:6" x14ac:dyDescent="0.25">
      <c r="A450" s="1">
        <v>49089</v>
      </c>
      <c r="B450" t="s">
        <v>10</v>
      </c>
      <c r="C450">
        <v>28.9</v>
      </c>
      <c r="D450">
        <v>13.9</v>
      </c>
      <c r="E450">
        <f>IF(D450&gt;=1,martianeum[[#This Row],[zawartosc]] * 0.01 *martianeum[[#This Row],[masa '[kg']]],0)</f>
        <v>4.0171000000000001</v>
      </c>
    </row>
    <row r="451" spans="1:6" x14ac:dyDescent="0.25">
      <c r="A451" s="1">
        <v>49090</v>
      </c>
      <c r="B451" t="s">
        <v>21</v>
      </c>
      <c r="C451">
        <v>25.2</v>
      </c>
      <c r="D451">
        <v>0</v>
      </c>
      <c r="E451">
        <f>IF(D451&gt;=1,martianeum[[#This Row],[zawartosc]] * 0.01 *martianeum[[#This Row],[masa '[kg']]],0)</f>
        <v>0</v>
      </c>
    </row>
    <row r="452" spans="1:6" x14ac:dyDescent="0.25">
      <c r="A452" s="1">
        <v>49091</v>
      </c>
      <c r="B452" t="s">
        <v>10</v>
      </c>
      <c r="C452">
        <v>18.600000000000001</v>
      </c>
      <c r="D452">
        <v>1.8</v>
      </c>
      <c r="E452">
        <f>IF(D452&gt;=1,martianeum[[#This Row],[zawartosc]] * 0.01 *martianeum[[#This Row],[masa '[kg']]],0)</f>
        <v>0.33480000000000004</v>
      </c>
    </row>
    <row r="453" spans="1:6" x14ac:dyDescent="0.25">
      <c r="A453" s="1">
        <v>49092</v>
      </c>
      <c r="B453" t="s">
        <v>25</v>
      </c>
      <c r="C453">
        <v>20</v>
      </c>
      <c r="D453">
        <v>2.4</v>
      </c>
      <c r="E453">
        <f>IF(D453&gt;=1,martianeum[[#This Row],[zawartosc]] * 0.01 *martianeum[[#This Row],[masa '[kg']]],0)</f>
        <v>0.48</v>
      </c>
    </row>
    <row r="454" spans="1:6" x14ac:dyDescent="0.25">
      <c r="A454" s="1">
        <v>49093</v>
      </c>
      <c r="B454" t="s">
        <v>8</v>
      </c>
      <c r="C454">
        <v>14.3</v>
      </c>
      <c r="D454">
        <v>3.9</v>
      </c>
      <c r="E454">
        <f>IF(D454&gt;=1,martianeum[[#This Row],[zawartosc]] * 0.01 *martianeum[[#This Row],[masa '[kg']]],0)</f>
        <v>0.55769999999999997</v>
      </c>
    </row>
    <row r="455" spans="1:6" x14ac:dyDescent="0.25">
      <c r="A455" s="1">
        <v>49094</v>
      </c>
      <c r="B455" t="s">
        <v>9</v>
      </c>
      <c r="C455">
        <v>28.8</v>
      </c>
      <c r="D455">
        <v>25.1</v>
      </c>
      <c r="E455">
        <f>IF(D455&gt;=1,martianeum[[#This Row],[zawartosc]] * 0.01 *martianeum[[#This Row],[masa '[kg']]],0)</f>
        <v>7.2288000000000006</v>
      </c>
    </row>
    <row r="456" spans="1:6" x14ac:dyDescent="0.25">
      <c r="A456" s="1">
        <v>49095</v>
      </c>
      <c r="B456" t="s">
        <v>18</v>
      </c>
      <c r="C456">
        <v>26.8</v>
      </c>
      <c r="D456">
        <v>10.8</v>
      </c>
      <c r="E456">
        <f>IF(D456&gt;=1,martianeum[[#This Row],[zawartosc]] * 0.01 *martianeum[[#This Row],[masa '[kg']]],0)</f>
        <v>2.8944000000000005</v>
      </c>
      <c r="F456">
        <f t="shared" ref="F456" si="63">SUM(C450:C456)</f>
        <v>162.6</v>
      </c>
    </row>
    <row r="457" spans="1:6" x14ac:dyDescent="0.25">
      <c r="A457" s="1">
        <v>49096</v>
      </c>
      <c r="B457" t="s">
        <v>18</v>
      </c>
      <c r="C457">
        <v>20.399999999999999</v>
      </c>
      <c r="D457">
        <v>0</v>
      </c>
      <c r="E457">
        <f>IF(D457&gt;=1,martianeum[[#This Row],[zawartosc]] * 0.01 *martianeum[[#This Row],[masa '[kg']]],0)</f>
        <v>0</v>
      </c>
    </row>
    <row r="458" spans="1:6" x14ac:dyDescent="0.25">
      <c r="A458" s="1">
        <v>49097</v>
      </c>
      <c r="B458" t="s">
        <v>21</v>
      </c>
      <c r="C458">
        <v>14.1</v>
      </c>
      <c r="D458">
        <v>4.5</v>
      </c>
      <c r="E458">
        <f>IF(D458&gt;=1,martianeum[[#This Row],[zawartosc]] * 0.01 *martianeum[[#This Row],[masa '[kg']]],0)</f>
        <v>0.63449999999999995</v>
      </c>
    </row>
    <row r="459" spans="1:6" x14ac:dyDescent="0.25">
      <c r="A459" s="1">
        <v>49098</v>
      </c>
      <c r="B459" t="s">
        <v>13</v>
      </c>
      <c r="C459">
        <v>28.1</v>
      </c>
      <c r="D459">
        <v>6.3</v>
      </c>
      <c r="E459">
        <f>IF(D459&gt;=1,martianeum[[#This Row],[zawartosc]] * 0.01 *martianeum[[#This Row],[masa '[kg']]],0)</f>
        <v>1.7703000000000002</v>
      </c>
    </row>
    <row r="460" spans="1:6" x14ac:dyDescent="0.25">
      <c r="A460" s="1">
        <v>49099</v>
      </c>
      <c r="B460" t="s">
        <v>12</v>
      </c>
      <c r="C460">
        <v>15.7</v>
      </c>
      <c r="D460">
        <v>11.5</v>
      </c>
      <c r="E460">
        <f>IF(D460&gt;=1,martianeum[[#This Row],[zawartosc]] * 0.01 *martianeum[[#This Row],[masa '[kg']]],0)</f>
        <v>1.8055000000000001</v>
      </c>
    </row>
    <row r="461" spans="1:6" x14ac:dyDescent="0.25">
      <c r="A461" s="1">
        <v>49100</v>
      </c>
      <c r="B461" t="s">
        <v>28</v>
      </c>
      <c r="C461">
        <v>27.7</v>
      </c>
      <c r="D461">
        <v>0.6</v>
      </c>
      <c r="E461">
        <f>IF(D461&gt;=1,martianeum[[#This Row],[zawartosc]] * 0.01 *martianeum[[#This Row],[masa '[kg']]],0)</f>
        <v>0</v>
      </c>
    </row>
    <row r="462" spans="1:6" x14ac:dyDescent="0.25">
      <c r="A462" s="1">
        <v>49101</v>
      </c>
      <c r="B462" t="s">
        <v>6</v>
      </c>
      <c r="C462">
        <v>22.9</v>
      </c>
      <c r="D462">
        <v>22.6</v>
      </c>
      <c r="E462">
        <f>IF(D462&gt;=1,martianeum[[#This Row],[zawartosc]] * 0.01 *martianeum[[#This Row],[masa '[kg']]],0)</f>
        <v>5.1753999999999998</v>
      </c>
    </row>
    <row r="463" spans="1:6" x14ac:dyDescent="0.25">
      <c r="A463" s="1">
        <v>49102</v>
      </c>
      <c r="B463" t="s">
        <v>12</v>
      </c>
      <c r="C463">
        <v>10.3</v>
      </c>
      <c r="D463">
        <v>0</v>
      </c>
      <c r="E463">
        <f>IF(D463&gt;=1,martianeum[[#This Row],[zawartosc]] * 0.01 *martianeum[[#This Row],[masa '[kg']]],0)</f>
        <v>0</v>
      </c>
      <c r="F463">
        <f t="shared" ref="F463" si="64">SUM(C457:C463)</f>
        <v>139.20000000000002</v>
      </c>
    </row>
    <row r="464" spans="1:6" x14ac:dyDescent="0.25">
      <c r="A464" s="1">
        <v>49103</v>
      </c>
      <c r="B464" t="s">
        <v>22</v>
      </c>
      <c r="C464">
        <v>28.4</v>
      </c>
      <c r="D464">
        <v>4</v>
      </c>
      <c r="E464">
        <f>IF(D464&gt;=1,martianeum[[#This Row],[zawartosc]] * 0.01 *martianeum[[#This Row],[masa '[kg']]],0)</f>
        <v>1.1359999999999999</v>
      </c>
    </row>
    <row r="465" spans="1:6" x14ac:dyDescent="0.25">
      <c r="A465" s="1">
        <v>49104</v>
      </c>
      <c r="B465" t="s">
        <v>17</v>
      </c>
      <c r="C465">
        <v>18.7</v>
      </c>
      <c r="D465">
        <v>15</v>
      </c>
      <c r="E465">
        <f>IF(D465&gt;=1,martianeum[[#This Row],[zawartosc]] * 0.01 *martianeum[[#This Row],[masa '[kg']]],0)</f>
        <v>2.8049999999999997</v>
      </c>
    </row>
    <row r="466" spans="1:6" x14ac:dyDescent="0.25">
      <c r="A466" s="1">
        <v>49105</v>
      </c>
      <c r="B466" t="s">
        <v>18</v>
      </c>
      <c r="C466">
        <v>13.7</v>
      </c>
      <c r="D466">
        <v>9.4</v>
      </c>
      <c r="E466">
        <f>IF(D466&gt;=1,martianeum[[#This Row],[zawartosc]] * 0.01 *martianeum[[#This Row],[masa '[kg']]],0)</f>
        <v>1.2877999999999998</v>
      </c>
    </row>
    <row r="467" spans="1:6" x14ac:dyDescent="0.25">
      <c r="A467" s="1">
        <v>49106</v>
      </c>
      <c r="B467" t="s">
        <v>13</v>
      </c>
      <c r="C467">
        <v>16.3</v>
      </c>
      <c r="D467">
        <v>3.6</v>
      </c>
      <c r="E467">
        <f>IF(D467&gt;=1,martianeum[[#This Row],[zawartosc]] * 0.01 *martianeum[[#This Row],[masa '[kg']]],0)</f>
        <v>0.5868000000000001</v>
      </c>
    </row>
    <row r="468" spans="1:6" x14ac:dyDescent="0.25">
      <c r="A468" s="1">
        <v>49107</v>
      </c>
      <c r="B468" t="s">
        <v>26</v>
      </c>
      <c r="C468">
        <v>14</v>
      </c>
      <c r="D468">
        <v>0</v>
      </c>
      <c r="E468">
        <f>IF(D468&gt;=1,martianeum[[#This Row],[zawartosc]] * 0.01 *martianeum[[#This Row],[masa '[kg']]],0)</f>
        <v>0</v>
      </c>
    </row>
    <row r="469" spans="1:6" x14ac:dyDescent="0.25">
      <c r="A469" s="1">
        <v>49108</v>
      </c>
      <c r="B469" t="s">
        <v>14</v>
      </c>
      <c r="C469">
        <v>26</v>
      </c>
      <c r="D469">
        <v>5.5</v>
      </c>
      <c r="E469">
        <f>IF(D469&gt;=1,martianeum[[#This Row],[zawartosc]] * 0.01 *martianeum[[#This Row],[masa '[kg']]],0)</f>
        <v>1.43</v>
      </c>
    </row>
    <row r="470" spans="1:6" x14ac:dyDescent="0.25">
      <c r="A470" s="1">
        <v>49109</v>
      </c>
      <c r="B470" t="s">
        <v>18</v>
      </c>
      <c r="C470">
        <v>27</v>
      </c>
      <c r="D470">
        <v>38.6</v>
      </c>
      <c r="E470">
        <f>IF(D470&gt;=1,martianeum[[#This Row],[zawartosc]] * 0.01 *martianeum[[#This Row],[masa '[kg']]],0)</f>
        <v>10.422000000000001</v>
      </c>
      <c r="F470">
        <f t="shared" ref="F470" si="65">SUM(C464:C470)</f>
        <v>144.1</v>
      </c>
    </row>
    <row r="471" spans="1:6" x14ac:dyDescent="0.25">
      <c r="A471" s="1">
        <v>49110</v>
      </c>
      <c r="B471" t="s">
        <v>9</v>
      </c>
      <c r="C471">
        <v>26.6</v>
      </c>
      <c r="D471">
        <v>49.7</v>
      </c>
      <c r="E471">
        <f>IF(D471&gt;=1,martianeum[[#This Row],[zawartosc]] * 0.01 *martianeum[[#This Row],[masa '[kg']]],0)</f>
        <v>13.220200000000002</v>
      </c>
    </row>
    <row r="472" spans="1:6" x14ac:dyDescent="0.25">
      <c r="A472" s="1">
        <v>49111</v>
      </c>
      <c r="B472" t="s">
        <v>18</v>
      </c>
      <c r="C472">
        <v>20.9</v>
      </c>
      <c r="D472">
        <v>30</v>
      </c>
      <c r="E472">
        <f>IF(D472&gt;=1,martianeum[[#This Row],[zawartosc]] * 0.01 *martianeum[[#This Row],[masa '[kg']]],0)</f>
        <v>6.27</v>
      </c>
    </row>
    <row r="473" spans="1:6" x14ac:dyDescent="0.25">
      <c r="A473" s="1">
        <v>49112</v>
      </c>
      <c r="B473" t="s">
        <v>21</v>
      </c>
      <c r="C473">
        <v>28.5</v>
      </c>
      <c r="D473">
        <v>5.3</v>
      </c>
      <c r="E473">
        <f>IF(D473&gt;=1,martianeum[[#This Row],[zawartosc]] * 0.01 *martianeum[[#This Row],[masa '[kg']]],0)</f>
        <v>1.5105</v>
      </c>
    </row>
    <row r="474" spans="1:6" x14ac:dyDescent="0.25">
      <c r="A474" s="1">
        <v>49113</v>
      </c>
      <c r="B474" t="s">
        <v>4</v>
      </c>
      <c r="C474">
        <v>10.4</v>
      </c>
      <c r="D474">
        <v>0</v>
      </c>
      <c r="E474">
        <f>IF(D474&gt;=1,martianeum[[#This Row],[zawartosc]] * 0.01 *martianeum[[#This Row],[masa '[kg']]],0)</f>
        <v>0</v>
      </c>
    </row>
    <row r="475" spans="1:6" x14ac:dyDescent="0.25">
      <c r="A475" s="1">
        <v>49114</v>
      </c>
      <c r="B475" t="s">
        <v>17</v>
      </c>
      <c r="C475">
        <v>25.9</v>
      </c>
      <c r="D475">
        <v>9.1999999999999993</v>
      </c>
      <c r="E475">
        <f>IF(D475&gt;=1,martianeum[[#This Row],[zawartosc]] * 0.01 *martianeum[[#This Row],[masa '[kg']]],0)</f>
        <v>2.3828</v>
      </c>
    </row>
    <row r="476" spans="1:6" x14ac:dyDescent="0.25">
      <c r="A476" s="1">
        <v>49115</v>
      </c>
      <c r="B476" t="s">
        <v>10</v>
      </c>
      <c r="C476">
        <v>24.6</v>
      </c>
      <c r="D476">
        <v>11</v>
      </c>
      <c r="E476">
        <f>IF(D476&gt;=1,martianeum[[#This Row],[zawartosc]] * 0.01 *martianeum[[#This Row],[masa '[kg']]],0)</f>
        <v>2.706</v>
      </c>
    </row>
    <row r="477" spans="1:6" x14ac:dyDescent="0.25">
      <c r="A477" s="1">
        <v>49116</v>
      </c>
      <c r="B477" t="s">
        <v>15</v>
      </c>
      <c r="C477">
        <v>22</v>
      </c>
      <c r="D477">
        <v>0</v>
      </c>
      <c r="E477">
        <f>IF(D477&gt;=1,martianeum[[#This Row],[zawartosc]] * 0.01 *martianeum[[#This Row],[masa '[kg']]],0)</f>
        <v>0</v>
      </c>
      <c r="F477">
        <f t="shared" ref="F477" si="66">SUM(C471:C477)</f>
        <v>158.9</v>
      </c>
    </row>
    <row r="478" spans="1:6" x14ac:dyDescent="0.25">
      <c r="A478" s="1">
        <v>49117</v>
      </c>
      <c r="B478" t="s">
        <v>7</v>
      </c>
      <c r="C478">
        <v>16.8</v>
      </c>
      <c r="D478">
        <v>2.4</v>
      </c>
      <c r="E478">
        <f>IF(D478&gt;=1,martianeum[[#This Row],[zawartosc]] * 0.01 *martianeum[[#This Row],[masa '[kg']]],0)</f>
        <v>0.4032</v>
      </c>
    </row>
    <row r="479" spans="1:6" x14ac:dyDescent="0.25">
      <c r="A479" s="1">
        <v>49118</v>
      </c>
      <c r="B479" t="s">
        <v>9</v>
      </c>
      <c r="C479">
        <v>21.7</v>
      </c>
      <c r="D479">
        <v>44.1</v>
      </c>
      <c r="E479">
        <f>IF(D479&gt;=1,martianeum[[#This Row],[zawartosc]] * 0.01 *martianeum[[#This Row],[masa '[kg']]],0)</f>
        <v>9.5696999999999992</v>
      </c>
    </row>
    <row r="480" spans="1:6" x14ac:dyDescent="0.25">
      <c r="A480" s="1">
        <v>49119</v>
      </c>
      <c r="B480" t="s">
        <v>11</v>
      </c>
      <c r="C480">
        <v>28.9</v>
      </c>
      <c r="D480">
        <v>0</v>
      </c>
      <c r="E480">
        <f>IF(D480&gt;=1,martianeum[[#This Row],[zawartosc]] * 0.01 *martianeum[[#This Row],[masa '[kg']]],0)</f>
        <v>0</v>
      </c>
    </row>
    <row r="481" spans="1:6" x14ac:dyDescent="0.25">
      <c r="A481" s="1">
        <v>49120</v>
      </c>
      <c r="B481" t="s">
        <v>12</v>
      </c>
      <c r="C481">
        <v>26.6</v>
      </c>
      <c r="D481">
        <v>0.4</v>
      </c>
      <c r="E481">
        <f>IF(D481&gt;=1,martianeum[[#This Row],[zawartosc]] * 0.01 *martianeum[[#This Row],[masa '[kg']]],0)</f>
        <v>0</v>
      </c>
    </row>
    <row r="482" spans="1:6" x14ac:dyDescent="0.25">
      <c r="A482" s="1">
        <v>49121</v>
      </c>
      <c r="B482" t="s">
        <v>14</v>
      </c>
      <c r="C482">
        <v>28</v>
      </c>
      <c r="D482">
        <v>16.7</v>
      </c>
      <c r="E482">
        <f>IF(D482&gt;=1,martianeum[[#This Row],[zawartosc]] * 0.01 *martianeum[[#This Row],[masa '[kg']]],0)</f>
        <v>4.6760000000000002</v>
      </c>
    </row>
    <row r="483" spans="1:6" x14ac:dyDescent="0.25">
      <c r="A483" s="1">
        <v>49122</v>
      </c>
      <c r="B483" t="s">
        <v>16</v>
      </c>
      <c r="C483">
        <v>27.5</v>
      </c>
      <c r="D483">
        <v>0</v>
      </c>
      <c r="E483">
        <f>IF(D483&gt;=1,martianeum[[#This Row],[zawartosc]] * 0.01 *martianeum[[#This Row],[masa '[kg']]],0)</f>
        <v>0</v>
      </c>
    </row>
    <row r="484" spans="1:6" x14ac:dyDescent="0.25">
      <c r="A484" s="1">
        <v>49123</v>
      </c>
      <c r="B484" t="s">
        <v>21</v>
      </c>
      <c r="C484">
        <v>18.2</v>
      </c>
      <c r="D484">
        <v>0</v>
      </c>
      <c r="E484">
        <f>IF(D484&gt;=1,martianeum[[#This Row],[zawartosc]] * 0.01 *martianeum[[#This Row],[masa '[kg']]],0)</f>
        <v>0</v>
      </c>
      <c r="F484">
        <f t="shared" ref="F484" si="67">SUM(C478:C484)</f>
        <v>167.7</v>
      </c>
    </row>
    <row r="485" spans="1:6" x14ac:dyDescent="0.25">
      <c r="A485" s="1">
        <v>49124</v>
      </c>
      <c r="B485" t="s">
        <v>17</v>
      </c>
      <c r="C485">
        <v>25.1</v>
      </c>
      <c r="D485">
        <v>0</v>
      </c>
      <c r="E485">
        <f>IF(D485&gt;=1,martianeum[[#This Row],[zawartosc]] * 0.01 *martianeum[[#This Row],[masa '[kg']]],0)</f>
        <v>0</v>
      </c>
    </row>
    <row r="486" spans="1:6" x14ac:dyDescent="0.25">
      <c r="A486" s="1">
        <v>49125</v>
      </c>
      <c r="B486" t="s">
        <v>3</v>
      </c>
      <c r="C486">
        <v>10.1</v>
      </c>
      <c r="D486">
        <v>0.2</v>
      </c>
      <c r="E486">
        <f>IF(D486&gt;=1,martianeum[[#This Row],[zawartosc]] * 0.01 *martianeum[[#This Row],[masa '[kg']]],0)</f>
        <v>0</v>
      </c>
    </row>
    <row r="487" spans="1:6" x14ac:dyDescent="0.25">
      <c r="A487" s="1">
        <v>49126</v>
      </c>
      <c r="B487" t="s">
        <v>14</v>
      </c>
      <c r="C487">
        <v>13.1</v>
      </c>
      <c r="D487">
        <v>7.9</v>
      </c>
      <c r="E487">
        <f>IF(D487&gt;=1,martianeum[[#This Row],[zawartosc]] * 0.01 *martianeum[[#This Row],[masa '[kg']]],0)</f>
        <v>1.0348999999999999</v>
      </c>
    </row>
    <row r="488" spans="1:6" x14ac:dyDescent="0.25">
      <c r="A488" s="1">
        <v>49127</v>
      </c>
      <c r="B488" t="s">
        <v>8</v>
      </c>
      <c r="C488">
        <v>22.9</v>
      </c>
      <c r="D488">
        <v>0</v>
      </c>
      <c r="E488">
        <f>IF(D488&gt;=1,martianeum[[#This Row],[zawartosc]] * 0.01 *martianeum[[#This Row],[masa '[kg']]],0)</f>
        <v>0</v>
      </c>
    </row>
    <row r="489" spans="1:6" x14ac:dyDescent="0.25">
      <c r="A489" s="1">
        <v>49128</v>
      </c>
      <c r="B489" t="s">
        <v>8</v>
      </c>
      <c r="C489">
        <v>26.3</v>
      </c>
      <c r="D489">
        <v>4</v>
      </c>
      <c r="E489">
        <f>IF(D489&gt;=1,martianeum[[#This Row],[zawartosc]] * 0.01 *martianeum[[#This Row],[masa '[kg']]],0)</f>
        <v>1.052</v>
      </c>
    </row>
    <row r="490" spans="1:6" x14ac:dyDescent="0.25">
      <c r="A490" s="1">
        <v>49129</v>
      </c>
      <c r="B490" t="s">
        <v>18</v>
      </c>
      <c r="C490">
        <v>11.3</v>
      </c>
      <c r="D490">
        <v>19.8</v>
      </c>
      <c r="E490">
        <f>IF(D490&gt;=1,martianeum[[#This Row],[zawartosc]] * 0.01 *martianeum[[#This Row],[masa '[kg']]],0)</f>
        <v>2.2374000000000001</v>
      </c>
    </row>
    <row r="491" spans="1:6" x14ac:dyDescent="0.25">
      <c r="A491" s="1">
        <v>49130</v>
      </c>
      <c r="B491" t="s">
        <v>9</v>
      </c>
      <c r="C491">
        <v>30</v>
      </c>
      <c r="D491">
        <v>0</v>
      </c>
      <c r="E491">
        <f>IF(D491&gt;=1,martianeum[[#This Row],[zawartosc]] * 0.01 *martianeum[[#This Row],[masa '[kg']]],0)</f>
        <v>0</v>
      </c>
      <c r="F491">
        <f t="shared" ref="F491" si="68">SUM(C485:C491)</f>
        <v>138.80000000000001</v>
      </c>
    </row>
    <row r="492" spans="1:6" x14ac:dyDescent="0.25">
      <c r="A492" s="1">
        <v>49131</v>
      </c>
      <c r="B492" t="s">
        <v>21</v>
      </c>
      <c r="C492">
        <v>20.399999999999999</v>
      </c>
      <c r="D492">
        <v>0</v>
      </c>
      <c r="E492">
        <f>IF(D492&gt;=1,martianeum[[#This Row],[zawartosc]] * 0.01 *martianeum[[#This Row],[masa '[kg']]],0)</f>
        <v>0</v>
      </c>
    </row>
    <row r="493" spans="1:6" x14ac:dyDescent="0.25">
      <c r="A493" s="1">
        <v>49132</v>
      </c>
      <c r="B493" t="s">
        <v>6</v>
      </c>
      <c r="C493">
        <v>24.5</v>
      </c>
      <c r="D493">
        <v>8.6999999999999993</v>
      </c>
      <c r="E493">
        <f>IF(D493&gt;=1,martianeum[[#This Row],[zawartosc]] * 0.01 *martianeum[[#This Row],[masa '[kg']]],0)</f>
        <v>2.1315</v>
      </c>
    </row>
    <row r="494" spans="1:6" x14ac:dyDescent="0.25">
      <c r="A494" s="1">
        <v>49133</v>
      </c>
      <c r="B494" t="s">
        <v>10</v>
      </c>
      <c r="C494">
        <v>17</v>
      </c>
      <c r="D494">
        <v>2.7</v>
      </c>
      <c r="E494">
        <f>IF(D494&gt;=1,martianeum[[#This Row],[zawartosc]] * 0.01 *martianeum[[#This Row],[masa '[kg']]],0)</f>
        <v>0.45900000000000007</v>
      </c>
    </row>
    <row r="495" spans="1:6" x14ac:dyDescent="0.25">
      <c r="A495" s="1">
        <v>49134</v>
      </c>
      <c r="B495" t="s">
        <v>18</v>
      </c>
      <c r="C495">
        <v>21</v>
      </c>
      <c r="D495">
        <v>5.6</v>
      </c>
      <c r="E495">
        <f>IF(D495&gt;=1,martianeum[[#This Row],[zawartosc]] * 0.01 *martianeum[[#This Row],[masa '[kg']]],0)</f>
        <v>1.1759999999999999</v>
      </c>
    </row>
    <row r="496" spans="1:6" x14ac:dyDescent="0.25">
      <c r="A496" s="1">
        <v>49135</v>
      </c>
      <c r="B496" t="s">
        <v>18</v>
      </c>
      <c r="C496">
        <v>20.7</v>
      </c>
      <c r="D496">
        <v>0</v>
      </c>
      <c r="E496">
        <f>IF(D496&gt;=1,martianeum[[#This Row],[zawartosc]] * 0.01 *martianeum[[#This Row],[masa '[kg']]],0)</f>
        <v>0</v>
      </c>
    </row>
    <row r="497" spans="1:6" x14ac:dyDescent="0.25">
      <c r="A497" s="1">
        <v>49136</v>
      </c>
      <c r="B497" t="s">
        <v>11</v>
      </c>
      <c r="C497">
        <v>26.7</v>
      </c>
      <c r="D497">
        <v>9.8000000000000007</v>
      </c>
      <c r="E497">
        <f>IF(D497&gt;=1,martianeum[[#This Row],[zawartosc]] * 0.01 *martianeum[[#This Row],[masa '[kg']]],0)</f>
        <v>2.6166</v>
      </c>
    </row>
    <row r="498" spans="1:6" x14ac:dyDescent="0.25">
      <c r="A498" s="1">
        <v>49137</v>
      </c>
      <c r="B498" t="s">
        <v>29</v>
      </c>
      <c r="C498">
        <v>10.199999999999999</v>
      </c>
      <c r="D498">
        <v>0.1</v>
      </c>
      <c r="E498">
        <f>IF(D498&gt;=1,martianeum[[#This Row],[zawartosc]] * 0.01 *martianeum[[#This Row],[masa '[kg']]],0)</f>
        <v>0</v>
      </c>
      <c r="F498">
        <f t="shared" ref="F498" si="69">SUM(C492:C498)</f>
        <v>140.5</v>
      </c>
    </row>
    <row r="499" spans="1:6" x14ac:dyDescent="0.25">
      <c r="A499" s="1">
        <v>49138</v>
      </c>
      <c r="B499" t="s">
        <v>9</v>
      </c>
      <c r="C499">
        <v>15.7</v>
      </c>
      <c r="D499">
        <v>5.8</v>
      </c>
      <c r="E499">
        <f>IF(D499&gt;=1,martianeum[[#This Row],[zawartosc]] * 0.01 *martianeum[[#This Row],[masa '[kg']]],0)</f>
        <v>0.91059999999999985</v>
      </c>
    </row>
    <row r="500" spans="1:6" x14ac:dyDescent="0.25">
      <c r="A500" s="1">
        <v>49139</v>
      </c>
      <c r="B500" t="s">
        <v>32</v>
      </c>
      <c r="C500">
        <v>15.9</v>
      </c>
      <c r="D500">
        <v>2.2000000000000002</v>
      </c>
      <c r="E500">
        <f>IF(D500&gt;=1,martianeum[[#This Row],[zawartosc]] * 0.01 *martianeum[[#This Row],[masa '[kg']]],0)</f>
        <v>0.34980000000000006</v>
      </c>
    </row>
    <row r="501" spans="1:6" x14ac:dyDescent="0.25">
      <c r="A501" s="1">
        <v>49140</v>
      </c>
      <c r="B501" t="s">
        <v>18</v>
      </c>
      <c r="C501">
        <v>21</v>
      </c>
      <c r="D501">
        <v>13.1</v>
      </c>
      <c r="E501">
        <f>IF(D501&gt;=1,martianeum[[#This Row],[zawartosc]] * 0.01 *martianeum[[#This Row],[masa '[kg']]],0)</f>
        <v>2.7510000000000003</v>
      </c>
    </row>
    <row r="502" spans="1:6" x14ac:dyDescent="0.25">
      <c r="A502" s="1">
        <v>49141</v>
      </c>
      <c r="B502" t="s">
        <v>8</v>
      </c>
      <c r="C502">
        <v>10.9</v>
      </c>
      <c r="D502">
        <v>8.1</v>
      </c>
      <c r="E502">
        <f>IF(D502&gt;=1,martianeum[[#This Row],[zawartosc]] * 0.01 *martianeum[[#This Row],[masa '[kg']]],0)</f>
        <v>0.88290000000000002</v>
      </c>
    </row>
    <row r="503" spans="1:6" x14ac:dyDescent="0.25">
      <c r="A503" s="1">
        <v>49142</v>
      </c>
      <c r="B503" t="s">
        <v>21</v>
      </c>
      <c r="C503">
        <v>20.9</v>
      </c>
      <c r="D503">
        <v>5.9</v>
      </c>
      <c r="E503">
        <f>IF(D503&gt;=1,martianeum[[#This Row],[zawartosc]] * 0.01 *martianeum[[#This Row],[masa '[kg']]],0)</f>
        <v>1.2331000000000001</v>
      </c>
    </row>
    <row r="504" spans="1:6" x14ac:dyDescent="0.25">
      <c r="A504" s="1">
        <v>49143</v>
      </c>
      <c r="B504" t="s">
        <v>18</v>
      </c>
      <c r="C504">
        <v>21.8</v>
      </c>
      <c r="D504">
        <v>15.9</v>
      </c>
      <c r="E504">
        <f>IF(D504&gt;=1,martianeum[[#This Row],[zawartosc]] * 0.01 *martianeum[[#This Row],[masa '[kg']]],0)</f>
        <v>3.4662000000000002</v>
      </c>
    </row>
    <row r="505" spans="1:6" x14ac:dyDescent="0.25">
      <c r="A505" s="1">
        <v>49144</v>
      </c>
      <c r="B505" t="s">
        <v>14</v>
      </c>
      <c r="C505">
        <v>11.9</v>
      </c>
      <c r="D505">
        <v>18.100000000000001</v>
      </c>
      <c r="E505">
        <f>IF(D505&gt;=1,martianeum[[#This Row],[zawartosc]] * 0.01 *martianeum[[#This Row],[masa '[kg']]],0)</f>
        <v>2.1539000000000001</v>
      </c>
      <c r="F505">
        <f t="shared" ref="F505" si="70">SUM(C499:C505)</f>
        <v>118.10000000000001</v>
      </c>
    </row>
    <row r="506" spans="1:6" x14ac:dyDescent="0.25">
      <c r="A506" s="1">
        <v>49145</v>
      </c>
      <c r="B506" t="s">
        <v>12</v>
      </c>
      <c r="C506">
        <v>12.9</v>
      </c>
      <c r="D506">
        <v>0</v>
      </c>
      <c r="E506">
        <f>IF(D506&gt;=1,martianeum[[#This Row],[zawartosc]] * 0.01 *martianeum[[#This Row],[masa '[kg']]],0)</f>
        <v>0</v>
      </c>
    </row>
    <row r="507" spans="1:6" x14ac:dyDescent="0.25">
      <c r="A507" s="1">
        <v>49146</v>
      </c>
      <c r="B507" t="s">
        <v>18</v>
      </c>
      <c r="C507">
        <v>14.9</v>
      </c>
      <c r="D507">
        <v>4.8</v>
      </c>
      <c r="E507">
        <f>IF(D507&gt;=1,martianeum[[#This Row],[zawartosc]] * 0.01 *martianeum[[#This Row],[masa '[kg']]],0)</f>
        <v>0.71520000000000006</v>
      </c>
    </row>
    <row r="508" spans="1:6" x14ac:dyDescent="0.25">
      <c r="A508" s="1">
        <v>49147</v>
      </c>
      <c r="B508" t="s">
        <v>9</v>
      </c>
      <c r="C508">
        <v>29.5</v>
      </c>
      <c r="D508">
        <v>0</v>
      </c>
      <c r="E508">
        <f>IF(D508&gt;=1,martianeum[[#This Row],[zawartosc]] * 0.01 *martianeum[[#This Row],[masa '[kg']]],0)</f>
        <v>0</v>
      </c>
    </row>
    <row r="509" spans="1:6" x14ac:dyDescent="0.25">
      <c r="A509" s="1">
        <v>49148</v>
      </c>
      <c r="B509" t="s">
        <v>18</v>
      </c>
      <c r="C509">
        <v>18.100000000000001</v>
      </c>
      <c r="D509">
        <v>0</v>
      </c>
      <c r="E509">
        <f>IF(D509&gt;=1,martianeum[[#This Row],[zawartosc]] * 0.01 *martianeum[[#This Row],[masa '[kg']]],0)</f>
        <v>0</v>
      </c>
    </row>
    <row r="510" spans="1:6" x14ac:dyDescent="0.25">
      <c r="A510" s="1">
        <v>49149</v>
      </c>
      <c r="B510" t="s">
        <v>5</v>
      </c>
      <c r="C510">
        <v>10.8</v>
      </c>
      <c r="D510">
        <v>11.8</v>
      </c>
      <c r="E510">
        <f>IF(D510&gt;=1,martianeum[[#This Row],[zawartosc]] * 0.01 *martianeum[[#This Row],[masa '[kg']]],0)</f>
        <v>1.2744000000000002</v>
      </c>
    </row>
    <row r="511" spans="1:6" x14ac:dyDescent="0.25">
      <c r="A511" s="1">
        <v>49150</v>
      </c>
      <c r="B511" t="s">
        <v>8</v>
      </c>
      <c r="C511">
        <v>13.5</v>
      </c>
      <c r="D511">
        <v>5.4</v>
      </c>
      <c r="E511">
        <f>IF(D511&gt;=1,martianeum[[#This Row],[zawartosc]] * 0.01 *martianeum[[#This Row],[masa '[kg']]],0)</f>
        <v>0.72900000000000009</v>
      </c>
    </row>
    <row r="512" spans="1:6" x14ac:dyDescent="0.25">
      <c r="A512" s="1">
        <v>49151</v>
      </c>
      <c r="B512" t="s">
        <v>21</v>
      </c>
      <c r="C512">
        <v>15.9</v>
      </c>
      <c r="D512">
        <v>0</v>
      </c>
      <c r="E512">
        <f>IF(D512&gt;=1,martianeum[[#This Row],[zawartosc]] * 0.01 *martianeum[[#This Row],[masa '[kg']]],0)</f>
        <v>0</v>
      </c>
      <c r="F512">
        <f t="shared" ref="F512" si="71">SUM(C506:C512)</f>
        <v>115.60000000000001</v>
      </c>
    </row>
    <row r="513" spans="1:6" x14ac:dyDescent="0.25">
      <c r="A513" s="1">
        <v>49152</v>
      </c>
      <c r="B513" t="s">
        <v>25</v>
      </c>
      <c r="C513">
        <v>23.1</v>
      </c>
      <c r="D513">
        <v>0</v>
      </c>
      <c r="E513">
        <f>IF(D513&gt;=1,martianeum[[#This Row],[zawartosc]] * 0.01 *martianeum[[#This Row],[masa '[kg']]],0)</f>
        <v>0</v>
      </c>
    </row>
    <row r="514" spans="1:6" x14ac:dyDescent="0.25">
      <c r="A514" s="1">
        <v>49153</v>
      </c>
      <c r="B514" t="s">
        <v>15</v>
      </c>
      <c r="C514">
        <v>26.7</v>
      </c>
      <c r="D514">
        <v>0</v>
      </c>
      <c r="E514">
        <f>IF(D514&gt;=1,martianeum[[#This Row],[zawartosc]] * 0.01 *martianeum[[#This Row],[masa '[kg']]],0)</f>
        <v>0</v>
      </c>
    </row>
    <row r="515" spans="1:6" x14ac:dyDescent="0.25">
      <c r="A515" s="1">
        <v>49154</v>
      </c>
      <c r="B515" t="s">
        <v>9</v>
      </c>
      <c r="C515">
        <v>26</v>
      </c>
      <c r="D515">
        <v>29.1</v>
      </c>
      <c r="E515">
        <f>IF(D515&gt;=1,martianeum[[#This Row],[zawartosc]] * 0.01 *martianeum[[#This Row],[masa '[kg']]],0)</f>
        <v>7.5660000000000007</v>
      </c>
    </row>
    <row r="516" spans="1:6" x14ac:dyDescent="0.25">
      <c r="A516" s="1">
        <v>49155</v>
      </c>
      <c r="B516" t="s">
        <v>17</v>
      </c>
      <c r="C516">
        <v>23.6</v>
      </c>
      <c r="D516">
        <v>9.1</v>
      </c>
      <c r="E516">
        <f>IF(D516&gt;=1,martianeum[[#This Row],[zawartosc]] * 0.01 *martianeum[[#This Row],[masa '[kg']]],0)</f>
        <v>2.1476000000000002</v>
      </c>
    </row>
    <row r="517" spans="1:6" x14ac:dyDescent="0.25">
      <c r="A517" s="1">
        <v>49156</v>
      </c>
      <c r="B517" t="s">
        <v>25</v>
      </c>
      <c r="C517">
        <v>29.8</v>
      </c>
      <c r="D517">
        <v>5.7</v>
      </c>
      <c r="E517">
        <f>IF(D517&gt;=1,martianeum[[#This Row],[zawartosc]] * 0.01 *martianeum[[#This Row],[masa '[kg']]],0)</f>
        <v>1.6986000000000001</v>
      </c>
    </row>
    <row r="518" spans="1:6" x14ac:dyDescent="0.25">
      <c r="A518" s="1">
        <v>49157</v>
      </c>
      <c r="B518" t="s">
        <v>18</v>
      </c>
      <c r="C518">
        <v>18.600000000000001</v>
      </c>
      <c r="D518">
        <v>0</v>
      </c>
      <c r="E518">
        <f>IF(D518&gt;=1,martianeum[[#This Row],[zawartosc]] * 0.01 *martianeum[[#This Row],[masa '[kg']]],0)</f>
        <v>0</v>
      </c>
    </row>
    <row r="519" spans="1:6" x14ac:dyDescent="0.25">
      <c r="A519" s="1">
        <v>49158</v>
      </c>
      <c r="B519" t="s">
        <v>14</v>
      </c>
      <c r="C519">
        <v>17.600000000000001</v>
      </c>
      <c r="D519">
        <v>2.4</v>
      </c>
      <c r="E519">
        <f>IF(D519&gt;=1,martianeum[[#This Row],[zawartosc]] * 0.01 *martianeum[[#This Row],[masa '[kg']]],0)</f>
        <v>0.42240000000000005</v>
      </c>
      <c r="F519">
        <f t="shared" ref="F519" si="72">SUM(C513:C519)</f>
        <v>165.4</v>
      </c>
    </row>
    <row r="520" spans="1:6" x14ac:dyDescent="0.25">
      <c r="A520" s="1">
        <v>49159</v>
      </c>
      <c r="B520" t="s">
        <v>14</v>
      </c>
      <c r="C520">
        <v>12.6</v>
      </c>
      <c r="D520">
        <v>9.1999999999999993</v>
      </c>
      <c r="E520">
        <f>IF(D520&gt;=1,martianeum[[#This Row],[zawartosc]] * 0.01 *martianeum[[#This Row],[masa '[kg']]],0)</f>
        <v>1.1592</v>
      </c>
    </row>
    <row r="521" spans="1:6" x14ac:dyDescent="0.25">
      <c r="A521" s="1">
        <v>49160</v>
      </c>
      <c r="B521" t="s">
        <v>16</v>
      </c>
      <c r="C521">
        <v>25.4</v>
      </c>
      <c r="D521">
        <v>5.4</v>
      </c>
      <c r="E521">
        <f>IF(D521&gt;=1,martianeum[[#This Row],[zawartosc]] * 0.01 *martianeum[[#This Row],[masa '[kg']]],0)</f>
        <v>1.3716000000000002</v>
      </c>
    </row>
    <row r="522" spans="1:6" x14ac:dyDescent="0.25">
      <c r="A522" s="1">
        <v>49161</v>
      </c>
      <c r="B522" t="s">
        <v>19</v>
      </c>
      <c r="C522">
        <v>12.8</v>
      </c>
      <c r="D522">
        <v>3.6</v>
      </c>
      <c r="E522">
        <f>IF(D522&gt;=1,martianeum[[#This Row],[zawartosc]] * 0.01 *martianeum[[#This Row],[masa '[kg']]],0)</f>
        <v>0.4608000000000001</v>
      </c>
    </row>
    <row r="523" spans="1:6" x14ac:dyDescent="0.25">
      <c r="A523" s="1">
        <v>49162</v>
      </c>
      <c r="B523" t="s">
        <v>10</v>
      </c>
      <c r="C523">
        <v>18.7</v>
      </c>
      <c r="D523">
        <v>0</v>
      </c>
      <c r="E523">
        <f>IF(D523&gt;=1,martianeum[[#This Row],[zawartosc]] * 0.01 *martianeum[[#This Row],[masa '[kg']]],0)</f>
        <v>0</v>
      </c>
    </row>
    <row r="524" spans="1:6" x14ac:dyDescent="0.25">
      <c r="A524" s="1">
        <v>49163</v>
      </c>
      <c r="B524" t="s">
        <v>32</v>
      </c>
      <c r="C524">
        <v>22.3</v>
      </c>
      <c r="D524">
        <v>0</v>
      </c>
      <c r="E524">
        <f>IF(D524&gt;=1,martianeum[[#This Row],[zawartosc]] * 0.01 *martianeum[[#This Row],[masa '[kg']]],0)</f>
        <v>0</v>
      </c>
    </row>
    <row r="525" spans="1:6" x14ac:dyDescent="0.25">
      <c r="A525" s="1">
        <v>49164</v>
      </c>
      <c r="B525" t="s">
        <v>17</v>
      </c>
      <c r="C525">
        <v>26.4</v>
      </c>
      <c r="D525">
        <v>0.5</v>
      </c>
      <c r="E525">
        <f>IF(D525&gt;=1,martianeum[[#This Row],[zawartosc]] * 0.01 *martianeum[[#This Row],[masa '[kg']]],0)</f>
        <v>0</v>
      </c>
    </row>
    <row r="526" spans="1:6" x14ac:dyDescent="0.25">
      <c r="A526" s="1">
        <v>49165</v>
      </c>
      <c r="B526" t="s">
        <v>6</v>
      </c>
      <c r="C526">
        <v>28.5</v>
      </c>
      <c r="D526">
        <v>3.2</v>
      </c>
      <c r="E526">
        <f>IF(D526&gt;=1,martianeum[[#This Row],[zawartosc]] * 0.01 *martianeum[[#This Row],[masa '[kg']]],0)</f>
        <v>0.91200000000000003</v>
      </c>
      <c r="F526">
        <f t="shared" ref="F526" si="73">SUM(C520:C526)</f>
        <v>146.69999999999999</v>
      </c>
    </row>
    <row r="527" spans="1:6" x14ac:dyDescent="0.25">
      <c r="A527" s="1">
        <v>49166</v>
      </c>
      <c r="B527" t="s">
        <v>16</v>
      </c>
      <c r="C527">
        <v>16.8</v>
      </c>
      <c r="D527">
        <v>5.5</v>
      </c>
      <c r="E527">
        <f>IF(D527&gt;=1,martianeum[[#This Row],[zawartosc]] * 0.01 *martianeum[[#This Row],[masa '[kg']]],0)</f>
        <v>0.92400000000000004</v>
      </c>
    </row>
    <row r="528" spans="1:6" x14ac:dyDescent="0.25">
      <c r="A528" s="1">
        <v>49167</v>
      </c>
      <c r="B528" t="s">
        <v>26</v>
      </c>
      <c r="C528">
        <v>24.7</v>
      </c>
      <c r="D528">
        <v>0.8</v>
      </c>
      <c r="E528">
        <f>IF(D528&gt;=1,martianeum[[#This Row],[zawartosc]] * 0.01 *martianeum[[#This Row],[masa '[kg']]],0)</f>
        <v>0</v>
      </c>
    </row>
    <row r="529" spans="1:6" x14ac:dyDescent="0.25">
      <c r="A529" s="1">
        <v>49168</v>
      </c>
      <c r="B529" t="s">
        <v>8</v>
      </c>
      <c r="C529">
        <v>29.6</v>
      </c>
      <c r="D529">
        <v>0</v>
      </c>
      <c r="E529">
        <f>IF(D529&gt;=1,martianeum[[#This Row],[zawartosc]] * 0.01 *martianeum[[#This Row],[masa '[kg']]],0)</f>
        <v>0</v>
      </c>
    </row>
    <row r="530" spans="1:6" x14ac:dyDescent="0.25">
      <c r="A530" s="1">
        <v>49169</v>
      </c>
      <c r="B530" t="s">
        <v>9</v>
      </c>
      <c r="C530">
        <v>23.3</v>
      </c>
      <c r="D530">
        <v>29.4</v>
      </c>
      <c r="E530">
        <f>IF(D530&gt;=1,martianeum[[#This Row],[zawartosc]] * 0.01 *martianeum[[#This Row],[masa '[kg']]],0)</f>
        <v>6.8502000000000001</v>
      </c>
    </row>
    <row r="531" spans="1:6" x14ac:dyDescent="0.25">
      <c r="A531" s="1">
        <v>49170</v>
      </c>
      <c r="B531" t="s">
        <v>8</v>
      </c>
      <c r="C531">
        <v>28.8</v>
      </c>
      <c r="D531">
        <v>11.5</v>
      </c>
      <c r="E531">
        <f>IF(D531&gt;=1,martianeum[[#This Row],[zawartosc]] * 0.01 *martianeum[[#This Row],[masa '[kg']]],0)</f>
        <v>3.3120000000000003</v>
      </c>
    </row>
    <row r="532" spans="1:6" x14ac:dyDescent="0.25">
      <c r="A532" s="1">
        <v>49171</v>
      </c>
      <c r="B532" t="s">
        <v>8</v>
      </c>
      <c r="C532">
        <v>26.5</v>
      </c>
      <c r="D532">
        <v>0</v>
      </c>
      <c r="E532">
        <f>IF(D532&gt;=1,martianeum[[#This Row],[zawartosc]] * 0.01 *martianeum[[#This Row],[masa '[kg']]],0)</f>
        <v>0</v>
      </c>
    </row>
    <row r="533" spans="1:6" x14ac:dyDescent="0.25">
      <c r="A533" s="1">
        <v>49172</v>
      </c>
      <c r="B533" t="s">
        <v>22</v>
      </c>
      <c r="C533">
        <v>17.100000000000001</v>
      </c>
      <c r="D533">
        <v>3.6</v>
      </c>
      <c r="E533">
        <f>IF(D533&gt;=1,martianeum[[#This Row],[zawartosc]] * 0.01 *martianeum[[#This Row],[masa '[kg']]],0)</f>
        <v>0.61560000000000015</v>
      </c>
      <c r="F533">
        <f t="shared" ref="F533" si="74">SUM(C527:C533)</f>
        <v>166.79999999999998</v>
      </c>
    </row>
    <row r="534" spans="1:6" x14ac:dyDescent="0.25">
      <c r="A534" s="1">
        <v>49173</v>
      </c>
      <c r="B534" t="s">
        <v>8</v>
      </c>
      <c r="C534">
        <v>17.8</v>
      </c>
      <c r="D534">
        <v>7</v>
      </c>
      <c r="E534">
        <f>IF(D534&gt;=1,martianeum[[#This Row],[zawartosc]] * 0.01 *martianeum[[#This Row],[masa '[kg']]],0)</f>
        <v>1.2460000000000002</v>
      </c>
    </row>
    <row r="535" spans="1:6" x14ac:dyDescent="0.25">
      <c r="A535" s="1">
        <v>49174</v>
      </c>
      <c r="B535" t="s">
        <v>26</v>
      </c>
      <c r="C535">
        <v>24.7</v>
      </c>
      <c r="D535">
        <v>1.5</v>
      </c>
      <c r="E535">
        <f>IF(D535&gt;=1,martianeum[[#This Row],[zawartosc]] * 0.01 *martianeum[[#This Row],[masa '[kg']]],0)</f>
        <v>0.3705</v>
      </c>
    </row>
    <row r="536" spans="1:6" x14ac:dyDescent="0.25">
      <c r="A536" s="1">
        <v>49175</v>
      </c>
      <c r="B536" t="s">
        <v>18</v>
      </c>
      <c r="C536">
        <v>25.1</v>
      </c>
      <c r="D536">
        <v>0</v>
      </c>
      <c r="E536">
        <f>IF(D536&gt;=1,martianeum[[#This Row],[zawartosc]] * 0.01 *martianeum[[#This Row],[masa '[kg']]],0)</f>
        <v>0</v>
      </c>
    </row>
    <row r="537" spans="1:6" x14ac:dyDescent="0.25">
      <c r="A537" s="1">
        <v>49176</v>
      </c>
      <c r="B537" t="s">
        <v>31</v>
      </c>
      <c r="C537">
        <v>27</v>
      </c>
      <c r="D537">
        <v>0</v>
      </c>
      <c r="E537">
        <f>IF(D537&gt;=1,martianeum[[#This Row],[zawartosc]] * 0.01 *martianeum[[#This Row],[masa '[kg']]],0)</f>
        <v>0</v>
      </c>
    </row>
    <row r="538" spans="1:6" x14ac:dyDescent="0.25">
      <c r="A538" s="1">
        <v>49177</v>
      </c>
      <c r="B538" t="s">
        <v>17</v>
      </c>
      <c r="C538">
        <v>18.2</v>
      </c>
      <c r="D538">
        <v>13.9</v>
      </c>
      <c r="E538">
        <f>IF(D538&gt;=1,martianeum[[#This Row],[zawartosc]] * 0.01 *martianeum[[#This Row],[masa '[kg']]],0)</f>
        <v>2.5298000000000003</v>
      </c>
    </row>
    <row r="539" spans="1:6" x14ac:dyDescent="0.25">
      <c r="A539" s="1">
        <v>49178</v>
      </c>
      <c r="B539" t="s">
        <v>14</v>
      </c>
      <c r="C539">
        <v>10.8</v>
      </c>
      <c r="D539">
        <v>7.9</v>
      </c>
      <c r="E539">
        <f>IF(D539&gt;=1,martianeum[[#This Row],[zawartosc]] * 0.01 *martianeum[[#This Row],[masa '[kg']]],0)</f>
        <v>0.85320000000000007</v>
      </c>
    </row>
    <row r="540" spans="1:6" x14ac:dyDescent="0.25">
      <c r="A540" s="1">
        <v>49179</v>
      </c>
      <c r="B540" t="s">
        <v>6</v>
      </c>
      <c r="C540">
        <v>27.9</v>
      </c>
      <c r="D540">
        <v>9.9</v>
      </c>
      <c r="E540">
        <f>IF(D540&gt;=1,martianeum[[#This Row],[zawartosc]] * 0.01 *martianeum[[#This Row],[masa '[kg']]],0)</f>
        <v>2.7620999999999998</v>
      </c>
      <c r="F540">
        <f t="shared" ref="F540" si="75">SUM(C534:C540)</f>
        <v>151.5</v>
      </c>
    </row>
    <row r="541" spans="1:6" x14ac:dyDescent="0.25">
      <c r="A541" s="1">
        <v>49180</v>
      </c>
      <c r="B541" t="s">
        <v>23</v>
      </c>
      <c r="C541">
        <v>14.1</v>
      </c>
      <c r="D541">
        <v>0.7</v>
      </c>
      <c r="E541">
        <f>IF(D541&gt;=1,martianeum[[#This Row],[zawartosc]] * 0.01 *martianeum[[#This Row],[masa '[kg']]],0)</f>
        <v>0</v>
      </c>
    </row>
    <row r="542" spans="1:6" x14ac:dyDescent="0.25">
      <c r="A542" s="1">
        <v>49181</v>
      </c>
      <c r="B542" t="s">
        <v>17</v>
      </c>
      <c r="C542">
        <v>17.5</v>
      </c>
      <c r="D542">
        <v>3.2</v>
      </c>
      <c r="E542">
        <f>IF(D542&gt;=1,martianeum[[#This Row],[zawartosc]] * 0.01 *martianeum[[#This Row],[masa '[kg']]],0)</f>
        <v>0.56000000000000005</v>
      </c>
    </row>
    <row r="543" spans="1:6" x14ac:dyDescent="0.25">
      <c r="A543" s="1">
        <v>49182</v>
      </c>
      <c r="B543" t="s">
        <v>9</v>
      </c>
      <c r="C543">
        <v>14.3</v>
      </c>
      <c r="D543">
        <v>0</v>
      </c>
      <c r="E543">
        <f>IF(D543&gt;=1,martianeum[[#This Row],[zawartosc]] * 0.01 *martianeum[[#This Row],[masa '[kg']]],0)</f>
        <v>0</v>
      </c>
    </row>
    <row r="544" spans="1:6" x14ac:dyDescent="0.25">
      <c r="A544" s="1">
        <v>49183</v>
      </c>
      <c r="B544" t="s">
        <v>19</v>
      </c>
      <c r="C544">
        <v>15.4</v>
      </c>
      <c r="D544">
        <v>0</v>
      </c>
      <c r="E544">
        <f>IF(D544&gt;=1,martianeum[[#This Row],[zawartosc]] * 0.01 *martianeum[[#This Row],[masa '[kg']]],0)</f>
        <v>0</v>
      </c>
    </row>
    <row r="545" spans="1:6" x14ac:dyDescent="0.25">
      <c r="A545" s="1">
        <v>49184</v>
      </c>
      <c r="B545" t="s">
        <v>18</v>
      </c>
      <c r="C545">
        <v>17.5</v>
      </c>
      <c r="D545">
        <v>0</v>
      </c>
      <c r="E545">
        <f>IF(D545&gt;=1,martianeum[[#This Row],[zawartosc]] * 0.01 *martianeum[[#This Row],[masa '[kg']]],0)</f>
        <v>0</v>
      </c>
    </row>
    <row r="546" spans="1:6" x14ac:dyDescent="0.25">
      <c r="A546" s="1">
        <v>49185</v>
      </c>
      <c r="B546" t="s">
        <v>12</v>
      </c>
      <c r="C546">
        <v>11.6</v>
      </c>
      <c r="D546">
        <v>4.0999999999999996</v>
      </c>
      <c r="E546">
        <f>IF(D546&gt;=1,martianeum[[#This Row],[zawartosc]] * 0.01 *martianeum[[#This Row],[masa '[kg']]],0)</f>
        <v>0.47559999999999991</v>
      </c>
    </row>
    <row r="547" spans="1:6" x14ac:dyDescent="0.25">
      <c r="A547" s="1">
        <v>49186</v>
      </c>
      <c r="B547" t="s">
        <v>8</v>
      </c>
      <c r="C547">
        <v>27.9</v>
      </c>
      <c r="D547">
        <v>10.3</v>
      </c>
      <c r="E547">
        <f>IF(D547&gt;=1,martianeum[[#This Row],[zawartosc]] * 0.01 *martianeum[[#This Row],[masa '[kg']]],0)</f>
        <v>2.8736999999999999</v>
      </c>
      <c r="F547">
        <f t="shared" ref="F547" si="76">SUM(C541:C547)</f>
        <v>118.30000000000001</v>
      </c>
    </row>
    <row r="548" spans="1:6" x14ac:dyDescent="0.25">
      <c r="A548" s="1">
        <v>49187</v>
      </c>
      <c r="B548" t="s">
        <v>18</v>
      </c>
      <c r="C548">
        <v>11.8</v>
      </c>
      <c r="D548">
        <v>20.2</v>
      </c>
      <c r="E548">
        <f>IF(D548&gt;=1,martianeum[[#This Row],[zawartosc]] * 0.01 *martianeum[[#This Row],[masa '[kg']]],0)</f>
        <v>2.3835999999999999</v>
      </c>
    </row>
    <row r="549" spans="1:6" x14ac:dyDescent="0.25">
      <c r="A549" s="1">
        <v>49188</v>
      </c>
      <c r="B549" t="s">
        <v>6</v>
      </c>
      <c r="C549">
        <v>12</v>
      </c>
      <c r="D549">
        <v>8.5</v>
      </c>
      <c r="E549">
        <f>IF(D549&gt;=1,martianeum[[#This Row],[zawartosc]] * 0.01 *martianeum[[#This Row],[masa '[kg']]],0)</f>
        <v>1.02</v>
      </c>
    </row>
    <row r="550" spans="1:6" x14ac:dyDescent="0.25">
      <c r="A550" s="1">
        <v>49189</v>
      </c>
      <c r="B550" t="s">
        <v>9</v>
      </c>
      <c r="C550">
        <v>11.8</v>
      </c>
      <c r="D550">
        <v>7.8</v>
      </c>
      <c r="E550">
        <f>IF(D550&gt;=1,martianeum[[#This Row],[zawartosc]] * 0.01 *martianeum[[#This Row],[masa '[kg']]],0)</f>
        <v>0.92040000000000011</v>
      </c>
    </row>
    <row r="551" spans="1:6" x14ac:dyDescent="0.25">
      <c r="A551" s="1">
        <v>49190</v>
      </c>
      <c r="B551" t="s">
        <v>16</v>
      </c>
      <c r="C551">
        <v>22.2</v>
      </c>
      <c r="D551">
        <v>0</v>
      </c>
      <c r="E551">
        <f>IF(D551&gt;=1,martianeum[[#This Row],[zawartosc]] * 0.01 *martianeum[[#This Row],[masa '[kg']]],0)</f>
        <v>0</v>
      </c>
    </row>
    <row r="552" spans="1:6" x14ac:dyDescent="0.25">
      <c r="A552" s="1">
        <v>49191</v>
      </c>
      <c r="B552" t="s">
        <v>6</v>
      </c>
      <c r="C552">
        <v>13.3</v>
      </c>
      <c r="D552">
        <v>3.8</v>
      </c>
      <c r="E552">
        <f>IF(D552&gt;=1,martianeum[[#This Row],[zawartosc]] * 0.01 *martianeum[[#This Row],[masa '[kg']]],0)</f>
        <v>0.50539999999999996</v>
      </c>
    </row>
    <row r="553" spans="1:6" x14ac:dyDescent="0.25">
      <c r="A553" s="1">
        <v>49192</v>
      </c>
      <c r="B553" t="s">
        <v>12</v>
      </c>
      <c r="C553">
        <v>24.6</v>
      </c>
      <c r="D553">
        <v>2.1</v>
      </c>
      <c r="E553">
        <f>IF(D553&gt;=1,martianeum[[#This Row],[zawartosc]] * 0.01 *martianeum[[#This Row],[masa '[kg']]],0)</f>
        <v>0.51660000000000006</v>
      </c>
    </row>
    <row r="554" spans="1:6" x14ac:dyDescent="0.25">
      <c r="A554" s="1">
        <v>49193</v>
      </c>
      <c r="B554" t="s">
        <v>18</v>
      </c>
      <c r="C554">
        <v>15.7</v>
      </c>
      <c r="D554">
        <v>0</v>
      </c>
      <c r="E554">
        <f>IF(D554&gt;=1,martianeum[[#This Row],[zawartosc]] * 0.01 *martianeum[[#This Row],[masa '[kg']]],0)</f>
        <v>0</v>
      </c>
      <c r="F554">
        <f t="shared" ref="F554" si="77">SUM(C548:C554)</f>
        <v>111.39999999999999</v>
      </c>
    </row>
    <row r="555" spans="1:6" x14ac:dyDescent="0.25">
      <c r="A555" s="1">
        <v>49194</v>
      </c>
      <c r="B555" t="s">
        <v>17</v>
      </c>
      <c r="C555">
        <v>26.7</v>
      </c>
      <c r="D555">
        <v>16.2</v>
      </c>
      <c r="E555">
        <f>IF(D555&gt;=1,martianeum[[#This Row],[zawartosc]] * 0.01 *martianeum[[#This Row],[masa '[kg']]],0)</f>
        <v>4.3254000000000001</v>
      </c>
    </row>
    <row r="556" spans="1:6" x14ac:dyDescent="0.25">
      <c r="A556" s="1">
        <v>49195</v>
      </c>
      <c r="B556" t="s">
        <v>14</v>
      </c>
      <c r="C556">
        <v>28.1</v>
      </c>
      <c r="D556">
        <v>1.1000000000000001</v>
      </c>
      <c r="E556">
        <f>IF(D556&gt;=1,martianeum[[#This Row],[zawartosc]] * 0.01 *martianeum[[#This Row],[masa '[kg']]],0)</f>
        <v>0.30910000000000004</v>
      </c>
    </row>
    <row r="557" spans="1:6" x14ac:dyDescent="0.25">
      <c r="A557" s="1">
        <v>49196</v>
      </c>
      <c r="B557" t="s">
        <v>9</v>
      </c>
      <c r="C557">
        <v>29.1</v>
      </c>
      <c r="D557">
        <v>3</v>
      </c>
      <c r="E557">
        <f>IF(D557&gt;=1,martianeum[[#This Row],[zawartosc]] * 0.01 *martianeum[[#This Row],[masa '[kg']]],0)</f>
        <v>0.873</v>
      </c>
    </row>
    <row r="558" spans="1:6" x14ac:dyDescent="0.25">
      <c r="A558" s="1">
        <v>49197</v>
      </c>
      <c r="B558" t="s">
        <v>6</v>
      </c>
      <c r="C558">
        <v>26.2</v>
      </c>
      <c r="D558">
        <v>0</v>
      </c>
      <c r="E558">
        <f>IF(D558&gt;=1,martianeum[[#This Row],[zawartosc]] * 0.01 *martianeum[[#This Row],[masa '[kg']]],0)</f>
        <v>0</v>
      </c>
    </row>
    <row r="559" spans="1:6" x14ac:dyDescent="0.25">
      <c r="A559" s="1">
        <v>49198</v>
      </c>
      <c r="B559" t="s">
        <v>30</v>
      </c>
      <c r="C559">
        <v>23.3</v>
      </c>
      <c r="D559">
        <v>0</v>
      </c>
      <c r="E559">
        <f>IF(D559&gt;=1,martianeum[[#This Row],[zawartosc]] * 0.01 *martianeum[[#This Row],[masa '[kg']]],0)</f>
        <v>0</v>
      </c>
    </row>
    <row r="560" spans="1:6" x14ac:dyDescent="0.25">
      <c r="A560" s="1">
        <v>49199</v>
      </c>
      <c r="B560" t="s">
        <v>18</v>
      </c>
      <c r="C560">
        <v>21.7</v>
      </c>
      <c r="D560">
        <v>10.4</v>
      </c>
      <c r="E560">
        <f>IF(D560&gt;=1,martianeum[[#This Row],[zawartosc]] * 0.01 *martianeum[[#This Row],[masa '[kg']]],0)</f>
        <v>2.2568000000000001</v>
      </c>
    </row>
    <row r="561" spans="1:6" x14ac:dyDescent="0.25">
      <c r="A561" s="1">
        <v>49200</v>
      </c>
      <c r="B561" t="s">
        <v>17</v>
      </c>
      <c r="C561">
        <v>18.8</v>
      </c>
      <c r="D561">
        <v>15.6</v>
      </c>
      <c r="E561">
        <f>IF(D561&gt;=1,martianeum[[#This Row],[zawartosc]] * 0.01 *martianeum[[#This Row],[masa '[kg']]],0)</f>
        <v>2.9328000000000003</v>
      </c>
      <c r="F561">
        <f t="shared" ref="F561" si="78">SUM(C555:C561)</f>
        <v>173.9</v>
      </c>
    </row>
    <row r="562" spans="1:6" x14ac:dyDescent="0.25">
      <c r="A562" s="1">
        <v>49201</v>
      </c>
      <c r="B562" t="s">
        <v>14</v>
      </c>
      <c r="C562">
        <v>25.4</v>
      </c>
      <c r="D562">
        <v>7.4</v>
      </c>
      <c r="E562">
        <f>IF(D562&gt;=1,martianeum[[#This Row],[zawartosc]] * 0.01 *martianeum[[#This Row],[masa '[kg']]],0)</f>
        <v>1.8796000000000002</v>
      </c>
    </row>
    <row r="563" spans="1:6" x14ac:dyDescent="0.25">
      <c r="A563" s="1">
        <v>49202</v>
      </c>
      <c r="B563" t="s">
        <v>10</v>
      </c>
      <c r="C563">
        <v>21.1</v>
      </c>
      <c r="D563">
        <v>1</v>
      </c>
      <c r="E563">
        <f>IF(D563&gt;=1,martianeum[[#This Row],[zawartosc]] * 0.01 *martianeum[[#This Row],[masa '[kg']]],0)</f>
        <v>0.21100000000000002</v>
      </c>
    </row>
    <row r="564" spans="1:6" x14ac:dyDescent="0.25">
      <c r="A564" s="1">
        <v>49203</v>
      </c>
      <c r="B564" t="s">
        <v>10</v>
      </c>
      <c r="C564">
        <v>25.1</v>
      </c>
      <c r="D564">
        <v>20</v>
      </c>
      <c r="E564">
        <f>IF(D564&gt;=1,martianeum[[#This Row],[zawartosc]] * 0.01 *martianeum[[#This Row],[masa '[kg']]],0)</f>
        <v>5.0200000000000005</v>
      </c>
    </row>
    <row r="565" spans="1:6" x14ac:dyDescent="0.25">
      <c r="A565" s="1">
        <v>49204</v>
      </c>
      <c r="B565" t="s">
        <v>6</v>
      </c>
      <c r="C565">
        <v>17.600000000000001</v>
      </c>
      <c r="D565">
        <v>0</v>
      </c>
      <c r="E565">
        <f>IF(D565&gt;=1,martianeum[[#This Row],[zawartosc]] * 0.01 *martianeum[[#This Row],[masa '[kg']]],0)</f>
        <v>0</v>
      </c>
    </row>
    <row r="566" spans="1:6" x14ac:dyDescent="0.25">
      <c r="A566" s="1">
        <v>49205</v>
      </c>
      <c r="B566" t="s">
        <v>14</v>
      </c>
      <c r="C566">
        <v>21.2</v>
      </c>
      <c r="D566">
        <v>3.4</v>
      </c>
      <c r="E566">
        <f>IF(D566&gt;=1,martianeum[[#This Row],[zawartosc]] * 0.01 *martianeum[[#This Row],[masa '[kg']]],0)</f>
        <v>0.7208</v>
      </c>
    </row>
    <row r="567" spans="1:6" x14ac:dyDescent="0.25">
      <c r="A567" s="1">
        <v>49206</v>
      </c>
      <c r="B567" t="s">
        <v>6</v>
      </c>
      <c r="C567">
        <v>26.4</v>
      </c>
      <c r="D567">
        <v>14.7</v>
      </c>
      <c r="E567">
        <f>IF(D567&gt;=1,martianeum[[#This Row],[zawartosc]] * 0.01 *martianeum[[#This Row],[masa '[kg']]],0)</f>
        <v>3.8807999999999994</v>
      </c>
    </row>
    <row r="568" spans="1:6" x14ac:dyDescent="0.25">
      <c r="A568" s="1">
        <v>49207</v>
      </c>
      <c r="B568" t="s">
        <v>4</v>
      </c>
      <c r="C568">
        <v>13.5</v>
      </c>
      <c r="D568">
        <v>0</v>
      </c>
      <c r="E568">
        <f>IF(D568&gt;=1,martianeum[[#This Row],[zawartosc]] * 0.01 *martianeum[[#This Row],[masa '[kg']]],0)</f>
        <v>0</v>
      </c>
      <c r="F568">
        <f t="shared" ref="F568" si="79">SUM(C562:C568)</f>
        <v>150.29999999999998</v>
      </c>
    </row>
    <row r="569" spans="1:6" x14ac:dyDescent="0.25">
      <c r="A569" s="1">
        <v>49208</v>
      </c>
      <c r="B569" t="s">
        <v>21</v>
      </c>
      <c r="C569">
        <v>25.1</v>
      </c>
      <c r="D569">
        <v>0</v>
      </c>
      <c r="E569">
        <f>IF(D569&gt;=1,martianeum[[#This Row],[zawartosc]] * 0.01 *martianeum[[#This Row],[masa '[kg']]],0)</f>
        <v>0</v>
      </c>
    </row>
    <row r="570" spans="1:6" x14ac:dyDescent="0.25">
      <c r="A570" s="1">
        <v>49209</v>
      </c>
      <c r="B570" t="s">
        <v>10</v>
      </c>
      <c r="C570">
        <v>10.4</v>
      </c>
      <c r="D570">
        <v>11</v>
      </c>
      <c r="E570">
        <f>IF(D570&gt;=1,martianeum[[#This Row],[zawartosc]] * 0.01 *martianeum[[#This Row],[masa '[kg']]],0)</f>
        <v>1.1440000000000001</v>
      </c>
    </row>
    <row r="571" spans="1:6" x14ac:dyDescent="0.25">
      <c r="A571" s="1">
        <v>49210</v>
      </c>
      <c r="B571" t="s">
        <v>14</v>
      </c>
      <c r="C571">
        <v>24.3</v>
      </c>
      <c r="D571">
        <v>4.9000000000000004</v>
      </c>
      <c r="E571">
        <f>IF(D571&gt;=1,martianeum[[#This Row],[zawartosc]] * 0.01 *martianeum[[#This Row],[masa '[kg']]],0)</f>
        <v>1.1907000000000001</v>
      </c>
    </row>
    <row r="572" spans="1:6" x14ac:dyDescent="0.25">
      <c r="A572" s="1">
        <v>49211</v>
      </c>
      <c r="B572" t="s">
        <v>11</v>
      </c>
      <c r="C572">
        <v>18.7</v>
      </c>
      <c r="D572">
        <v>6.2</v>
      </c>
      <c r="E572">
        <f>IF(D572&gt;=1,martianeum[[#This Row],[zawartosc]] * 0.01 *martianeum[[#This Row],[masa '[kg']]],0)</f>
        <v>1.1594</v>
      </c>
    </row>
    <row r="573" spans="1:6" x14ac:dyDescent="0.25">
      <c r="A573" s="1">
        <v>49212</v>
      </c>
      <c r="B573" t="s">
        <v>32</v>
      </c>
      <c r="C573">
        <v>14.1</v>
      </c>
      <c r="D573">
        <v>0</v>
      </c>
      <c r="E573">
        <f>IF(D573&gt;=1,martianeum[[#This Row],[zawartosc]] * 0.01 *martianeum[[#This Row],[masa '[kg']]],0)</f>
        <v>0</v>
      </c>
    </row>
    <row r="574" spans="1:6" x14ac:dyDescent="0.25">
      <c r="A574" s="1">
        <v>49213</v>
      </c>
      <c r="B574" t="s">
        <v>22</v>
      </c>
      <c r="C574">
        <v>24.2</v>
      </c>
      <c r="D574">
        <v>0</v>
      </c>
      <c r="E574">
        <f>IF(D574&gt;=1,martianeum[[#This Row],[zawartosc]] * 0.01 *martianeum[[#This Row],[masa '[kg']]],0)</f>
        <v>0</v>
      </c>
    </row>
    <row r="575" spans="1:6" x14ac:dyDescent="0.25">
      <c r="A575" s="1">
        <v>49214</v>
      </c>
      <c r="B575" t="s">
        <v>21</v>
      </c>
      <c r="C575">
        <v>26.4</v>
      </c>
      <c r="D575">
        <v>0</v>
      </c>
      <c r="E575">
        <f>IF(D575&gt;=1,martianeum[[#This Row],[zawartosc]] * 0.01 *martianeum[[#This Row],[masa '[kg']]],0)</f>
        <v>0</v>
      </c>
      <c r="F575">
        <f t="shared" ref="F575" si="80">SUM(C569:C575)</f>
        <v>143.19999999999999</v>
      </c>
    </row>
    <row r="576" spans="1:6" x14ac:dyDescent="0.25">
      <c r="A576" s="1">
        <v>49215</v>
      </c>
      <c r="B576" t="s">
        <v>9</v>
      </c>
      <c r="C576">
        <v>24.5</v>
      </c>
      <c r="D576">
        <v>4</v>
      </c>
      <c r="E576">
        <f>IF(D576&gt;=1,martianeum[[#This Row],[zawartosc]] * 0.01 *martianeum[[#This Row],[masa '[kg']]],0)</f>
        <v>0.98</v>
      </c>
    </row>
    <row r="577" spans="1:6" x14ac:dyDescent="0.25">
      <c r="A577" s="1">
        <v>49216</v>
      </c>
      <c r="B577" t="s">
        <v>13</v>
      </c>
      <c r="C577">
        <v>25.5</v>
      </c>
      <c r="D577">
        <v>2.9</v>
      </c>
      <c r="E577">
        <f>IF(D577&gt;=1,martianeum[[#This Row],[zawartosc]] * 0.01 *martianeum[[#This Row],[masa '[kg']]],0)</f>
        <v>0.73949999999999994</v>
      </c>
    </row>
    <row r="578" spans="1:6" x14ac:dyDescent="0.25">
      <c r="A578" s="1">
        <v>49217</v>
      </c>
      <c r="B578" t="s">
        <v>10</v>
      </c>
      <c r="C578">
        <v>11.8</v>
      </c>
      <c r="D578">
        <v>13.5</v>
      </c>
      <c r="E578">
        <f>IF(D578&gt;=1,martianeum[[#This Row],[zawartosc]] * 0.01 *martianeum[[#This Row],[masa '[kg']]],0)</f>
        <v>1.5930000000000002</v>
      </c>
    </row>
    <row r="579" spans="1:6" x14ac:dyDescent="0.25">
      <c r="A579" s="1">
        <v>49218</v>
      </c>
      <c r="B579" t="s">
        <v>21</v>
      </c>
      <c r="C579">
        <v>14.3</v>
      </c>
      <c r="D579">
        <v>5.4</v>
      </c>
      <c r="E579">
        <f>IF(D579&gt;=1,martianeum[[#This Row],[zawartosc]] * 0.01 *martianeum[[#This Row],[masa '[kg']]],0)</f>
        <v>0.77220000000000011</v>
      </c>
    </row>
    <row r="580" spans="1:6" x14ac:dyDescent="0.25">
      <c r="A580" s="1">
        <v>49219</v>
      </c>
      <c r="B580" t="s">
        <v>8</v>
      </c>
      <c r="C580">
        <v>12.4</v>
      </c>
      <c r="D580">
        <v>1.2</v>
      </c>
      <c r="E580">
        <f>IF(D580&gt;=1,martianeum[[#This Row],[zawartosc]] * 0.01 *martianeum[[#This Row],[masa '[kg']]],0)</f>
        <v>0.14880000000000002</v>
      </c>
    </row>
    <row r="581" spans="1:6" x14ac:dyDescent="0.25">
      <c r="A581" s="1">
        <v>49220</v>
      </c>
      <c r="B581" t="s">
        <v>18</v>
      </c>
      <c r="C581">
        <v>29.3</v>
      </c>
      <c r="D581">
        <v>19.8</v>
      </c>
      <c r="E581">
        <f>IF(D581&gt;=1,martianeum[[#This Row],[zawartosc]] * 0.01 *martianeum[[#This Row],[masa '[kg']]],0)</f>
        <v>5.8014000000000001</v>
      </c>
    </row>
    <row r="582" spans="1:6" x14ac:dyDescent="0.25">
      <c r="A582" s="1">
        <v>49221</v>
      </c>
      <c r="B582" t="s">
        <v>6</v>
      </c>
      <c r="C582">
        <v>29.4</v>
      </c>
      <c r="D582">
        <v>0</v>
      </c>
      <c r="E582">
        <f>IF(D582&gt;=1,martianeum[[#This Row],[zawartosc]] * 0.01 *martianeum[[#This Row],[masa '[kg']]],0)</f>
        <v>0</v>
      </c>
      <c r="F582">
        <f t="shared" ref="F582" si="81">SUM(C576:C582)</f>
        <v>147.19999999999999</v>
      </c>
    </row>
    <row r="583" spans="1:6" x14ac:dyDescent="0.25">
      <c r="A583" s="1">
        <v>49222</v>
      </c>
      <c r="B583" t="s">
        <v>12</v>
      </c>
      <c r="C583">
        <v>29.8</v>
      </c>
      <c r="D583">
        <v>16</v>
      </c>
      <c r="E583">
        <f>IF(D583&gt;=1,martianeum[[#This Row],[zawartosc]] * 0.01 *martianeum[[#This Row],[masa '[kg']]],0)</f>
        <v>4.7679999999999998</v>
      </c>
    </row>
    <row r="584" spans="1:6" x14ac:dyDescent="0.25">
      <c r="A584" s="1">
        <v>49223</v>
      </c>
      <c r="B584" t="s">
        <v>18</v>
      </c>
      <c r="C584">
        <v>29.9</v>
      </c>
      <c r="D584">
        <v>13.3</v>
      </c>
      <c r="E584">
        <f>IF(D584&gt;=1,martianeum[[#This Row],[zawartosc]] * 0.01 *martianeum[[#This Row],[masa '[kg']]],0)</f>
        <v>3.9767000000000001</v>
      </c>
    </row>
    <row r="585" spans="1:6" x14ac:dyDescent="0.25">
      <c r="A585" s="1">
        <v>49224</v>
      </c>
      <c r="B585" t="s">
        <v>8</v>
      </c>
      <c r="C585">
        <v>11.6</v>
      </c>
      <c r="D585">
        <v>9.6999999999999993</v>
      </c>
      <c r="E585">
        <f>IF(D585&gt;=1,martianeum[[#This Row],[zawartosc]] * 0.01 *martianeum[[#This Row],[masa '[kg']]],0)</f>
        <v>1.1251999999999998</v>
      </c>
    </row>
    <row r="586" spans="1:6" x14ac:dyDescent="0.25">
      <c r="A586" s="1">
        <v>49225</v>
      </c>
      <c r="B586" t="s">
        <v>10</v>
      </c>
      <c r="C586">
        <v>10.199999999999999</v>
      </c>
      <c r="D586">
        <v>0</v>
      </c>
      <c r="E586">
        <f>IF(D586&gt;=1,martianeum[[#This Row],[zawartosc]] * 0.01 *martianeum[[#This Row],[masa '[kg']]],0)</f>
        <v>0</v>
      </c>
    </row>
    <row r="587" spans="1:6" x14ac:dyDescent="0.25">
      <c r="A587" s="1">
        <v>49226</v>
      </c>
      <c r="B587" t="s">
        <v>8</v>
      </c>
      <c r="C587">
        <v>10.7</v>
      </c>
      <c r="D587">
        <v>11.9</v>
      </c>
      <c r="E587">
        <f>IF(D587&gt;=1,martianeum[[#This Row],[zawartosc]] * 0.01 *martianeum[[#This Row],[masa '[kg']]],0)</f>
        <v>1.2733000000000001</v>
      </c>
    </row>
    <row r="588" spans="1:6" x14ac:dyDescent="0.25">
      <c r="A588" s="1">
        <v>49227</v>
      </c>
      <c r="B588" t="s">
        <v>29</v>
      </c>
      <c r="C588">
        <v>11.7</v>
      </c>
      <c r="D588">
        <v>0.1</v>
      </c>
      <c r="E588">
        <f>IF(D588&gt;=1,martianeum[[#This Row],[zawartosc]] * 0.01 *martianeum[[#This Row],[masa '[kg']]],0)</f>
        <v>0</v>
      </c>
    </row>
    <row r="589" spans="1:6" x14ac:dyDescent="0.25">
      <c r="A589" s="1">
        <v>49228</v>
      </c>
      <c r="B589" t="s">
        <v>17</v>
      </c>
      <c r="C589">
        <v>29.4</v>
      </c>
      <c r="D589">
        <v>9.6</v>
      </c>
      <c r="E589">
        <f>IF(D589&gt;=1,martianeum[[#This Row],[zawartosc]] * 0.01 *martianeum[[#This Row],[masa '[kg']]],0)</f>
        <v>2.8224</v>
      </c>
      <c r="F589">
        <f t="shared" ref="F589" si="82">SUM(C583:C589)</f>
        <v>133.30000000000001</v>
      </c>
    </row>
    <row r="590" spans="1:6" x14ac:dyDescent="0.25">
      <c r="A590" s="1">
        <v>49229</v>
      </c>
      <c r="B590" t="s">
        <v>19</v>
      </c>
      <c r="C590">
        <v>29.1</v>
      </c>
      <c r="D590">
        <v>2.6</v>
      </c>
      <c r="E590">
        <f>IF(D590&gt;=1,martianeum[[#This Row],[zawartosc]] * 0.01 *martianeum[[#This Row],[masa '[kg']]],0)</f>
        <v>0.75660000000000005</v>
      </c>
    </row>
    <row r="591" spans="1:6" x14ac:dyDescent="0.25">
      <c r="A591" s="1">
        <v>49230</v>
      </c>
      <c r="B591" t="s">
        <v>9</v>
      </c>
      <c r="C591">
        <v>20.5</v>
      </c>
      <c r="D591">
        <v>30.1</v>
      </c>
      <c r="E591">
        <f>IF(D591&gt;=1,martianeum[[#This Row],[zawartosc]] * 0.01 *martianeum[[#This Row],[masa '[kg']]],0)</f>
        <v>6.1705000000000005</v>
      </c>
    </row>
    <row r="592" spans="1:6" x14ac:dyDescent="0.25">
      <c r="A592" s="1">
        <v>49231</v>
      </c>
      <c r="B592" t="s">
        <v>6</v>
      </c>
      <c r="C592">
        <v>26.2</v>
      </c>
      <c r="D592">
        <v>19</v>
      </c>
      <c r="E592">
        <f>IF(D592&gt;=1,martianeum[[#This Row],[zawartosc]] * 0.01 *martianeum[[#This Row],[masa '[kg']]],0)</f>
        <v>4.9779999999999998</v>
      </c>
    </row>
    <row r="593" spans="1:6" x14ac:dyDescent="0.25">
      <c r="A593" s="1">
        <v>49232</v>
      </c>
      <c r="B593" t="s">
        <v>14</v>
      </c>
      <c r="C593">
        <v>22.6</v>
      </c>
      <c r="D593">
        <v>0</v>
      </c>
      <c r="E593">
        <f>IF(D593&gt;=1,martianeum[[#This Row],[zawartosc]] * 0.01 *martianeum[[#This Row],[masa '[kg']]],0)</f>
        <v>0</v>
      </c>
    </row>
    <row r="594" spans="1:6" x14ac:dyDescent="0.25">
      <c r="A594" s="1">
        <v>49233</v>
      </c>
      <c r="B594" t="s">
        <v>13</v>
      </c>
      <c r="C594">
        <v>17.7</v>
      </c>
      <c r="D594">
        <v>0</v>
      </c>
      <c r="E594">
        <f>IF(D594&gt;=1,martianeum[[#This Row],[zawartosc]] * 0.01 *martianeum[[#This Row],[masa '[kg']]],0)</f>
        <v>0</v>
      </c>
    </row>
    <row r="595" spans="1:6" x14ac:dyDescent="0.25">
      <c r="A595" s="1">
        <v>49234</v>
      </c>
      <c r="B595" t="s">
        <v>18</v>
      </c>
      <c r="C595">
        <v>21.2</v>
      </c>
      <c r="D595">
        <v>0</v>
      </c>
      <c r="E595">
        <f>IF(D595&gt;=1,martianeum[[#This Row],[zawartosc]] * 0.01 *martianeum[[#This Row],[masa '[kg']]],0)</f>
        <v>0</v>
      </c>
    </row>
    <row r="596" spans="1:6" x14ac:dyDescent="0.25">
      <c r="A596" s="1">
        <v>49235</v>
      </c>
      <c r="B596" t="s">
        <v>32</v>
      </c>
      <c r="C596">
        <v>10.3</v>
      </c>
      <c r="D596">
        <v>0.2</v>
      </c>
      <c r="E596">
        <f>IF(D596&gt;=1,martianeum[[#This Row],[zawartosc]] * 0.01 *martianeum[[#This Row],[masa '[kg']]],0)</f>
        <v>0</v>
      </c>
      <c r="F596">
        <f t="shared" ref="F596" si="83">SUM(C590:C596)</f>
        <v>147.60000000000002</v>
      </c>
    </row>
    <row r="597" spans="1:6" x14ac:dyDescent="0.25">
      <c r="A597" s="1">
        <v>49236</v>
      </c>
      <c r="B597" t="s">
        <v>24</v>
      </c>
      <c r="C597">
        <v>10.1</v>
      </c>
      <c r="D597">
        <v>2.1</v>
      </c>
      <c r="E597">
        <f>IF(D597&gt;=1,martianeum[[#This Row],[zawartosc]] * 0.01 *martianeum[[#This Row],[masa '[kg']]],0)</f>
        <v>0.21210000000000001</v>
      </c>
    </row>
    <row r="598" spans="1:6" x14ac:dyDescent="0.25">
      <c r="A598" s="1">
        <v>49237</v>
      </c>
      <c r="B598" t="s">
        <v>7</v>
      </c>
      <c r="C598">
        <v>23.4</v>
      </c>
      <c r="D598">
        <v>3.9</v>
      </c>
      <c r="E598">
        <f>IF(D598&gt;=1,martianeum[[#This Row],[zawartosc]] * 0.01 *martianeum[[#This Row],[masa '[kg']]],0)</f>
        <v>0.91259999999999997</v>
      </c>
    </row>
    <row r="599" spans="1:6" x14ac:dyDescent="0.25">
      <c r="A599" s="1">
        <v>49238</v>
      </c>
      <c r="B599" t="s">
        <v>30</v>
      </c>
      <c r="C599">
        <v>11.7</v>
      </c>
      <c r="D599">
        <v>0</v>
      </c>
      <c r="E599">
        <f>IF(D599&gt;=1,martianeum[[#This Row],[zawartosc]] * 0.01 *martianeum[[#This Row],[masa '[kg']]],0)</f>
        <v>0</v>
      </c>
    </row>
    <row r="600" spans="1:6" x14ac:dyDescent="0.25">
      <c r="A600" s="1">
        <v>49239</v>
      </c>
      <c r="B600" t="s">
        <v>4</v>
      </c>
      <c r="C600">
        <v>26</v>
      </c>
      <c r="D600">
        <v>2.1</v>
      </c>
      <c r="E600">
        <f>IF(D600&gt;=1,martianeum[[#This Row],[zawartosc]] * 0.01 *martianeum[[#This Row],[masa '[kg']]],0)</f>
        <v>0.54600000000000004</v>
      </c>
    </row>
    <row r="601" spans="1:6" x14ac:dyDescent="0.25">
      <c r="A601" s="1">
        <v>49240</v>
      </c>
      <c r="B601" t="s">
        <v>29</v>
      </c>
      <c r="C601">
        <v>29.5</v>
      </c>
      <c r="D601">
        <v>0.4</v>
      </c>
      <c r="E601">
        <f>IF(D601&gt;=1,martianeum[[#This Row],[zawartosc]] * 0.01 *martianeum[[#This Row],[masa '[kg']]],0)</f>
        <v>0</v>
      </c>
    </row>
    <row r="602" spans="1:6" x14ac:dyDescent="0.25">
      <c r="A602" s="1">
        <v>49241</v>
      </c>
      <c r="B602" t="s">
        <v>13</v>
      </c>
      <c r="C602">
        <v>13</v>
      </c>
      <c r="D602">
        <v>4.4000000000000004</v>
      </c>
      <c r="E602">
        <f>IF(D602&gt;=1,martianeum[[#This Row],[zawartosc]] * 0.01 *martianeum[[#This Row],[masa '[kg']]],0)</f>
        <v>0.57200000000000006</v>
      </c>
    </row>
    <row r="603" spans="1:6" x14ac:dyDescent="0.25">
      <c r="A603" s="1">
        <v>49242</v>
      </c>
      <c r="B603" t="s">
        <v>8</v>
      </c>
      <c r="C603">
        <v>17.100000000000001</v>
      </c>
      <c r="D603">
        <v>3.8</v>
      </c>
      <c r="E603">
        <f>IF(D603&gt;=1,martianeum[[#This Row],[zawartosc]] * 0.01 *martianeum[[#This Row],[masa '[kg']]],0)</f>
        <v>0.64980000000000004</v>
      </c>
      <c r="F603">
        <f t="shared" ref="F603" si="84">SUM(C597:C603)</f>
        <v>130.80000000000001</v>
      </c>
    </row>
    <row r="604" spans="1:6" x14ac:dyDescent="0.25">
      <c r="A604" s="1">
        <v>49243</v>
      </c>
      <c r="B604" t="s">
        <v>26</v>
      </c>
      <c r="C604">
        <v>12.6</v>
      </c>
      <c r="D604">
        <v>0.2</v>
      </c>
      <c r="E604">
        <f>IF(D604&gt;=1,martianeum[[#This Row],[zawartosc]] * 0.01 *martianeum[[#This Row],[masa '[kg']]],0)</f>
        <v>0</v>
      </c>
    </row>
    <row r="605" spans="1:6" x14ac:dyDescent="0.25">
      <c r="A605" s="1">
        <v>49244</v>
      </c>
      <c r="B605" t="s">
        <v>9</v>
      </c>
      <c r="C605">
        <v>23.6</v>
      </c>
      <c r="D605">
        <v>24.1</v>
      </c>
      <c r="E605">
        <f>IF(D605&gt;=1,martianeum[[#This Row],[zawartosc]] * 0.01 *martianeum[[#This Row],[masa '[kg']]],0)</f>
        <v>5.6876000000000007</v>
      </c>
    </row>
    <row r="606" spans="1:6" x14ac:dyDescent="0.25">
      <c r="A606" s="1">
        <v>49245</v>
      </c>
      <c r="B606" t="s">
        <v>10</v>
      </c>
      <c r="C606">
        <v>14.9</v>
      </c>
      <c r="D606">
        <v>14.2</v>
      </c>
      <c r="E606">
        <f>IF(D606&gt;=1,martianeum[[#This Row],[zawartosc]] * 0.01 *martianeum[[#This Row],[masa '[kg']]],0)</f>
        <v>2.1157999999999997</v>
      </c>
    </row>
    <row r="607" spans="1:6" x14ac:dyDescent="0.25">
      <c r="A607" s="1">
        <v>49246</v>
      </c>
      <c r="B607" t="s">
        <v>11</v>
      </c>
      <c r="C607">
        <v>17</v>
      </c>
      <c r="D607">
        <v>0</v>
      </c>
      <c r="E607">
        <f>IF(D607&gt;=1,martianeum[[#This Row],[zawartosc]] * 0.01 *martianeum[[#This Row],[masa '[kg']]],0)</f>
        <v>0</v>
      </c>
    </row>
    <row r="608" spans="1:6" x14ac:dyDescent="0.25">
      <c r="A608" s="1">
        <v>49247</v>
      </c>
      <c r="B608" t="s">
        <v>10</v>
      </c>
      <c r="C608">
        <v>12.8</v>
      </c>
      <c r="D608">
        <v>0</v>
      </c>
      <c r="E608">
        <f>IF(D608&gt;=1,martianeum[[#This Row],[zawartosc]] * 0.01 *martianeum[[#This Row],[masa '[kg']]],0)</f>
        <v>0</v>
      </c>
    </row>
    <row r="609" spans="1:6" x14ac:dyDescent="0.25">
      <c r="A609" s="1">
        <v>49248</v>
      </c>
      <c r="B609" t="s">
        <v>12</v>
      </c>
      <c r="C609">
        <v>17.5</v>
      </c>
      <c r="D609">
        <v>0</v>
      </c>
      <c r="E609">
        <f>IF(D609&gt;=1,martianeum[[#This Row],[zawartosc]] * 0.01 *martianeum[[#This Row],[masa '[kg']]],0)</f>
        <v>0</v>
      </c>
    </row>
    <row r="610" spans="1:6" x14ac:dyDescent="0.25">
      <c r="A610" s="1">
        <v>49249</v>
      </c>
      <c r="B610" t="s">
        <v>9</v>
      </c>
      <c r="C610">
        <v>13.9</v>
      </c>
      <c r="D610">
        <v>15.3</v>
      </c>
      <c r="E610">
        <f>IF(D610&gt;=1,martianeum[[#This Row],[zawartosc]] * 0.01 *martianeum[[#This Row],[masa '[kg']]],0)</f>
        <v>2.1267</v>
      </c>
      <c r="F610">
        <f t="shared" ref="F610" si="85">SUM(C604:C610)</f>
        <v>112.3</v>
      </c>
    </row>
    <row r="611" spans="1:6" x14ac:dyDescent="0.25">
      <c r="A611" s="1">
        <v>49250</v>
      </c>
      <c r="B611" t="s">
        <v>18</v>
      </c>
      <c r="C611">
        <v>25.9</v>
      </c>
      <c r="D611">
        <v>14.5</v>
      </c>
      <c r="E611">
        <f>IF(D611&gt;=1,martianeum[[#This Row],[zawartosc]] * 0.01 *martianeum[[#This Row],[masa '[kg']]],0)</f>
        <v>3.7554999999999996</v>
      </c>
    </row>
    <row r="612" spans="1:6" x14ac:dyDescent="0.25">
      <c r="A612" s="1">
        <v>49251</v>
      </c>
      <c r="B612" t="s">
        <v>16</v>
      </c>
      <c r="C612">
        <v>12.1</v>
      </c>
      <c r="D612">
        <v>0</v>
      </c>
      <c r="E612">
        <f>IF(D612&gt;=1,martianeum[[#This Row],[zawartosc]] * 0.01 *martianeum[[#This Row],[masa '[kg']]],0)</f>
        <v>0</v>
      </c>
    </row>
    <row r="613" spans="1:6" x14ac:dyDescent="0.25">
      <c r="A613" s="1">
        <v>49252</v>
      </c>
      <c r="B613" t="s">
        <v>6</v>
      </c>
      <c r="C613">
        <v>25.8</v>
      </c>
      <c r="D613">
        <v>12.3</v>
      </c>
      <c r="E613">
        <f>IF(D613&gt;=1,martianeum[[#This Row],[zawartosc]] * 0.01 *martianeum[[#This Row],[masa '[kg']]],0)</f>
        <v>3.1734000000000004</v>
      </c>
    </row>
    <row r="614" spans="1:6" x14ac:dyDescent="0.25">
      <c r="A614" s="1">
        <v>49253</v>
      </c>
      <c r="B614" t="s">
        <v>8</v>
      </c>
      <c r="C614">
        <v>29.1</v>
      </c>
      <c r="D614">
        <v>0</v>
      </c>
      <c r="E614">
        <f>IF(D614&gt;=1,martianeum[[#This Row],[zawartosc]] * 0.01 *martianeum[[#This Row],[masa '[kg']]],0)</f>
        <v>0</v>
      </c>
    </row>
    <row r="615" spans="1:6" x14ac:dyDescent="0.25">
      <c r="A615" s="1">
        <v>49254</v>
      </c>
      <c r="B615" t="s">
        <v>9</v>
      </c>
      <c r="C615">
        <v>13.2</v>
      </c>
      <c r="D615">
        <v>0</v>
      </c>
      <c r="E615">
        <f>IF(D615&gt;=1,martianeum[[#This Row],[zawartosc]] * 0.01 *martianeum[[#This Row],[masa '[kg']]],0)</f>
        <v>0</v>
      </c>
    </row>
    <row r="616" spans="1:6" x14ac:dyDescent="0.25">
      <c r="A616" s="1">
        <v>49255</v>
      </c>
      <c r="B616" t="s">
        <v>6</v>
      </c>
      <c r="C616">
        <v>29.4</v>
      </c>
      <c r="D616">
        <v>12.8</v>
      </c>
      <c r="E616">
        <f>IF(D616&gt;=1,martianeum[[#This Row],[zawartosc]] * 0.01 *martianeum[[#This Row],[masa '[kg']]],0)</f>
        <v>3.7631999999999999</v>
      </c>
    </row>
    <row r="617" spans="1:6" x14ac:dyDescent="0.25">
      <c r="A617" s="1">
        <v>49256</v>
      </c>
      <c r="B617" t="s">
        <v>14</v>
      </c>
      <c r="C617">
        <v>21</v>
      </c>
      <c r="D617">
        <v>0</v>
      </c>
      <c r="E617">
        <f>IF(D617&gt;=1,martianeum[[#This Row],[zawartosc]] * 0.01 *martianeum[[#This Row],[masa '[kg']]],0)</f>
        <v>0</v>
      </c>
      <c r="F617">
        <f t="shared" ref="F617" si="86">SUM(C611:C617)</f>
        <v>156.5</v>
      </c>
    </row>
    <row r="618" spans="1:6" x14ac:dyDescent="0.25">
      <c r="A618" s="1">
        <v>49257</v>
      </c>
      <c r="B618" t="s">
        <v>5</v>
      </c>
      <c r="C618">
        <v>22.7</v>
      </c>
      <c r="D618">
        <v>12.4</v>
      </c>
      <c r="E618">
        <f>IF(D618&gt;=1,martianeum[[#This Row],[zawartosc]] * 0.01 *martianeum[[#This Row],[masa '[kg']]],0)</f>
        <v>2.8148000000000004</v>
      </c>
    </row>
    <row r="619" spans="1:6" x14ac:dyDescent="0.25">
      <c r="A619" s="1">
        <v>49258</v>
      </c>
      <c r="B619" t="s">
        <v>9</v>
      </c>
      <c r="C619">
        <v>25.1</v>
      </c>
      <c r="D619">
        <v>43.4</v>
      </c>
      <c r="E619">
        <f>IF(D619&gt;=1,martianeum[[#This Row],[zawartosc]] * 0.01 *martianeum[[#This Row],[masa '[kg']]],0)</f>
        <v>10.8934</v>
      </c>
    </row>
    <row r="620" spans="1:6" x14ac:dyDescent="0.25">
      <c r="A620" s="1">
        <v>49259</v>
      </c>
      <c r="B620" t="s">
        <v>9</v>
      </c>
      <c r="C620">
        <v>26.8</v>
      </c>
      <c r="D620">
        <v>26.9</v>
      </c>
      <c r="E620">
        <f>IF(D620&gt;=1,martianeum[[#This Row],[zawartosc]] * 0.01 *martianeum[[#This Row],[masa '[kg']]],0)</f>
        <v>7.2092000000000009</v>
      </c>
    </row>
    <row r="621" spans="1:6" x14ac:dyDescent="0.25">
      <c r="A621" s="1">
        <v>49260</v>
      </c>
      <c r="B621" t="s">
        <v>28</v>
      </c>
      <c r="C621">
        <v>15.9</v>
      </c>
      <c r="D621">
        <v>0.5</v>
      </c>
      <c r="E621">
        <f>IF(D621&gt;=1,martianeum[[#This Row],[zawartosc]] * 0.01 *martianeum[[#This Row],[masa '[kg']]],0)</f>
        <v>0</v>
      </c>
    </row>
    <row r="622" spans="1:6" x14ac:dyDescent="0.25">
      <c r="A622" s="1">
        <v>49261</v>
      </c>
      <c r="B622" t="s">
        <v>17</v>
      </c>
      <c r="C622">
        <v>27.6</v>
      </c>
      <c r="D622">
        <v>0</v>
      </c>
      <c r="E622">
        <f>IF(D622&gt;=1,martianeum[[#This Row],[zawartosc]] * 0.01 *martianeum[[#This Row],[masa '[kg']]],0)</f>
        <v>0</v>
      </c>
    </row>
    <row r="623" spans="1:6" x14ac:dyDescent="0.25">
      <c r="A623" s="1">
        <v>49262</v>
      </c>
      <c r="B623" t="s">
        <v>24</v>
      </c>
      <c r="C623">
        <v>20.8</v>
      </c>
      <c r="D623">
        <v>0</v>
      </c>
      <c r="E623">
        <f>IF(D623&gt;=1,martianeum[[#This Row],[zawartosc]] * 0.01 *martianeum[[#This Row],[masa '[kg']]],0)</f>
        <v>0</v>
      </c>
    </row>
    <row r="624" spans="1:6" x14ac:dyDescent="0.25">
      <c r="A624" s="1">
        <v>49263</v>
      </c>
      <c r="B624" t="s">
        <v>5</v>
      </c>
      <c r="C624">
        <v>23.9</v>
      </c>
      <c r="D624">
        <v>9.9</v>
      </c>
      <c r="E624">
        <f>IF(D624&gt;=1,martianeum[[#This Row],[zawartosc]] * 0.01 *martianeum[[#This Row],[masa '[kg']]],0)</f>
        <v>2.3660999999999999</v>
      </c>
      <c r="F624">
        <f t="shared" ref="F624" si="87">SUM(C618:C624)</f>
        <v>162.80000000000001</v>
      </c>
    </row>
    <row r="625" spans="1:6" x14ac:dyDescent="0.25">
      <c r="A625" s="1">
        <v>49264</v>
      </c>
      <c r="B625" t="s">
        <v>26</v>
      </c>
      <c r="C625">
        <v>24.8</v>
      </c>
      <c r="D625">
        <v>4.7</v>
      </c>
      <c r="E625">
        <f>IF(D625&gt;=1,martianeum[[#This Row],[zawartosc]] * 0.01 *martianeum[[#This Row],[masa '[kg']]],0)</f>
        <v>1.1656</v>
      </c>
    </row>
    <row r="626" spans="1:6" x14ac:dyDescent="0.25">
      <c r="A626" s="1">
        <v>49265</v>
      </c>
      <c r="B626" t="s">
        <v>18</v>
      </c>
      <c r="C626">
        <v>16.3</v>
      </c>
      <c r="D626">
        <v>0</v>
      </c>
      <c r="E626">
        <f>IF(D626&gt;=1,martianeum[[#This Row],[zawartosc]] * 0.01 *martianeum[[#This Row],[masa '[kg']]],0)</f>
        <v>0</v>
      </c>
    </row>
    <row r="627" spans="1:6" x14ac:dyDescent="0.25">
      <c r="A627" s="1">
        <v>49266</v>
      </c>
      <c r="B627" t="s">
        <v>17</v>
      </c>
      <c r="C627">
        <v>20.100000000000001</v>
      </c>
      <c r="D627">
        <v>0</v>
      </c>
      <c r="E627">
        <f>IF(D627&gt;=1,martianeum[[#This Row],[zawartosc]] * 0.01 *martianeum[[#This Row],[masa '[kg']]],0)</f>
        <v>0</v>
      </c>
    </row>
    <row r="628" spans="1:6" x14ac:dyDescent="0.25">
      <c r="A628" s="1">
        <v>49267</v>
      </c>
      <c r="B628" t="s">
        <v>21</v>
      </c>
      <c r="C628">
        <v>25.9</v>
      </c>
      <c r="D628">
        <v>8.9</v>
      </c>
      <c r="E628">
        <f>IF(D628&gt;=1,martianeum[[#This Row],[zawartosc]] * 0.01 *martianeum[[#This Row],[masa '[kg']]],0)</f>
        <v>2.3050999999999999</v>
      </c>
    </row>
    <row r="629" spans="1:6" x14ac:dyDescent="0.25">
      <c r="A629" s="1">
        <v>49268</v>
      </c>
      <c r="B629" t="s">
        <v>18</v>
      </c>
      <c r="C629">
        <v>27.3</v>
      </c>
      <c r="D629">
        <v>15.8</v>
      </c>
      <c r="E629">
        <f>IF(D629&gt;=1,martianeum[[#This Row],[zawartosc]] * 0.01 *martianeum[[#This Row],[masa '[kg']]],0)</f>
        <v>4.3134000000000006</v>
      </c>
    </row>
    <row r="630" spans="1:6" x14ac:dyDescent="0.25">
      <c r="A630" s="1">
        <v>49269</v>
      </c>
      <c r="B630" t="s">
        <v>5</v>
      </c>
      <c r="C630">
        <v>19.100000000000001</v>
      </c>
      <c r="D630">
        <v>6.3</v>
      </c>
      <c r="E630">
        <f>IF(D630&gt;=1,martianeum[[#This Row],[zawartosc]] * 0.01 *martianeum[[#This Row],[masa '[kg']]],0)</f>
        <v>1.2033</v>
      </c>
    </row>
    <row r="631" spans="1:6" x14ac:dyDescent="0.25">
      <c r="A631" s="1">
        <v>49270</v>
      </c>
      <c r="B631" t="s">
        <v>9</v>
      </c>
      <c r="C631">
        <v>16.899999999999999</v>
      </c>
      <c r="D631">
        <v>0</v>
      </c>
      <c r="E631">
        <f>IF(D631&gt;=1,martianeum[[#This Row],[zawartosc]] * 0.01 *martianeum[[#This Row],[masa '[kg']]],0)</f>
        <v>0</v>
      </c>
      <c r="F631">
        <f t="shared" ref="F631" si="88">SUM(C625:C631)</f>
        <v>150.4</v>
      </c>
    </row>
    <row r="632" spans="1:6" x14ac:dyDescent="0.25">
      <c r="A632" s="1">
        <v>49271</v>
      </c>
      <c r="B632" t="s">
        <v>6</v>
      </c>
      <c r="C632">
        <v>13.4</v>
      </c>
      <c r="D632">
        <v>20.100000000000001</v>
      </c>
      <c r="E632">
        <f>IF(D632&gt;=1,martianeum[[#This Row],[zawartosc]] * 0.01 *martianeum[[#This Row],[masa '[kg']]],0)</f>
        <v>2.6934</v>
      </c>
    </row>
    <row r="633" spans="1:6" x14ac:dyDescent="0.25">
      <c r="A633" s="1">
        <v>49272</v>
      </c>
      <c r="B633" t="s">
        <v>23</v>
      </c>
      <c r="C633">
        <v>24.8</v>
      </c>
      <c r="D633">
        <v>0.4</v>
      </c>
      <c r="E633">
        <f>IF(D633&gt;=1,martianeum[[#This Row],[zawartosc]] * 0.01 *martianeum[[#This Row],[masa '[kg']]],0)</f>
        <v>0</v>
      </c>
    </row>
    <row r="634" spans="1:6" x14ac:dyDescent="0.25">
      <c r="A634" s="1">
        <v>49273</v>
      </c>
      <c r="B634" t="s">
        <v>16</v>
      </c>
      <c r="C634">
        <v>28.4</v>
      </c>
      <c r="D634">
        <v>1.6</v>
      </c>
      <c r="E634">
        <f>IF(D634&gt;=1,martianeum[[#This Row],[zawartosc]] * 0.01 *martianeum[[#This Row],[masa '[kg']]],0)</f>
        <v>0.45439999999999997</v>
      </c>
    </row>
    <row r="635" spans="1:6" x14ac:dyDescent="0.25">
      <c r="A635" s="1">
        <v>49274</v>
      </c>
      <c r="B635" t="s">
        <v>22</v>
      </c>
      <c r="C635">
        <v>25.3</v>
      </c>
      <c r="D635">
        <v>1.8</v>
      </c>
      <c r="E635">
        <f>IF(D635&gt;=1,martianeum[[#This Row],[zawartosc]] * 0.01 *martianeum[[#This Row],[masa '[kg']]],0)</f>
        <v>0.45540000000000008</v>
      </c>
    </row>
    <row r="636" spans="1:6" x14ac:dyDescent="0.25">
      <c r="A636" s="1">
        <v>49275</v>
      </c>
      <c r="B636" t="s">
        <v>17</v>
      </c>
      <c r="C636">
        <v>25.9</v>
      </c>
      <c r="D636">
        <v>1.6</v>
      </c>
      <c r="E636">
        <f>IF(D636&gt;=1,martianeum[[#This Row],[zawartosc]] * 0.01 *martianeum[[#This Row],[masa '[kg']]],0)</f>
        <v>0.41439999999999999</v>
      </c>
    </row>
    <row r="637" spans="1:6" x14ac:dyDescent="0.25">
      <c r="A637" s="1">
        <v>49276</v>
      </c>
      <c r="B637" t="s">
        <v>5</v>
      </c>
      <c r="C637">
        <v>12.2</v>
      </c>
      <c r="D637">
        <v>0.8</v>
      </c>
      <c r="E637">
        <f>IF(D637&gt;=1,martianeum[[#This Row],[zawartosc]] * 0.01 *martianeum[[#This Row],[masa '[kg']]],0)</f>
        <v>0</v>
      </c>
    </row>
    <row r="638" spans="1:6" x14ac:dyDescent="0.25">
      <c r="A638" s="1">
        <v>49277</v>
      </c>
      <c r="B638" t="s">
        <v>32</v>
      </c>
      <c r="C638">
        <v>22.8</v>
      </c>
      <c r="D638">
        <v>2.2999999999999998</v>
      </c>
      <c r="E638">
        <f>IF(D638&gt;=1,martianeum[[#This Row],[zawartosc]] * 0.01 *martianeum[[#This Row],[masa '[kg']]],0)</f>
        <v>0.52439999999999998</v>
      </c>
      <c r="F638">
        <f t="shared" ref="F638" si="89">SUM(C632:C638)</f>
        <v>152.79999999999998</v>
      </c>
    </row>
    <row r="639" spans="1:6" x14ac:dyDescent="0.25">
      <c r="A639" s="1">
        <v>49278</v>
      </c>
      <c r="B639" t="s">
        <v>18</v>
      </c>
      <c r="C639">
        <v>12.7</v>
      </c>
      <c r="D639">
        <v>0</v>
      </c>
      <c r="E639">
        <f>IF(D639&gt;=1,martianeum[[#This Row],[zawartosc]] * 0.01 *martianeum[[#This Row],[masa '[kg']]],0)</f>
        <v>0</v>
      </c>
    </row>
    <row r="640" spans="1:6" x14ac:dyDescent="0.25">
      <c r="A640" s="1">
        <v>49279</v>
      </c>
      <c r="B640" t="s">
        <v>25</v>
      </c>
      <c r="C640">
        <v>13</v>
      </c>
      <c r="D640">
        <v>5.0999999999999996</v>
      </c>
      <c r="E640">
        <f>IF(D640&gt;=1,martianeum[[#This Row],[zawartosc]] * 0.01 *martianeum[[#This Row],[masa '[kg']]],0)</f>
        <v>0.66299999999999992</v>
      </c>
    </row>
    <row r="641" spans="1:6" x14ac:dyDescent="0.25">
      <c r="A641" s="1">
        <v>49280</v>
      </c>
      <c r="B641" t="s">
        <v>9</v>
      </c>
      <c r="C641">
        <v>13.5</v>
      </c>
      <c r="D641">
        <v>4.9000000000000004</v>
      </c>
      <c r="E641">
        <f>IF(D641&gt;=1,martianeum[[#This Row],[zawartosc]] * 0.01 *martianeum[[#This Row],[masa '[kg']]],0)</f>
        <v>0.66149999999999998</v>
      </c>
    </row>
    <row r="642" spans="1:6" x14ac:dyDescent="0.25">
      <c r="A642" s="1">
        <v>49281</v>
      </c>
      <c r="B642" t="s">
        <v>12</v>
      </c>
      <c r="C642">
        <v>17.8</v>
      </c>
      <c r="D642">
        <v>5</v>
      </c>
      <c r="E642">
        <f>IF(D642&gt;=1,martianeum[[#This Row],[zawartosc]] * 0.01 *martianeum[[#This Row],[masa '[kg']]],0)</f>
        <v>0.89000000000000012</v>
      </c>
    </row>
    <row r="643" spans="1:6" x14ac:dyDescent="0.25">
      <c r="A643" s="1">
        <v>49282</v>
      </c>
      <c r="B643" t="s">
        <v>9</v>
      </c>
      <c r="C643">
        <v>21.5</v>
      </c>
      <c r="D643">
        <v>47.1</v>
      </c>
      <c r="E643">
        <f>IF(D643&gt;=1,martianeum[[#This Row],[zawartosc]] * 0.01 *martianeum[[#This Row],[masa '[kg']]],0)</f>
        <v>10.1265</v>
      </c>
    </row>
    <row r="644" spans="1:6" x14ac:dyDescent="0.25">
      <c r="A644" s="1">
        <v>49283</v>
      </c>
      <c r="B644" t="s">
        <v>7</v>
      </c>
      <c r="C644">
        <v>20.5</v>
      </c>
      <c r="D644">
        <v>0.1</v>
      </c>
      <c r="E644">
        <f>IF(D644&gt;=1,martianeum[[#This Row],[zawartosc]] * 0.01 *martianeum[[#This Row],[masa '[kg']]],0)</f>
        <v>0</v>
      </c>
    </row>
    <row r="645" spans="1:6" x14ac:dyDescent="0.25">
      <c r="A645" s="1">
        <v>49284</v>
      </c>
      <c r="B645" t="s">
        <v>12</v>
      </c>
      <c r="C645">
        <v>14.4</v>
      </c>
      <c r="D645">
        <v>0</v>
      </c>
      <c r="E645">
        <f>IF(D645&gt;=1,martianeum[[#This Row],[zawartosc]] * 0.01 *martianeum[[#This Row],[masa '[kg']]],0)</f>
        <v>0</v>
      </c>
      <c r="F645">
        <f t="shared" ref="F645" si="90">SUM(C639:C645)</f>
        <v>113.4</v>
      </c>
    </row>
    <row r="646" spans="1:6" x14ac:dyDescent="0.25">
      <c r="A646" s="1">
        <v>49285</v>
      </c>
      <c r="B646" t="s">
        <v>14</v>
      </c>
      <c r="C646">
        <v>12.3</v>
      </c>
      <c r="D646">
        <v>0</v>
      </c>
      <c r="E646">
        <f>IF(D646&gt;=1,martianeum[[#This Row],[zawartosc]] * 0.01 *martianeum[[#This Row],[masa '[kg']]],0)</f>
        <v>0</v>
      </c>
    </row>
    <row r="647" spans="1:6" x14ac:dyDescent="0.25">
      <c r="A647" s="1">
        <v>49286</v>
      </c>
      <c r="B647" t="s">
        <v>12</v>
      </c>
      <c r="C647">
        <v>26.5</v>
      </c>
      <c r="D647">
        <v>14</v>
      </c>
      <c r="E647">
        <f>IF(D647&gt;=1,martianeum[[#This Row],[zawartosc]] * 0.01 *martianeum[[#This Row],[masa '[kg']]],0)</f>
        <v>3.7100000000000004</v>
      </c>
    </row>
    <row r="648" spans="1:6" x14ac:dyDescent="0.25">
      <c r="A648" s="1">
        <v>49287</v>
      </c>
      <c r="B648" t="s">
        <v>12</v>
      </c>
      <c r="C648">
        <v>17.7</v>
      </c>
      <c r="D648">
        <v>0</v>
      </c>
      <c r="E648">
        <f>IF(D648&gt;=1,martianeum[[#This Row],[zawartosc]] * 0.01 *martianeum[[#This Row],[masa '[kg']]],0)</f>
        <v>0</v>
      </c>
    </row>
    <row r="649" spans="1:6" x14ac:dyDescent="0.25">
      <c r="A649" s="1">
        <v>49288</v>
      </c>
      <c r="B649" t="s">
        <v>25</v>
      </c>
      <c r="C649">
        <v>15.7</v>
      </c>
      <c r="D649">
        <v>1</v>
      </c>
      <c r="E649">
        <f>IF(D649&gt;=1,martianeum[[#This Row],[zawartosc]] * 0.01 *martianeum[[#This Row],[masa '[kg']]],0)</f>
        <v>0.157</v>
      </c>
    </row>
    <row r="650" spans="1:6" x14ac:dyDescent="0.25">
      <c r="A650" s="1">
        <v>49289</v>
      </c>
      <c r="B650" t="s">
        <v>19</v>
      </c>
      <c r="C650">
        <v>16.2</v>
      </c>
      <c r="D650">
        <v>0</v>
      </c>
      <c r="E650">
        <f>IF(D650&gt;=1,martianeum[[#This Row],[zawartosc]] * 0.01 *martianeum[[#This Row],[masa '[kg']]],0)</f>
        <v>0</v>
      </c>
    </row>
    <row r="651" spans="1:6" x14ac:dyDescent="0.25">
      <c r="A651" s="1">
        <v>49290</v>
      </c>
      <c r="B651" t="s">
        <v>20</v>
      </c>
      <c r="C651">
        <v>18.600000000000001</v>
      </c>
      <c r="D651">
        <v>1.4</v>
      </c>
      <c r="E651">
        <f>IF(D651&gt;=1,martianeum[[#This Row],[zawartosc]] * 0.01 *martianeum[[#This Row],[masa '[kg']]],0)</f>
        <v>0.26040000000000002</v>
      </c>
    </row>
    <row r="652" spans="1:6" x14ac:dyDescent="0.25">
      <c r="A652" s="1">
        <v>49291</v>
      </c>
      <c r="B652" t="s">
        <v>17</v>
      </c>
      <c r="C652">
        <v>23.9</v>
      </c>
      <c r="D652">
        <v>4</v>
      </c>
      <c r="E652">
        <f>IF(D652&gt;=1,martianeum[[#This Row],[zawartosc]] * 0.01 *martianeum[[#This Row],[masa '[kg']]],0)</f>
        <v>0.95599999999999996</v>
      </c>
      <c r="F652">
        <f t="shared" ref="F652" si="91">SUM(C646:C652)</f>
        <v>130.9</v>
      </c>
    </row>
    <row r="653" spans="1:6" x14ac:dyDescent="0.25">
      <c r="A653" s="1">
        <v>49292</v>
      </c>
      <c r="B653" t="s">
        <v>9</v>
      </c>
      <c r="C653">
        <v>15.8</v>
      </c>
      <c r="D653">
        <v>50.3</v>
      </c>
      <c r="E653">
        <f>IF(D653&gt;=1,martianeum[[#This Row],[zawartosc]] * 0.01 *martianeum[[#This Row],[masa '[kg']]],0)</f>
        <v>7.9474</v>
      </c>
    </row>
    <row r="654" spans="1:6" x14ac:dyDescent="0.25">
      <c r="A654" s="1">
        <v>49293</v>
      </c>
      <c r="B654" t="s">
        <v>11</v>
      </c>
      <c r="C654">
        <v>26.2</v>
      </c>
      <c r="D654">
        <v>8.5</v>
      </c>
      <c r="E654">
        <f>IF(D654&gt;=1,martianeum[[#This Row],[zawartosc]] * 0.01 *martianeum[[#This Row],[masa '[kg']]],0)</f>
        <v>2.2270000000000003</v>
      </c>
    </row>
    <row r="655" spans="1:6" x14ac:dyDescent="0.25">
      <c r="A655" s="1">
        <v>49294</v>
      </c>
      <c r="B655" t="s">
        <v>9</v>
      </c>
      <c r="C655">
        <v>23.1</v>
      </c>
      <c r="D655">
        <v>0</v>
      </c>
      <c r="E655">
        <f>IF(D655&gt;=1,martianeum[[#This Row],[zawartosc]] * 0.01 *martianeum[[#This Row],[masa '[kg']]],0)</f>
        <v>0</v>
      </c>
    </row>
    <row r="656" spans="1:6" x14ac:dyDescent="0.25">
      <c r="A656" s="1">
        <v>49295</v>
      </c>
      <c r="B656" t="s">
        <v>20</v>
      </c>
      <c r="C656">
        <v>10.8</v>
      </c>
      <c r="D656">
        <v>0</v>
      </c>
      <c r="E656">
        <f>IF(D656&gt;=1,martianeum[[#This Row],[zawartosc]] * 0.01 *martianeum[[#This Row],[masa '[kg']]],0)</f>
        <v>0</v>
      </c>
    </row>
    <row r="657" spans="1:6" x14ac:dyDescent="0.25">
      <c r="A657" s="1">
        <v>49296</v>
      </c>
      <c r="B657" t="s">
        <v>17</v>
      </c>
      <c r="C657">
        <v>21.2</v>
      </c>
      <c r="D657">
        <v>16.100000000000001</v>
      </c>
      <c r="E657">
        <f>IF(D657&gt;=1,martianeum[[#This Row],[zawartosc]] * 0.01 *martianeum[[#This Row],[masa '[kg']]],0)</f>
        <v>3.4131999999999998</v>
      </c>
    </row>
    <row r="658" spans="1:6" x14ac:dyDescent="0.25">
      <c r="A658" s="1">
        <v>49297</v>
      </c>
      <c r="B658" t="s">
        <v>6</v>
      </c>
      <c r="C658">
        <v>26.3</v>
      </c>
      <c r="D658">
        <v>21.1</v>
      </c>
      <c r="E658">
        <f>IF(D658&gt;=1,martianeum[[#This Row],[zawartosc]] * 0.01 *martianeum[[#This Row],[masa '[kg']]],0)</f>
        <v>5.5493000000000006</v>
      </c>
    </row>
    <row r="659" spans="1:6" x14ac:dyDescent="0.25">
      <c r="A659" s="1">
        <v>49298</v>
      </c>
      <c r="B659" t="s">
        <v>6</v>
      </c>
      <c r="C659">
        <v>22.8</v>
      </c>
      <c r="D659">
        <v>22.7</v>
      </c>
      <c r="E659">
        <f>IF(D659&gt;=1,martianeum[[#This Row],[zawartosc]] * 0.01 *martianeum[[#This Row],[masa '[kg']]],0)</f>
        <v>5.1756000000000002</v>
      </c>
      <c r="F659">
        <f t="shared" ref="F659" si="92">SUM(C653:C659)</f>
        <v>146.19999999999999</v>
      </c>
    </row>
    <row r="660" spans="1:6" x14ac:dyDescent="0.25">
      <c r="A660" s="1">
        <v>49299</v>
      </c>
      <c r="B660" t="s">
        <v>17</v>
      </c>
      <c r="C660">
        <v>24</v>
      </c>
      <c r="D660">
        <v>11.5</v>
      </c>
      <c r="E660">
        <f>IF(D660&gt;=1,martianeum[[#This Row],[zawartosc]] * 0.01 *martianeum[[#This Row],[masa '[kg']]],0)</f>
        <v>2.7600000000000002</v>
      </c>
    </row>
    <row r="661" spans="1:6" x14ac:dyDescent="0.25">
      <c r="A661" s="1">
        <v>49300</v>
      </c>
      <c r="B661" t="s">
        <v>13</v>
      </c>
      <c r="C661">
        <v>16.8</v>
      </c>
      <c r="D661">
        <v>2</v>
      </c>
      <c r="E661">
        <f>IF(D661&gt;=1,martianeum[[#This Row],[zawartosc]] * 0.01 *martianeum[[#This Row],[masa '[kg']]],0)</f>
        <v>0.33600000000000002</v>
      </c>
    </row>
    <row r="662" spans="1:6" x14ac:dyDescent="0.25">
      <c r="A662" s="1">
        <v>49301</v>
      </c>
      <c r="B662" t="s">
        <v>12</v>
      </c>
      <c r="C662">
        <v>12.5</v>
      </c>
      <c r="D662">
        <v>4.7</v>
      </c>
      <c r="E662">
        <f>IF(D662&gt;=1,martianeum[[#This Row],[zawartosc]] * 0.01 *martianeum[[#This Row],[masa '[kg']]],0)</f>
        <v>0.58750000000000002</v>
      </c>
    </row>
    <row r="663" spans="1:6" x14ac:dyDescent="0.25">
      <c r="A663" s="1">
        <v>49302</v>
      </c>
      <c r="B663" t="s">
        <v>9</v>
      </c>
      <c r="C663">
        <v>15</v>
      </c>
      <c r="D663">
        <v>1.7</v>
      </c>
      <c r="E663">
        <f>IF(D663&gt;=1,martianeum[[#This Row],[zawartosc]] * 0.01 *martianeum[[#This Row],[masa '[kg']]],0)</f>
        <v>0.255</v>
      </c>
    </row>
    <row r="664" spans="1:6" x14ac:dyDescent="0.25">
      <c r="A664" s="1">
        <v>49303</v>
      </c>
      <c r="B664" t="s">
        <v>17</v>
      </c>
      <c r="C664">
        <v>16.2</v>
      </c>
      <c r="D664">
        <v>0</v>
      </c>
      <c r="E664">
        <f>IF(D664&gt;=1,martianeum[[#This Row],[zawartosc]] * 0.01 *martianeum[[#This Row],[masa '[kg']]],0)</f>
        <v>0</v>
      </c>
    </row>
    <row r="665" spans="1:6" x14ac:dyDescent="0.25">
      <c r="A665" s="1">
        <v>49304</v>
      </c>
      <c r="B665" t="s">
        <v>6</v>
      </c>
      <c r="C665">
        <v>29.3</v>
      </c>
      <c r="D665">
        <v>0</v>
      </c>
      <c r="E665">
        <f>IF(D665&gt;=1,martianeum[[#This Row],[zawartosc]] * 0.01 *martianeum[[#This Row],[masa '[kg']]],0)</f>
        <v>0</v>
      </c>
    </row>
    <row r="666" spans="1:6" x14ac:dyDescent="0.25">
      <c r="A666" s="1">
        <v>49305</v>
      </c>
      <c r="B666" t="s">
        <v>31</v>
      </c>
      <c r="C666">
        <v>26.4</v>
      </c>
      <c r="D666">
        <v>0.2</v>
      </c>
      <c r="E666">
        <f>IF(D666&gt;=1,martianeum[[#This Row],[zawartosc]] * 0.01 *martianeum[[#This Row],[masa '[kg']]],0)</f>
        <v>0</v>
      </c>
      <c r="F666">
        <f t="shared" ref="F666" si="93">SUM(C660:C666)</f>
        <v>140.19999999999999</v>
      </c>
    </row>
    <row r="667" spans="1:6" x14ac:dyDescent="0.25">
      <c r="A667" s="1">
        <v>49306</v>
      </c>
      <c r="B667" t="s">
        <v>17</v>
      </c>
      <c r="C667">
        <v>23</v>
      </c>
      <c r="D667">
        <v>0</v>
      </c>
      <c r="E667">
        <f>IF(D667&gt;=1,martianeum[[#This Row],[zawartosc]] * 0.01 *martianeum[[#This Row],[masa '[kg']]],0)</f>
        <v>0</v>
      </c>
    </row>
    <row r="668" spans="1:6" x14ac:dyDescent="0.25">
      <c r="A668" s="1">
        <v>49307</v>
      </c>
      <c r="B668" t="s">
        <v>10</v>
      </c>
      <c r="C668">
        <v>25.4</v>
      </c>
      <c r="D668">
        <v>1.2</v>
      </c>
      <c r="E668">
        <f>IF(D668&gt;=1,martianeum[[#This Row],[zawartosc]] * 0.01 *martianeum[[#This Row],[masa '[kg']]],0)</f>
        <v>0.30480000000000002</v>
      </c>
    </row>
    <row r="669" spans="1:6" x14ac:dyDescent="0.25">
      <c r="A669" s="1">
        <v>49308</v>
      </c>
      <c r="B669" t="s">
        <v>9</v>
      </c>
      <c r="C669">
        <v>24.5</v>
      </c>
      <c r="D669">
        <v>22.5</v>
      </c>
      <c r="E669">
        <f>IF(D669&gt;=1,martianeum[[#This Row],[zawartosc]] * 0.01 *martianeum[[#This Row],[masa '[kg']]],0)</f>
        <v>5.5125000000000002</v>
      </c>
    </row>
    <row r="670" spans="1:6" x14ac:dyDescent="0.25">
      <c r="A670" s="1">
        <v>49309</v>
      </c>
      <c r="B670" t="s">
        <v>18</v>
      </c>
      <c r="C670">
        <v>19</v>
      </c>
      <c r="D670">
        <v>18.899999999999999</v>
      </c>
      <c r="E670">
        <f>IF(D670&gt;=1,martianeum[[#This Row],[zawartosc]] * 0.01 *martianeum[[#This Row],[masa '[kg']]],0)</f>
        <v>3.5910000000000002</v>
      </c>
    </row>
    <row r="671" spans="1:6" x14ac:dyDescent="0.25">
      <c r="A671" s="1">
        <v>49310</v>
      </c>
      <c r="B671" t="s">
        <v>18</v>
      </c>
      <c r="C671">
        <v>10</v>
      </c>
      <c r="D671">
        <v>7.6</v>
      </c>
      <c r="E671">
        <f>IF(D671&gt;=1,martianeum[[#This Row],[zawartosc]] * 0.01 *martianeum[[#This Row],[masa '[kg']]],0)</f>
        <v>0.76</v>
      </c>
    </row>
    <row r="672" spans="1:6" x14ac:dyDescent="0.25">
      <c r="A672" s="1">
        <v>49311</v>
      </c>
      <c r="B672" t="s">
        <v>9</v>
      </c>
      <c r="C672">
        <v>10.4</v>
      </c>
      <c r="D672">
        <v>20.6</v>
      </c>
      <c r="E672">
        <f>IF(D672&gt;=1,martianeum[[#This Row],[zawartosc]] * 0.01 *martianeum[[#This Row],[masa '[kg']]],0)</f>
        <v>2.1424000000000003</v>
      </c>
    </row>
    <row r="673" spans="1:6" x14ac:dyDescent="0.25">
      <c r="A673" s="1">
        <v>49312</v>
      </c>
      <c r="B673" t="s">
        <v>20</v>
      </c>
      <c r="C673">
        <v>10.5</v>
      </c>
      <c r="D673">
        <v>0</v>
      </c>
      <c r="E673">
        <f>IF(D673&gt;=1,martianeum[[#This Row],[zawartosc]] * 0.01 *martianeum[[#This Row],[masa '[kg']]],0)</f>
        <v>0</v>
      </c>
      <c r="F673">
        <f t="shared" ref="F673" si="94">SUM(C667:C673)</f>
        <v>122.80000000000001</v>
      </c>
    </row>
    <row r="674" spans="1:6" x14ac:dyDescent="0.25">
      <c r="A674" s="1">
        <v>49313</v>
      </c>
      <c r="B674" t="s">
        <v>5</v>
      </c>
      <c r="C674">
        <v>12.1</v>
      </c>
      <c r="D674">
        <v>8.8000000000000007</v>
      </c>
      <c r="E674">
        <f>IF(D674&gt;=1,martianeum[[#This Row],[zawartosc]] * 0.01 *martianeum[[#This Row],[masa '[kg']]],0)</f>
        <v>1.0648</v>
      </c>
    </row>
    <row r="675" spans="1:6" x14ac:dyDescent="0.25">
      <c r="A675" s="1">
        <v>49314</v>
      </c>
      <c r="B675" t="s">
        <v>9</v>
      </c>
      <c r="C675">
        <v>20.5</v>
      </c>
      <c r="D675">
        <v>0</v>
      </c>
      <c r="E675">
        <f>IF(D675&gt;=1,martianeum[[#This Row],[zawartosc]] * 0.01 *martianeum[[#This Row],[masa '[kg']]],0)</f>
        <v>0</v>
      </c>
    </row>
    <row r="676" spans="1:6" x14ac:dyDescent="0.25">
      <c r="A676" s="1">
        <v>49315</v>
      </c>
      <c r="B676" t="s">
        <v>12</v>
      </c>
      <c r="C676">
        <v>13.1</v>
      </c>
      <c r="D676">
        <v>0</v>
      </c>
      <c r="E676">
        <f>IF(D676&gt;=1,martianeum[[#This Row],[zawartosc]] * 0.01 *martianeum[[#This Row],[masa '[kg']]],0)</f>
        <v>0</v>
      </c>
    </row>
    <row r="677" spans="1:6" x14ac:dyDescent="0.25">
      <c r="A677" s="1">
        <v>49316</v>
      </c>
      <c r="B677" t="s">
        <v>25</v>
      </c>
      <c r="C677">
        <v>29.8</v>
      </c>
      <c r="D677">
        <v>1.1000000000000001</v>
      </c>
      <c r="E677">
        <f>IF(D677&gt;=1,martianeum[[#This Row],[zawartosc]] * 0.01 *martianeum[[#This Row],[masa '[kg']]],0)</f>
        <v>0.32780000000000004</v>
      </c>
    </row>
    <row r="678" spans="1:6" x14ac:dyDescent="0.25">
      <c r="A678" s="1">
        <v>49317</v>
      </c>
      <c r="B678" t="s">
        <v>14</v>
      </c>
      <c r="C678">
        <v>17.100000000000001</v>
      </c>
      <c r="D678">
        <v>5.5</v>
      </c>
      <c r="E678">
        <f>IF(D678&gt;=1,martianeum[[#This Row],[zawartosc]] * 0.01 *martianeum[[#This Row],[masa '[kg']]],0)</f>
        <v>0.94050000000000011</v>
      </c>
    </row>
    <row r="679" spans="1:6" x14ac:dyDescent="0.25">
      <c r="A679" s="1">
        <v>49318</v>
      </c>
      <c r="B679" t="s">
        <v>13</v>
      </c>
      <c r="C679">
        <v>29.1</v>
      </c>
      <c r="D679">
        <v>0.4</v>
      </c>
      <c r="E679">
        <f>IF(D679&gt;=1,martianeum[[#This Row],[zawartosc]] * 0.01 *martianeum[[#This Row],[masa '[kg']]],0)</f>
        <v>0</v>
      </c>
    </row>
    <row r="680" spans="1:6" x14ac:dyDescent="0.25">
      <c r="A680" s="1">
        <v>49319</v>
      </c>
      <c r="B680" t="s">
        <v>17</v>
      </c>
      <c r="C680">
        <v>10.9</v>
      </c>
      <c r="D680">
        <v>0</v>
      </c>
      <c r="E680">
        <f>IF(D680&gt;=1,martianeum[[#This Row],[zawartosc]] * 0.01 *martianeum[[#This Row],[masa '[kg']]],0)</f>
        <v>0</v>
      </c>
      <c r="F680">
        <f t="shared" ref="F680" si="95">SUM(C674:C680)</f>
        <v>132.6</v>
      </c>
    </row>
    <row r="681" spans="1:6" x14ac:dyDescent="0.25">
      <c r="A681" s="1">
        <v>49320</v>
      </c>
      <c r="B681" t="s">
        <v>31</v>
      </c>
      <c r="C681">
        <v>27.4</v>
      </c>
      <c r="D681">
        <v>0.3</v>
      </c>
      <c r="E681">
        <f>IF(D681&gt;=1,martianeum[[#This Row],[zawartosc]] * 0.01 *martianeum[[#This Row],[masa '[kg']]],0)</f>
        <v>0</v>
      </c>
    </row>
    <row r="682" spans="1:6" x14ac:dyDescent="0.25">
      <c r="A682" s="1">
        <v>49321</v>
      </c>
      <c r="B682" t="s">
        <v>18</v>
      </c>
      <c r="C682">
        <v>16.3</v>
      </c>
      <c r="D682">
        <v>9.8000000000000007</v>
      </c>
      <c r="E682">
        <f>IF(D682&gt;=1,martianeum[[#This Row],[zawartosc]] * 0.01 *martianeum[[#This Row],[masa '[kg']]],0)</f>
        <v>1.5974000000000002</v>
      </c>
    </row>
    <row r="683" spans="1:6" x14ac:dyDescent="0.25">
      <c r="A683" s="1">
        <v>49322</v>
      </c>
      <c r="B683" t="s">
        <v>6</v>
      </c>
      <c r="C683">
        <v>14.7</v>
      </c>
      <c r="D683">
        <v>0</v>
      </c>
      <c r="E683">
        <f>IF(D683&gt;=1,martianeum[[#This Row],[zawartosc]] * 0.01 *martianeum[[#This Row],[masa '[kg']]],0)</f>
        <v>0</v>
      </c>
    </row>
    <row r="684" spans="1:6" x14ac:dyDescent="0.25">
      <c r="A684" s="1">
        <v>49323</v>
      </c>
      <c r="B684" t="s">
        <v>11</v>
      </c>
      <c r="C684">
        <v>17.2</v>
      </c>
      <c r="D684">
        <v>2</v>
      </c>
      <c r="E684">
        <f>IF(D684&gt;=1,martianeum[[#This Row],[zawartosc]] * 0.01 *martianeum[[#This Row],[masa '[kg']]],0)</f>
        <v>0.34399999999999997</v>
      </c>
    </row>
    <row r="685" spans="1:6" x14ac:dyDescent="0.25">
      <c r="A685" s="1">
        <v>49324</v>
      </c>
      <c r="B685" t="s">
        <v>14</v>
      </c>
      <c r="C685">
        <v>24.2</v>
      </c>
      <c r="D685">
        <v>9.9</v>
      </c>
      <c r="E685">
        <f>IF(D685&gt;=1,martianeum[[#This Row],[zawartosc]] * 0.01 *martianeum[[#This Row],[masa '[kg']]],0)</f>
        <v>2.3957999999999999</v>
      </c>
    </row>
    <row r="686" spans="1:6" x14ac:dyDescent="0.25">
      <c r="A686" s="1">
        <v>49325</v>
      </c>
      <c r="B686" t="s">
        <v>12</v>
      </c>
      <c r="C686">
        <v>22.3</v>
      </c>
      <c r="D686">
        <v>0</v>
      </c>
      <c r="E686">
        <f>IF(D686&gt;=1,martianeum[[#This Row],[zawartosc]] * 0.01 *martianeum[[#This Row],[masa '[kg']]],0)</f>
        <v>0</v>
      </c>
    </row>
    <row r="687" spans="1:6" x14ac:dyDescent="0.25">
      <c r="A687" s="1">
        <v>49326</v>
      </c>
      <c r="B687" t="s">
        <v>28</v>
      </c>
      <c r="C687">
        <v>26.7</v>
      </c>
      <c r="D687">
        <v>0.6</v>
      </c>
      <c r="E687">
        <f>IF(D687&gt;=1,martianeum[[#This Row],[zawartosc]] * 0.01 *martianeum[[#This Row],[masa '[kg']]],0)</f>
        <v>0</v>
      </c>
      <c r="F687">
        <f t="shared" ref="F687" si="96">SUM(C681:C687)</f>
        <v>148.80000000000001</v>
      </c>
    </row>
    <row r="688" spans="1:6" x14ac:dyDescent="0.25">
      <c r="A688" s="1">
        <v>49327</v>
      </c>
      <c r="B688" t="s">
        <v>11</v>
      </c>
      <c r="C688">
        <v>10.9</v>
      </c>
      <c r="D688">
        <v>3.8</v>
      </c>
      <c r="E688">
        <f>IF(D688&gt;=1,martianeum[[#This Row],[zawartosc]] * 0.01 *martianeum[[#This Row],[masa '[kg']]],0)</f>
        <v>0.41420000000000001</v>
      </c>
    </row>
    <row r="689" spans="1:6" x14ac:dyDescent="0.25">
      <c r="A689" s="1">
        <v>49328</v>
      </c>
      <c r="B689" t="s">
        <v>20</v>
      </c>
      <c r="C689">
        <v>23.7</v>
      </c>
      <c r="D689">
        <v>0</v>
      </c>
      <c r="E689">
        <f>IF(D689&gt;=1,martianeum[[#This Row],[zawartosc]] * 0.01 *martianeum[[#This Row],[masa '[kg']]],0)</f>
        <v>0</v>
      </c>
    </row>
    <row r="690" spans="1:6" x14ac:dyDescent="0.25">
      <c r="A690" s="1">
        <v>49329</v>
      </c>
      <c r="B690" t="s">
        <v>9</v>
      </c>
      <c r="C690">
        <v>16</v>
      </c>
      <c r="D690">
        <v>22.3</v>
      </c>
      <c r="E690">
        <f>IF(D690&gt;=1,martianeum[[#This Row],[zawartosc]] * 0.01 *martianeum[[#This Row],[masa '[kg']]],0)</f>
        <v>3.5680000000000001</v>
      </c>
    </row>
    <row r="691" spans="1:6" x14ac:dyDescent="0.25">
      <c r="A691" s="1">
        <v>49330</v>
      </c>
      <c r="B691" t="s">
        <v>9</v>
      </c>
      <c r="C691">
        <v>19.399999999999999</v>
      </c>
      <c r="D691">
        <v>41.6</v>
      </c>
      <c r="E691">
        <f>IF(D691&gt;=1,martianeum[[#This Row],[zawartosc]] * 0.01 *martianeum[[#This Row],[masa '[kg']]],0)</f>
        <v>8.0703999999999994</v>
      </c>
    </row>
    <row r="692" spans="1:6" x14ac:dyDescent="0.25">
      <c r="A692" s="1">
        <v>49331</v>
      </c>
      <c r="B692" t="s">
        <v>10</v>
      </c>
      <c r="C692">
        <v>26.7</v>
      </c>
      <c r="D692">
        <v>10</v>
      </c>
      <c r="E692">
        <f>IF(D692&gt;=1,martianeum[[#This Row],[zawartosc]] * 0.01 *martianeum[[#This Row],[masa '[kg']]],0)</f>
        <v>2.67</v>
      </c>
    </row>
    <row r="693" spans="1:6" x14ac:dyDescent="0.25">
      <c r="A693" s="1">
        <v>49332</v>
      </c>
      <c r="B693" t="s">
        <v>18</v>
      </c>
      <c r="C693">
        <v>20.8</v>
      </c>
      <c r="D693">
        <v>0</v>
      </c>
      <c r="E693">
        <f>IF(D693&gt;=1,martianeum[[#This Row],[zawartosc]] * 0.01 *martianeum[[#This Row],[masa '[kg']]],0)</f>
        <v>0</v>
      </c>
    </row>
    <row r="694" spans="1:6" x14ac:dyDescent="0.25">
      <c r="A694" s="1">
        <v>49333</v>
      </c>
      <c r="B694" t="s">
        <v>9</v>
      </c>
      <c r="C694">
        <v>25.6</v>
      </c>
      <c r="D694">
        <v>0</v>
      </c>
      <c r="E694">
        <f>IF(D694&gt;=1,martianeum[[#This Row],[zawartosc]] * 0.01 *martianeum[[#This Row],[masa '[kg']]],0)</f>
        <v>0</v>
      </c>
      <c r="F694">
        <f t="shared" ref="F694" si="97">SUM(C688:C694)</f>
        <v>143.1</v>
      </c>
    </row>
    <row r="695" spans="1:6" x14ac:dyDescent="0.25">
      <c r="A695" s="1">
        <v>49334</v>
      </c>
      <c r="B695" t="s">
        <v>17</v>
      </c>
      <c r="C695">
        <v>18.3</v>
      </c>
      <c r="D695">
        <v>0.5</v>
      </c>
      <c r="E695">
        <f>IF(D695&gt;=1,martianeum[[#This Row],[zawartosc]] * 0.01 *martianeum[[#This Row],[masa '[kg']]],0)</f>
        <v>0</v>
      </c>
    </row>
    <row r="696" spans="1:6" x14ac:dyDescent="0.25">
      <c r="A696" s="1">
        <v>49335</v>
      </c>
      <c r="B696" t="s">
        <v>8</v>
      </c>
      <c r="C696">
        <v>27.4</v>
      </c>
      <c r="D696">
        <v>4.2</v>
      </c>
      <c r="E696">
        <f>IF(D696&gt;=1,martianeum[[#This Row],[zawartosc]] * 0.01 *martianeum[[#This Row],[masa '[kg']]],0)</f>
        <v>1.1508</v>
      </c>
    </row>
    <row r="697" spans="1:6" x14ac:dyDescent="0.25">
      <c r="A697" s="1">
        <v>49336</v>
      </c>
      <c r="B697" t="s">
        <v>22</v>
      </c>
      <c r="C697">
        <v>16.100000000000001</v>
      </c>
      <c r="D697">
        <v>3.4</v>
      </c>
      <c r="E697">
        <f>IF(D697&gt;=1,martianeum[[#This Row],[zawartosc]] * 0.01 *martianeum[[#This Row],[masa '[kg']]],0)</f>
        <v>0.54740000000000011</v>
      </c>
    </row>
    <row r="698" spans="1:6" x14ac:dyDescent="0.25">
      <c r="A698" s="1">
        <v>49337</v>
      </c>
      <c r="B698" t="s">
        <v>13</v>
      </c>
      <c r="C698">
        <v>27.5</v>
      </c>
      <c r="D698">
        <v>8</v>
      </c>
      <c r="E698">
        <f>IF(D698&gt;=1,martianeum[[#This Row],[zawartosc]] * 0.01 *martianeum[[#This Row],[masa '[kg']]],0)</f>
        <v>2.2000000000000002</v>
      </c>
    </row>
    <row r="699" spans="1:6" x14ac:dyDescent="0.25">
      <c r="A699" s="1">
        <v>49338</v>
      </c>
      <c r="B699" t="s">
        <v>8</v>
      </c>
      <c r="C699">
        <v>28.4</v>
      </c>
      <c r="D699">
        <v>10.199999999999999</v>
      </c>
      <c r="E699">
        <f>IF(D699&gt;=1,martianeum[[#This Row],[zawartosc]] * 0.01 *martianeum[[#This Row],[masa '[kg']]],0)</f>
        <v>2.8967999999999998</v>
      </c>
    </row>
    <row r="700" spans="1:6" x14ac:dyDescent="0.25">
      <c r="A700" s="1">
        <v>49339</v>
      </c>
      <c r="B700" t="s">
        <v>12</v>
      </c>
      <c r="C700">
        <v>16.100000000000001</v>
      </c>
      <c r="D700">
        <v>4</v>
      </c>
      <c r="E700">
        <f>IF(D700&gt;=1,martianeum[[#This Row],[zawartosc]] * 0.01 *martianeum[[#This Row],[masa '[kg']]],0)</f>
        <v>0.64400000000000002</v>
      </c>
    </row>
    <row r="701" spans="1:6" x14ac:dyDescent="0.25">
      <c r="A701" s="1">
        <v>49340</v>
      </c>
      <c r="B701" t="s">
        <v>22</v>
      </c>
      <c r="C701">
        <v>28.4</v>
      </c>
      <c r="D701">
        <v>2.6</v>
      </c>
      <c r="E701">
        <f>IF(D701&gt;=1,martianeum[[#This Row],[zawartosc]] * 0.01 *martianeum[[#This Row],[masa '[kg']]],0)</f>
        <v>0.73840000000000006</v>
      </c>
      <c r="F701">
        <f t="shared" ref="F701" si="98">SUM(C695:C701)</f>
        <v>162.20000000000002</v>
      </c>
    </row>
    <row r="702" spans="1:6" x14ac:dyDescent="0.25">
      <c r="A702" s="1">
        <v>49341</v>
      </c>
      <c r="B702" t="s">
        <v>13</v>
      </c>
      <c r="C702">
        <v>29.3</v>
      </c>
      <c r="D702">
        <v>0</v>
      </c>
      <c r="E702">
        <f>IF(D702&gt;=1,martianeum[[#This Row],[zawartosc]] * 0.01 *martianeum[[#This Row],[masa '[kg']]],0)</f>
        <v>0</v>
      </c>
    </row>
    <row r="703" spans="1:6" x14ac:dyDescent="0.25">
      <c r="A703" s="1">
        <v>49342</v>
      </c>
      <c r="B703" t="s">
        <v>12</v>
      </c>
      <c r="C703">
        <v>19.7</v>
      </c>
      <c r="D703">
        <v>16.2</v>
      </c>
      <c r="E703">
        <f>IF(D703&gt;=1,martianeum[[#This Row],[zawartosc]] * 0.01 *martianeum[[#This Row],[masa '[kg']]],0)</f>
        <v>3.1913999999999998</v>
      </c>
    </row>
    <row r="704" spans="1:6" x14ac:dyDescent="0.25">
      <c r="A704" s="1">
        <v>49343</v>
      </c>
      <c r="B704" t="s">
        <v>30</v>
      </c>
      <c r="C704">
        <v>11.5</v>
      </c>
      <c r="D704">
        <v>0.3</v>
      </c>
      <c r="E704">
        <f>IF(D704&gt;=1,martianeum[[#This Row],[zawartosc]] * 0.01 *martianeum[[#This Row],[masa '[kg']]],0)</f>
        <v>0</v>
      </c>
    </row>
    <row r="705" spans="1:6" x14ac:dyDescent="0.25">
      <c r="A705" s="1">
        <v>49344</v>
      </c>
      <c r="B705" t="s">
        <v>18</v>
      </c>
      <c r="C705">
        <v>19.5</v>
      </c>
      <c r="D705">
        <v>0</v>
      </c>
      <c r="E705">
        <f>IF(D705&gt;=1,martianeum[[#This Row],[zawartosc]] * 0.01 *martianeum[[#This Row],[masa '[kg']]],0)</f>
        <v>0</v>
      </c>
    </row>
    <row r="706" spans="1:6" x14ac:dyDescent="0.25">
      <c r="A706" s="1">
        <v>49345</v>
      </c>
      <c r="B706" t="s">
        <v>19</v>
      </c>
      <c r="C706">
        <v>22.7</v>
      </c>
      <c r="D706">
        <v>0.7</v>
      </c>
      <c r="E706">
        <f>IF(D706&gt;=1,martianeum[[#This Row],[zawartosc]] * 0.01 *martianeum[[#This Row],[masa '[kg']]],0)</f>
        <v>0</v>
      </c>
    </row>
    <row r="707" spans="1:6" x14ac:dyDescent="0.25">
      <c r="A707" s="1">
        <v>49346</v>
      </c>
      <c r="B707" t="s">
        <v>6</v>
      </c>
      <c r="C707">
        <v>19.7</v>
      </c>
      <c r="D707">
        <v>7.3</v>
      </c>
      <c r="E707">
        <f>IF(D707&gt;=1,martianeum[[#This Row],[zawartosc]] * 0.01 *martianeum[[#This Row],[masa '[kg']]],0)</f>
        <v>1.4380999999999999</v>
      </c>
    </row>
    <row r="708" spans="1:6" x14ac:dyDescent="0.25">
      <c r="A708" s="1">
        <v>49347</v>
      </c>
      <c r="B708" t="s">
        <v>25</v>
      </c>
      <c r="C708">
        <v>19.399999999999999</v>
      </c>
      <c r="D708">
        <v>0.4</v>
      </c>
      <c r="E708">
        <f>IF(D708&gt;=1,martianeum[[#This Row],[zawartosc]] * 0.01 *martianeum[[#This Row],[masa '[kg']]],0)</f>
        <v>0</v>
      </c>
      <c r="F708">
        <f t="shared" ref="F708" si="99">SUM(C702:C708)</f>
        <v>141.80000000000001</v>
      </c>
    </row>
    <row r="709" spans="1:6" x14ac:dyDescent="0.25">
      <c r="A709" s="1">
        <v>49348</v>
      </c>
      <c r="B709" t="s">
        <v>22</v>
      </c>
      <c r="C709">
        <v>13.8</v>
      </c>
      <c r="D709">
        <v>1.1000000000000001</v>
      </c>
      <c r="E709">
        <f>IF(D709&gt;=1,martianeum[[#This Row],[zawartosc]] * 0.01 *martianeum[[#This Row],[masa '[kg']]],0)</f>
        <v>0.15180000000000002</v>
      </c>
    </row>
    <row r="710" spans="1:6" x14ac:dyDescent="0.25">
      <c r="A710" s="1">
        <v>49349</v>
      </c>
      <c r="B710" t="s">
        <v>12</v>
      </c>
      <c r="C710">
        <v>19.600000000000001</v>
      </c>
      <c r="D710">
        <v>2.2999999999999998</v>
      </c>
      <c r="E710">
        <f>IF(D710&gt;=1,martianeum[[#This Row],[zawartosc]] * 0.01 *martianeum[[#This Row],[masa '[kg']]],0)</f>
        <v>0.45080000000000003</v>
      </c>
    </row>
    <row r="711" spans="1:6" x14ac:dyDescent="0.25">
      <c r="A711" s="1">
        <v>49350</v>
      </c>
      <c r="B711" t="s">
        <v>18</v>
      </c>
      <c r="C711">
        <v>22.6</v>
      </c>
      <c r="D711">
        <v>13.3</v>
      </c>
      <c r="E711">
        <f>IF(D711&gt;=1,martianeum[[#This Row],[zawartosc]] * 0.01 *martianeum[[#This Row],[masa '[kg']]],0)</f>
        <v>3.0058000000000002</v>
      </c>
    </row>
    <row r="712" spans="1:6" x14ac:dyDescent="0.25">
      <c r="A712" s="1">
        <v>49351</v>
      </c>
      <c r="B712" t="s">
        <v>5</v>
      </c>
      <c r="C712">
        <v>18.2</v>
      </c>
      <c r="D712">
        <v>7.6</v>
      </c>
      <c r="E712">
        <f>IF(D712&gt;=1,martianeum[[#This Row],[zawartosc]] * 0.01 *martianeum[[#This Row],[masa '[kg']]],0)</f>
        <v>1.3832</v>
      </c>
    </row>
    <row r="713" spans="1:6" x14ac:dyDescent="0.25">
      <c r="A713" s="1">
        <v>49352</v>
      </c>
      <c r="B713" t="s">
        <v>18</v>
      </c>
      <c r="C713">
        <v>27.3</v>
      </c>
      <c r="D713">
        <v>38.4</v>
      </c>
      <c r="E713">
        <f>IF(D713&gt;=1,martianeum[[#This Row],[zawartosc]] * 0.01 *martianeum[[#This Row],[masa '[kg']]],0)</f>
        <v>10.4832</v>
      </c>
    </row>
    <row r="714" spans="1:6" x14ac:dyDescent="0.25">
      <c r="A714" s="1">
        <v>49353</v>
      </c>
      <c r="B714" t="s">
        <v>18</v>
      </c>
      <c r="C714">
        <v>14.7</v>
      </c>
      <c r="D714">
        <v>31.8</v>
      </c>
      <c r="E714">
        <f>IF(D714&gt;=1,martianeum[[#This Row],[zawartosc]] * 0.01 *martianeum[[#This Row],[masa '[kg']]],0)</f>
        <v>4.6745999999999999</v>
      </c>
    </row>
    <row r="715" spans="1:6" x14ac:dyDescent="0.25">
      <c r="A715" s="1">
        <v>49354</v>
      </c>
      <c r="B715" t="s">
        <v>21</v>
      </c>
      <c r="C715">
        <v>20.6</v>
      </c>
      <c r="D715">
        <v>5.9</v>
      </c>
      <c r="E715">
        <f>IF(D715&gt;=1,martianeum[[#This Row],[zawartosc]] * 0.01 *martianeum[[#This Row],[masa '[kg']]],0)</f>
        <v>1.2154000000000003</v>
      </c>
      <c r="F715">
        <f t="shared" ref="F715" si="100">SUM(C709:C715)</f>
        <v>136.80000000000001</v>
      </c>
    </row>
    <row r="716" spans="1:6" x14ac:dyDescent="0.25">
      <c r="A716" s="1">
        <v>49355</v>
      </c>
      <c r="B716" t="s">
        <v>9</v>
      </c>
      <c r="C716">
        <v>12.6</v>
      </c>
      <c r="D716">
        <v>14.4</v>
      </c>
      <c r="E716">
        <f>IF(D716&gt;=1,martianeum[[#This Row],[zawartosc]] * 0.01 *martianeum[[#This Row],[masa '[kg']]],0)</f>
        <v>1.8144000000000002</v>
      </c>
    </row>
    <row r="717" spans="1:6" x14ac:dyDescent="0.25">
      <c r="A717" s="1">
        <v>49356</v>
      </c>
      <c r="B717" t="s">
        <v>10</v>
      </c>
      <c r="C717">
        <v>14.5</v>
      </c>
      <c r="D717">
        <v>0</v>
      </c>
      <c r="E717">
        <f>IF(D717&gt;=1,martianeum[[#This Row],[zawartosc]] * 0.01 *martianeum[[#This Row],[masa '[kg']]],0)</f>
        <v>0</v>
      </c>
    </row>
    <row r="718" spans="1:6" x14ac:dyDescent="0.25">
      <c r="A718" s="1">
        <v>49357</v>
      </c>
      <c r="B718" t="s">
        <v>9</v>
      </c>
      <c r="C718">
        <v>24.7</v>
      </c>
      <c r="D718">
        <v>36</v>
      </c>
      <c r="E718">
        <f>IF(D718&gt;=1,martianeum[[#This Row],[zawartosc]] * 0.01 *martianeum[[#This Row],[masa '[kg']]],0)</f>
        <v>8.8919999999999995</v>
      </c>
    </row>
    <row r="719" spans="1:6" x14ac:dyDescent="0.25">
      <c r="A719" s="1">
        <v>49358</v>
      </c>
      <c r="B719" t="s">
        <v>18</v>
      </c>
      <c r="C719">
        <v>17.899999999999999</v>
      </c>
      <c r="D719">
        <v>24.9</v>
      </c>
      <c r="E719">
        <f>IF(D719&gt;=1,martianeum[[#This Row],[zawartosc]] * 0.01 *martianeum[[#This Row],[masa '[kg']]],0)</f>
        <v>4.4570999999999996</v>
      </c>
    </row>
    <row r="720" spans="1:6" x14ac:dyDescent="0.25">
      <c r="A720" s="1">
        <v>49359</v>
      </c>
      <c r="B720" t="s">
        <v>13</v>
      </c>
      <c r="C720">
        <v>20.2</v>
      </c>
      <c r="D720">
        <v>2.9</v>
      </c>
      <c r="E720">
        <f>IF(D720&gt;=1,martianeum[[#This Row],[zawartosc]] * 0.01 *martianeum[[#This Row],[masa '[kg']]],0)</f>
        <v>0.58579999999999999</v>
      </c>
    </row>
    <row r="721" spans="1:6" x14ac:dyDescent="0.25">
      <c r="A721" s="1">
        <v>49360</v>
      </c>
      <c r="B721" t="s">
        <v>7</v>
      </c>
      <c r="C721">
        <v>13.4</v>
      </c>
      <c r="D721">
        <v>1.7</v>
      </c>
      <c r="E721">
        <f>IF(D721&gt;=1,martianeum[[#This Row],[zawartosc]] * 0.01 *martianeum[[#This Row],[masa '[kg']]],0)</f>
        <v>0.22780000000000003</v>
      </c>
    </row>
    <row r="722" spans="1:6" x14ac:dyDescent="0.25">
      <c r="A722" s="1">
        <v>49361</v>
      </c>
      <c r="B722" t="s">
        <v>16</v>
      </c>
      <c r="C722">
        <v>12.2</v>
      </c>
      <c r="D722">
        <v>6</v>
      </c>
      <c r="E722">
        <f>IF(D722&gt;=1,martianeum[[#This Row],[zawartosc]] * 0.01 *martianeum[[#This Row],[masa '[kg']]],0)</f>
        <v>0.73199999999999998</v>
      </c>
      <c r="F722">
        <f t="shared" ref="F722" si="101">SUM(C716:C722)</f>
        <v>115.5</v>
      </c>
    </row>
    <row r="723" spans="1:6" x14ac:dyDescent="0.25">
      <c r="A723" s="1">
        <v>49362</v>
      </c>
      <c r="B723" t="s">
        <v>29</v>
      </c>
      <c r="C723">
        <v>29.8</v>
      </c>
      <c r="D723">
        <v>0.4</v>
      </c>
      <c r="E723">
        <f>IF(D723&gt;=1,martianeum[[#This Row],[zawartosc]] * 0.01 *martianeum[[#This Row],[masa '[kg']]],0)</f>
        <v>0</v>
      </c>
    </row>
    <row r="724" spans="1:6" x14ac:dyDescent="0.25">
      <c r="A724" s="1">
        <v>49363</v>
      </c>
      <c r="B724" t="s">
        <v>18</v>
      </c>
      <c r="C724">
        <v>16.100000000000001</v>
      </c>
      <c r="D724">
        <v>28.7</v>
      </c>
      <c r="E724">
        <f>IF(D724&gt;=1,martianeum[[#This Row],[zawartosc]] * 0.01 *martianeum[[#This Row],[masa '[kg']]],0)</f>
        <v>4.6207000000000003</v>
      </c>
    </row>
    <row r="725" spans="1:6" x14ac:dyDescent="0.25">
      <c r="A725" s="1">
        <v>49364</v>
      </c>
      <c r="B725" t="s">
        <v>9</v>
      </c>
      <c r="C725">
        <v>18.8</v>
      </c>
      <c r="D725">
        <v>0</v>
      </c>
      <c r="E725">
        <f>IF(D725&gt;=1,martianeum[[#This Row],[zawartosc]] * 0.01 *martianeum[[#This Row],[masa '[kg']]],0)</f>
        <v>0</v>
      </c>
    </row>
    <row r="726" spans="1:6" x14ac:dyDescent="0.25">
      <c r="A726" s="1">
        <v>49365</v>
      </c>
      <c r="B726" t="s">
        <v>14</v>
      </c>
      <c r="C726">
        <v>17.100000000000001</v>
      </c>
      <c r="D726">
        <v>0</v>
      </c>
      <c r="E726">
        <f>IF(D726&gt;=1,martianeum[[#This Row],[zawartosc]] * 0.01 *martianeum[[#This Row],[masa '[kg']]],0)</f>
        <v>0</v>
      </c>
    </row>
    <row r="727" spans="1:6" x14ac:dyDescent="0.25">
      <c r="A727" s="1">
        <v>49366</v>
      </c>
      <c r="B727" t="s">
        <v>8</v>
      </c>
      <c r="C727">
        <v>11.7</v>
      </c>
      <c r="D727">
        <v>7.7</v>
      </c>
      <c r="E727">
        <f>IF(D727&gt;=1,martianeum[[#This Row],[zawartosc]] * 0.01 *martianeum[[#This Row],[masa '[kg']]],0)</f>
        <v>0.90089999999999992</v>
      </c>
    </row>
    <row r="728" spans="1:6" x14ac:dyDescent="0.25">
      <c r="A728" s="1">
        <v>49367</v>
      </c>
      <c r="B728" t="s">
        <v>17</v>
      </c>
      <c r="C728">
        <v>25.4</v>
      </c>
      <c r="D728">
        <v>14.2</v>
      </c>
      <c r="E728">
        <f>IF(D728&gt;=1,martianeum[[#This Row],[zawartosc]] * 0.01 *martianeum[[#This Row],[masa '[kg']]],0)</f>
        <v>3.6067999999999993</v>
      </c>
    </row>
    <row r="729" spans="1:6" x14ac:dyDescent="0.25">
      <c r="A729" s="1">
        <v>49368</v>
      </c>
      <c r="B729" t="s">
        <v>21</v>
      </c>
      <c r="C729">
        <v>12.6</v>
      </c>
      <c r="D729">
        <v>9</v>
      </c>
      <c r="E729">
        <f>IF(D729&gt;=1,martianeum[[#This Row],[zawartosc]] * 0.01 *martianeum[[#This Row],[masa '[kg']]],0)</f>
        <v>1.1339999999999999</v>
      </c>
      <c r="F729">
        <f t="shared" ref="F729" si="102">SUM(C723:C729)</f>
        <v>131.5</v>
      </c>
    </row>
    <row r="730" spans="1:6" x14ac:dyDescent="0.25">
      <c r="A730" s="1">
        <v>49369</v>
      </c>
      <c r="B730" t="s">
        <v>9</v>
      </c>
      <c r="C730">
        <v>15.8</v>
      </c>
      <c r="D730">
        <v>0</v>
      </c>
      <c r="E730">
        <f>IF(D730&gt;=1,martianeum[[#This Row],[zawartosc]] * 0.01 *martianeum[[#This Row],[masa '[kg']]],0)</f>
        <v>0</v>
      </c>
    </row>
    <row r="731" spans="1:6" x14ac:dyDescent="0.25">
      <c r="A731" s="1">
        <v>49370</v>
      </c>
      <c r="B731" t="s">
        <v>17</v>
      </c>
      <c r="C731">
        <v>24.7</v>
      </c>
      <c r="D731">
        <v>13.9</v>
      </c>
      <c r="E731">
        <f>IF(D731&gt;=1,martianeum[[#This Row],[zawartosc]] * 0.01 *martianeum[[#This Row],[masa '[kg']]],0)</f>
        <v>3.4333</v>
      </c>
    </row>
    <row r="732" spans="1:6" x14ac:dyDescent="0.25">
      <c r="A732" s="1">
        <v>49371</v>
      </c>
      <c r="B732" t="s">
        <v>26</v>
      </c>
      <c r="C732">
        <v>26.7</v>
      </c>
      <c r="D732">
        <v>0</v>
      </c>
      <c r="E732">
        <f>IF(D732&gt;=1,martianeum[[#This Row],[zawartosc]] * 0.01 *martianeum[[#This Row],[masa '[kg']]],0)</f>
        <v>0</v>
      </c>
    </row>
    <row r="733" spans="1:6" x14ac:dyDescent="0.25">
      <c r="A733" s="1">
        <v>49372</v>
      </c>
      <c r="B733" t="s">
        <v>18</v>
      </c>
      <c r="C733">
        <v>21.2</v>
      </c>
      <c r="D733">
        <v>5.3</v>
      </c>
      <c r="E733">
        <f>IF(D733&gt;=1,martianeum[[#This Row],[zawartosc]] * 0.01 *martianeum[[#This Row],[masa '[kg']]],0)</f>
        <v>1.1235999999999999</v>
      </c>
    </row>
    <row r="734" spans="1:6" x14ac:dyDescent="0.25">
      <c r="A734" s="1">
        <v>49373</v>
      </c>
      <c r="B734" t="s">
        <v>5</v>
      </c>
      <c r="C734">
        <v>10.4</v>
      </c>
      <c r="D734">
        <v>8.6</v>
      </c>
      <c r="E734">
        <f>IF(D734&gt;=1,martianeum[[#This Row],[zawartosc]] * 0.01 *martianeum[[#This Row],[masa '[kg']]],0)</f>
        <v>0.89439999999999997</v>
      </c>
    </row>
    <row r="735" spans="1:6" x14ac:dyDescent="0.25">
      <c r="A735" s="1">
        <v>49374</v>
      </c>
      <c r="B735" t="s">
        <v>25</v>
      </c>
      <c r="C735">
        <v>25.1</v>
      </c>
      <c r="D735">
        <v>3.3</v>
      </c>
      <c r="E735">
        <f>IF(D735&gt;=1,martianeum[[#This Row],[zawartosc]] * 0.01 *martianeum[[#This Row],[masa '[kg']]],0)</f>
        <v>0.82830000000000004</v>
      </c>
    </row>
    <row r="736" spans="1:6" x14ac:dyDescent="0.25">
      <c r="A736" s="1">
        <v>49375</v>
      </c>
      <c r="B736" t="s">
        <v>18</v>
      </c>
      <c r="C736">
        <v>27.8</v>
      </c>
      <c r="D736">
        <v>20.9</v>
      </c>
      <c r="E736">
        <f>IF(D736&gt;=1,martianeum[[#This Row],[zawartosc]] * 0.01 *martianeum[[#This Row],[masa '[kg']]],0)</f>
        <v>5.8102</v>
      </c>
      <c r="F736">
        <f t="shared" ref="F736" si="103">SUM(C730:C736)</f>
        <v>151.70000000000002</v>
      </c>
    </row>
    <row r="737" spans="1:6" x14ac:dyDescent="0.25">
      <c r="A737" s="1">
        <v>49376</v>
      </c>
      <c r="B737" t="s">
        <v>10</v>
      </c>
      <c r="C737">
        <v>26.1</v>
      </c>
      <c r="D737">
        <v>0</v>
      </c>
      <c r="E737">
        <f>IF(D737&gt;=1,martianeum[[#This Row],[zawartosc]] * 0.01 *martianeum[[#This Row],[masa '[kg']]],0)</f>
        <v>0</v>
      </c>
    </row>
    <row r="738" spans="1:6" x14ac:dyDescent="0.25">
      <c r="A738" s="1">
        <v>49377</v>
      </c>
      <c r="B738" t="s">
        <v>12</v>
      </c>
      <c r="C738">
        <v>18.3</v>
      </c>
      <c r="D738">
        <v>7.8</v>
      </c>
      <c r="E738">
        <f>IF(D738&gt;=1,martianeum[[#This Row],[zawartosc]] * 0.01 *martianeum[[#This Row],[masa '[kg']]],0)</f>
        <v>1.4274</v>
      </c>
    </row>
    <row r="739" spans="1:6" x14ac:dyDescent="0.25">
      <c r="A739" s="1">
        <v>49378</v>
      </c>
      <c r="B739" t="s">
        <v>10</v>
      </c>
      <c r="C739">
        <v>16.3</v>
      </c>
      <c r="D739">
        <v>0</v>
      </c>
      <c r="E739">
        <f>IF(D739&gt;=1,martianeum[[#This Row],[zawartosc]] * 0.01 *martianeum[[#This Row],[masa '[kg']]],0)</f>
        <v>0</v>
      </c>
    </row>
    <row r="740" spans="1:6" x14ac:dyDescent="0.25">
      <c r="A740" s="1">
        <v>49379</v>
      </c>
      <c r="B740" t="s">
        <v>10</v>
      </c>
      <c r="C740">
        <v>17.2</v>
      </c>
      <c r="D740">
        <v>12.5</v>
      </c>
      <c r="E740">
        <f>IF(D740&gt;=1,martianeum[[#This Row],[zawartosc]] * 0.01 *martianeum[[#This Row],[masa '[kg']]],0)</f>
        <v>2.15</v>
      </c>
    </row>
    <row r="741" spans="1:6" x14ac:dyDescent="0.25">
      <c r="A741" s="1">
        <v>49380</v>
      </c>
      <c r="B741" t="s">
        <v>23</v>
      </c>
      <c r="C741">
        <v>22.1</v>
      </c>
      <c r="D741">
        <v>3.7</v>
      </c>
      <c r="E741">
        <f>IF(D741&gt;=1,martianeum[[#This Row],[zawartosc]] * 0.01 *martianeum[[#This Row],[masa '[kg']]],0)</f>
        <v>0.8177000000000002</v>
      </c>
    </row>
    <row r="742" spans="1:6" x14ac:dyDescent="0.25">
      <c r="A742" s="1">
        <v>49381</v>
      </c>
      <c r="B742" t="s">
        <v>22</v>
      </c>
      <c r="C742">
        <v>18.8</v>
      </c>
      <c r="D742">
        <v>0</v>
      </c>
      <c r="E742">
        <f>IF(D742&gt;=1,martianeum[[#This Row],[zawartosc]] * 0.01 *martianeum[[#This Row],[masa '[kg']]],0)</f>
        <v>0</v>
      </c>
    </row>
    <row r="743" spans="1:6" x14ac:dyDescent="0.25">
      <c r="A743" s="1">
        <v>49382</v>
      </c>
      <c r="B743" t="s">
        <v>17</v>
      </c>
      <c r="C743">
        <v>12.3</v>
      </c>
      <c r="D743">
        <v>7.1</v>
      </c>
      <c r="E743">
        <f>IF(D743&gt;=1,martianeum[[#This Row],[zawartosc]] * 0.01 *martianeum[[#This Row],[masa '[kg']]],0)</f>
        <v>0.87329999999999997</v>
      </c>
      <c r="F743">
        <f t="shared" ref="F743" si="104">SUM(C737:C743)</f>
        <v>131.1</v>
      </c>
    </row>
    <row r="744" spans="1:6" x14ac:dyDescent="0.25">
      <c r="A744" s="1">
        <v>49383</v>
      </c>
      <c r="B744" t="s">
        <v>9</v>
      </c>
      <c r="C744">
        <v>27.5</v>
      </c>
      <c r="D744">
        <v>34.299999999999997</v>
      </c>
      <c r="E744">
        <f>IF(D744&gt;=1,martianeum[[#This Row],[zawartosc]] * 0.01 *martianeum[[#This Row],[masa '[kg']]],0)</f>
        <v>9.4324999999999992</v>
      </c>
    </row>
    <row r="745" spans="1:6" x14ac:dyDescent="0.25">
      <c r="A745" s="1">
        <v>49384</v>
      </c>
      <c r="B745" t="s">
        <v>17</v>
      </c>
      <c r="C745">
        <v>23.1</v>
      </c>
      <c r="D745">
        <v>0</v>
      </c>
      <c r="E745">
        <f>IF(D745&gt;=1,martianeum[[#This Row],[zawartosc]] * 0.01 *martianeum[[#This Row],[masa '[kg']]],0)</f>
        <v>0</v>
      </c>
    </row>
    <row r="746" spans="1:6" x14ac:dyDescent="0.25">
      <c r="A746" s="1">
        <v>49385</v>
      </c>
      <c r="B746" t="s">
        <v>10</v>
      </c>
      <c r="C746">
        <v>21.3</v>
      </c>
      <c r="D746">
        <v>0</v>
      </c>
      <c r="E746">
        <f>IF(D746&gt;=1,martianeum[[#This Row],[zawartosc]] * 0.01 *martianeum[[#This Row],[masa '[kg']]],0)</f>
        <v>0</v>
      </c>
    </row>
    <row r="747" spans="1:6" x14ac:dyDescent="0.25">
      <c r="A747" s="1">
        <v>49386</v>
      </c>
      <c r="B747" t="s">
        <v>25</v>
      </c>
      <c r="C747">
        <v>13.8</v>
      </c>
      <c r="D747">
        <v>5.9</v>
      </c>
      <c r="E747">
        <f>IF(D747&gt;=1,martianeum[[#This Row],[zawartosc]] * 0.01 *martianeum[[#This Row],[masa '[kg']]],0)</f>
        <v>0.81420000000000015</v>
      </c>
    </row>
    <row r="748" spans="1:6" x14ac:dyDescent="0.25">
      <c r="A748" s="1">
        <v>49387</v>
      </c>
      <c r="B748" t="s">
        <v>12</v>
      </c>
      <c r="C748">
        <v>20</v>
      </c>
      <c r="D748">
        <v>16</v>
      </c>
      <c r="E748">
        <f>IF(D748&gt;=1,martianeum[[#This Row],[zawartosc]] * 0.01 *martianeum[[#This Row],[masa '[kg']]],0)</f>
        <v>3.2</v>
      </c>
    </row>
    <row r="749" spans="1:6" x14ac:dyDescent="0.25">
      <c r="A749" s="1">
        <v>49388</v>
      </c>
      <c r="B749" t="s">
        <v>11</v>
      </c>
      <c r="C749">
        <v>23.9</v>
      </c>
      <c r="D749">
        <v>0</v>
      </c>
      <c r="E749">
        <f>IF(D749&gt;=1,martianeum[[#This Row],[zawartosc]] * 0.01 *martianeum[[#This Row],[masa '[kg']]],0)</f>
        <v>0</v>
      </c>
    </row>
    <row r="750" spans="1:6" x14ac:dyDescent="0.25">
      <c r="A750" s="1">
        <v>49389</v>
      </c>
      <c r="B750" t="s">
        <v>28</v>
      </c>
      <c r="C750">
        <v>15.3</v>
      </c>
      <c r="D750">
        <v>0.1</v>
      </c>
      <c r="E750">
        <f>IF(D750&gt;=1,martianeum[[#This Row],[zawartosc]] * 0.01 *martianeum[[#This Row],[masa '[kg']]],0)</f>
        <v>0</v>
      </c>
      <c r="F750">
        <f t="shared" ref="F750" si="105">SUM(C744:C750)</f>
        <v>144.9</v>
      </c>
    </row>
    <row r="751" spans="1:6" x14ac:dyDescent="0.25">
      <c r="A751" s="1">
        <v>49390</v>
      </c>
      <c r="B751" t="s">
        <v>13</v>
      </c>
      <c r="C751">
        <v>16.600000000000001</v>
      </c>
      <c r="D751">
        <v>0</v>
      </c>
      <c r="E751">
        <f>IF(D751&gt;=1,martianeum[[#This Row],[zawartosc]] * 0.01 *martianeum[[#This Row],[masa '[kg']]],0)</f>
        <v>0</v>
      </c>
    </row>
    <row r="752" spans="1:6" x14ac:dyDescent="0.25">
      <c r="A752" s="1">
        <v>49391</v>
      </c>
      <c r="B752" t="s">
        <v>26</v>
      </c>
      <c r="C752">
        <v>20.8</v>
      </c>
      <c r="D752">
        <v>2</v>
      </c>
      <c r="E752">
        <f>IF(D752&gt;=1,martianeum[[#This Row],[zawartosc]] * 0.01 *martianeum[[#This Row],[masa '[kg']]],0)</f>
        <v>0.41600000000000004</v>
      </c>
    </row>
    <row r="753" spans="1:6" x14ac:dyDescent="0.25">
      <c r="A753" s="1">
        <v>49392</v>
      </c>
      <c r="B753" t="s">
        <v>10</v>
      </c>
      <c r="C753">
        <v>10.8</v>
      </c>
      <c r="D753">
        <v>12.3</v>
      </c>
      <c r="E753">
        <f>IF(D753&gt;=1,martianeum[[#This Row],[zawartosc]] * 0.01 *martianeum[[#This Row],[masa '[kg']]],0)</f>
        <v>1.3284000000000002</v>
      </c>
    </row>
    <row r="754" spans="1:6" x14ac:dyDescent="0.25">
      <c r="A754" s="1">
        <v>49393</v>
      </c>
      <c r="B754" t="s">
        <v>10</v>
      </c>
      <c r="C754">
        <v>12.5</v>
      </c>
      <c r="D754">
        <v>18.399999999999999</v>
      </c>
      <c r="E754">
        <f>IF(D754&gt;=1,martianeum[[#This Row],[zawartosc]] * 0.01 *martianeum[[#This Row],[masa '[kg']]],0)</f>
        <v>2.2999999999999998</v>
      </c>
    </row>
    <row r="755" spans="1:6" x14ac:dyDescent="0.25">
      <c r="A755" s="1">
        <v>49394</v>
      </c>
      <c r="B755" t="s">
        <v>8</v>
      </c>
      <c r="C755">
        <v>24</v>
      </c>
      <c r="D755">
        <v>4.9000000000000004</v>
      </c>
      <c r="E755">
        <f>IF(D755&gt;=1,martianeum[[#This Row],[zawartosc]] * 0.01 *martianeum[[#This Row],[masa '[kg']]],0)</f>
        <v>1.1760000000000002</v>
      </c>
    </row>
    <row r="756" spans="1:6" x14ac:dyDescent="0.25">
      <c r="A756" s="1">
        <v>49395</v>
      </c>
      <c r="B756" t="s">
        <v>9</v>
      </c>
      <c r="C756">
        <v>21.4</v>
      </c>
      <c r="D756">
        <v>11.1</v>
      </c>
      <c r="E756">
        <f>IF(D756&gt;=1,martianeum[[#This Row],[zawartosc]] * 0.01 *martianeum[[#This Row],[masa '[kg']]],0)</f>
        <v>2.3754</v>
      </c>
    </row>
    <row r="757" spans="1:6" x14ac:dyDescent="0.25">
      <c r="A757" s="1">
        <v>49396</v>
      </c>
      <c r="B757" t="s">
        <v>21</v>
      </c>
      <c r="C757">
        <v>18.3</v>
      </c>
      <c r="D757">
        <v>0</v>
      </c>
      <c r="E757">
        <f>IF(D757&gt;=1,martianeum[[#This Row],[zawartosc]] * 0.01 *martianeum[[#This Row],[masa '[kg']]],0)</f>
        <v>0</v>
      </c>
      <c r="F757">
        <f t="shared" ref="F757" si="106">SUM(C751:C757)</f>
        <v>124.39999999999999</v>
      </c>
    </row>
    <row r="758" spans="1:6" x14ac:dyDescent="0.25">
      <c r="A758" s="1">
        <v>49397</v>
      </c>
      <c r="B758" t="s">
        <v>14</v>
      </c>
      <c r="C758">
        <v>10.5</v>
      </c>
      <c r="D758">
        <v>3.9</v>
      </c>
      <c r="E758">
        <f>IF(D758&gt;=1,martianeum[[#This Row],[zawartosc]] * 0.01 *martianeum[[#This Row],[masa '[kg']]],0)</f>
        <v>0.40949999999999998</v>
      </c>
    </row>
    <row r="759" spans="1:6" x14ac:dyDescent="0.25">
      <c r="A759" s="1">
        <v>49398</v>
      </c>
      <c r="B759" t="s">
        <v>9</v>
      </c>
      <c r="C759">
        <v>11.7</v>
      </c>
      <c r="D759">
        <v>0</v>
      </c>
      <c r="E759">
        <f>IF(D759&gt;=1,martianeum[[#This Row],[zawartosc]] * 0.01 *martianeum[[#This Row],[masa '[kg']]],0)</f>
        <v>0</v>
      </c>
    </row>
    <row r="760" spans="1:6" x14ac:dyDescent="0.25">
      <c r="A760" s="1">
        <v>49399</v>
      </c>
      <c r="B760" t="s">
        <v>6</v>
      </c>
      <c r="C760">
        <v>26.8</v>
      </c>
      <c r="D760">
        <v>0</v>
      </c>
      <c r="E760">
        <f>IF(D760&gt;=1,martianeum[[#This Row],[zawartosc]] * 0.01 *martianeum[[#This Row],[masa '[kg']]],0)</f>
        <v>0</v>
      </c>
    </row>
    <row r="761" spans="1:6" x14ac:dyDescent="0.25">
      <c r="A761" s="1">
        <v>49400</v>
      </c>
      <c r="B761" t="s">
        <v>9</v>
      </c>
      <c r="C761">
        <v>22.1</v>
      </c>
      <c r="D761">
        <v>33.799999999999997</v>
      </c>
      <c r="E761">
        <f>IF(D761&gt;=1,martianeum[[#This Row],[zawartosc]] * 0.01 *martianeum[[#This Row],[masa '[kg']]],0)</f>
        <v>7.4697999999999993</v>
      </c>
    </row>
    <row r="762" spans="1:6" x14ac:dyDescent="0.25">
      <c r="A762" s="1">
        <v>49401</v>
      </c>
      <c r="B762" t="s">
        <v>31</v>
      </c>
      <c r="C762">
        <v>17.100000000000001</v>
      </c>
      <c r="D762">
        <v>0</v>
      </c>
      <c r="E762">
        <f>IF(D762&gt;=1,martianeum[[#This Row],[zawartosc]] * 0.01 *martianeum[[#This Row],[masa '[kg']]],0)</f>
        <v>0</v>
      </c>
    </row>
    <row r="763" spans="1:6" x14ac:dyDescent="0.25">
      <c r="A763" s="1">
        <v>49402</v>
      </c>
      <c r="B763" t="s">
        <v>12</v>
      </c>
      <c r="C763">
        <v>12.1</v>
      </c>
      <c r="D763">
        <v>14.4</v>
      </c>
      <c r="E763">
        <f>IF(D763&gt;=1,martianeum[[#This Row],[zawartosc]] * 0.01 *martianeum[[#This Row],[masa '[kg']]],0)</f>
        <v>1.7424000000000002</v>
      </c>
    </row>
    <row r="764" spans="1:6" x14ac:dyDescent="0.25">
      <c r="A764" s="1">
        <v>49403</v>
      </c>
      <c r="B764" t="s">
        <v>18</v>
      </c>
      <c r="C764">
        <v>28.6</v>
      </c>
      <c r="D764">
        <v>23.2</v>
      </c>
      <c r="E764">
        <f>IF(D764&gt;=1,martianeum[[#This Row],[zawartosc]] * 0.01 *martianeum[[#This Row],[masa '[kg']]],0)</f>
        <v>6.6352000000000002</v>
      </c>
      <c r="F764">
        <f t="shared" ref="F764" si="107">SUM(C758:C764)</f>
        <v>128.89999999999998</v>
      </c>
    </row>
    <row r="765" spans="1:6" x14ac:dyDescent="0.25">
      <c r="A765" s="1">
        <v>49404</v>
      </c>
      <c r="B765" t="s">
        <v>5</v>
      </c>
      <c r="C765">
        <v>21.2</v>
      </c>
      <c r="D765">
        <v>1.5</v>
      </c>
      <c r="E765">
        <f>IF(D765&gt;=1,martianeum[[#This Row],[zawartosc]] * 0.01 *martianeum[[#This Row],[masa '[kg']]],0)</f>
        <v>0.318</v>
      </c>
    </row>
    <row r="766" spans="1:6" x14ac:dyDescent="0.25">
      <c r="A766" s="1">
        <v>49405</v>
      </c>
      <c r="B766" t="s">
        <v>8</v>
      </c>
      <c r="C766">
        <v>17.2</v>
      </c>
      <c r="D766">
        <v>2.4</v>
      </c>
      <c r="E766">
        <f>IF(D766&gt;=1,martianeum[[#This Row],[zawartosc]] * 0.01 *martianeum[[#This Row],[masa '[kg']]],0)</f>
        <v>0.4128</v>
      </c>
    </row>
    <row r="767" spans="1:6" x14ac:dyDescent="0.25">
      <c r="A767" s="1">
        <v>49406</v>
      </c>
      <c r="B767" t="s">
        <v>9</v>
      </c>
      <c r="C767">
        <v>22.3</v>
      </c>
      <c r="D767">
        <v>0</v>
      </c>
      <c r="E767">
        <f>IF(D767&gt;=1,martianeum[[#This Row],[zawartosc]] * 0.01 *martianeum[[#This Row],[masa '[kg']]],0)</f>
        <v>0</v>
      </c>
    </row>
    <row r="768" spans="1:6" x14ac:dyDescent="0.25">
      <c r="A768" s="1">
        <v>49407</v>
      </c>
      <c r="B768" t="s">
        <v>14</v>
      </c>
      <c r="C768">
        <v>13.2</v>
      </c>
      <c r="D768">
        <v>3.6</v>
      </c>
      <c r="E768">
        <f>IF(D768&gt;=1,martianeum[[#This Row],[zawartosc]] * 0.01 *martianeum[[#This Row],[masa '[kg']]],0)</f>
        <v>0.47520000000000001</v>
      </c>
    </row>
    <row r="769" spans="1:6" x14ac:dyDescent="0.25">
      <c r="A769" s="1">
        <v>49408</v>
      </c>
      <c r="B769" t="s">
        <v>17</v>
      </c>
      <c r="C769">
        <v>13.6</v>
      </c>
      <c r="D769">
        <v>13.4</v>
      </c>
      <c r="E769">
        <f>IF(D769&gt;=1,martianeum[[#This Row],[zawartosc]] * 0.01 *martianeum[[#This Row],[masa '[kg']]],0)</f>
        <v>1.8224</v>
      </c>
    </row>
    <row r="770" spans="1:6" x14ac:dyDescent="0.25">
      <c r="A770" s="1">
        <v>49409</v>
      </c>
      <c r="B770" t="s">
        <v>11</v>
      </c>
      <c r="C770">
        <v>15.7</v>
      </c>
      <c r="D770">
        <v>0</v>
      </c>
      <c r="E770">
        <f>IF(D770&gt;=1,martianeum[[#This Row],[zawartosc]] * 0.01 *martianeum[[#This Row],[masa '[kg']]],0)</f>
        <v>0</v>
      </c>
    </row>
    <row r="771" spans="1:6" x14ac:dyDescent="0.25">
      <c r="A771" s="1">
        <v>49410</v>
      </c>
      <c r="B771" t="s">
        <v>8</v>
      </c>
      <c r="C771">
        <v>24.8</v>
      </c>
      <c r="D771">
        <v>0</v>
      </c>
      <c r="E771">
        <f>IF(D771&gt;=1,martianeum[[#This Row],[zawartosc]] * 0.01 *martianeum[[#This Row],[masa '[kg']]],0)</f>
        <v>0</v>
      </c>
      <c r="F771">
        <f t="shared" ref="F771" si="108">SUM(C765:C771)</f>
        <v>128</v>
      </c>
    </row>
    <row r="772" spans="1:6" x14ac:dyDescent="0.25">
      <c r="A772" s="1">
        <v>49411</v>
      </c>
      <c r="B772" t="s">
        <v>9</v>
      </c>
      <c r="C772">
        <v>25.1</v>
      </c>
      <c r="D772">
        <v>5.0999999999999996</v>
      </c>
      <c r="E772">
        <f>IF(D772&gt;=1,martianeum[[#This Row],[zawartosc]] * 0.01 *martianeum[[#This Row],[masa '[kg']]],0)</f>
        <v>1.2801</v>
      </c>
    </row>
    <row r="773" spans="1:6" x14ac:dyDescent="0.25">
      <c r="A773" s="1">
        <v>49412</v>
      </c>
      <c r="B773" t="s">
        <v>18</v>
      </c>
      <c r="C773">
        <v>14.2</v>
      </c>
      <c r="D773">
        <v>23.5</v>
      </c>
      <c r="E773">
        <f>IF(D773&gt;=1,martianeum[[#This Row],[zawartosc]] * 0.01 *martianeum[[#This Row],[masa '[kg']]],0)</f>
        <v>3.3370000000000002</v>
      </c>
    </row>
    <row r="774" spans="1:6" x14ac:dyDescent="0.25">
      <c r="A774" s="1">
        <v>49413</v>
      </c>
      <c r="B774" t="s">
        <v>13</v>
      </c>
      <c r="C774">
        <v>21.1</v>
      </c>
      <c r="D774">
        <v>1.4</v>
      </c>
      <c r="E774">
        <f>IF(D774&gt;=1,martianeum[[#This Row],[zawartosc]] * 0.01 *martianeum[[#This Row],[masa '[kg']]],0)</f>
        <v>0.2954</v>
      </c>
    </row>
    <row r="775" spans="1:6" x14ac:dyDescent="0.25">
      <c r="A775" s="1">
        <v>49414</v>
      </c>
      <c r="B775" t="s">
        <v>9</v>
      </c>
      <c r="C775">
        <v>25.4</v>
      </c>
      <c r="D775">
        <v>28</v>
      </c>
      <c r="E775">
        <f>IF(D775&gt;=1,martianeum[[#This Row],[zawartosc]] * 0.01 *martianeum[[#This Row],[masa '[kg']]],0)</f>
        <v>7.1120000000000001</v>
      </c>
    </row>
    <row r="776" spans="1:6" x14ac:dyDescent="0.25">
      <c r="A776" s="1">
        <v>49415</v>
      </c>
      <c r="B776" t="s">
        <v>9</v>
      </c>
      <c r="C776">
        <v>24.7</v>
      </c>
      <c r="D776">
        <v>5.7</v>
      </c>
      <c r="E776">
        <f>IF(D776&gt;=1,martianeum[[#This Row],[zawartosc]] * 0.01 *martianeum[[#This Row],[masa '[kg']]],0)</f>
        <v>1.4078999999999999</v>
      </c>
    </row>
    <row r="777" spans="1:6" x14ac:dyDescent="0.25">
      <c r="A777" s="1">
        <v>49416</v>
      </c>
      <c r="B777" t="s">
        <v>12</v>
      </c>
      <c r="C777">
        <v>19.8</v>
      </c>
      <c r="D777">
        <v>0</v>
      </c>
      <c r="E777">
        <f>IF(D777&gt;=1,martianeum[[#This Row],[zawartosc]] * 0.01 *martianeum[[#This Row],[masa '[kg']]],0)</f>
        <v>0</v>
      </c>
    </row>
    <row r="778" spans="1:6" x14ac:dyDescent="0.25">
      <c r="A778" s="1">
        <v>49417</v>
      </c>
      <c r="B778" t="s">
        <v>26</v>
      </c>
      <c r="C778">
        <v>28.4</v>
      </c>
      <c r="D778">
        <v>2.9</v>
      </c>
      <c r="E778">
        <f>IF(D778&gt;=1,martianeum[[#This Row],[zawartosc]] * 0.01 *martianeum[[#This Row],[masa '[kg']]],0)</f>
        <v>0.82359999999999989</v>
      </c>
      <c r="F778">
        <f t="shared" ref="F778" si="109">SUM(C772:C778)</f>
        <v>158.70000000000002</v>
      </c>
    </row>
    <row r="779" spans="1:6" x14ac:dyDescent="0.25">
      <c r="A779" s="1">
        <v>49418</v>
      </c>
      <c r="B779" t="s">
        <v>10</v>
      </c>
      <c r="C779">
        <v>26.5</v>
      </c>
      <c r="D779">
        <v>0</v>
      </c>
      <c r="E779">
        <f>IF(D779&gt;=1,martianeum[[#This Row],[zawartosc]] * 0.01 *martianeum[[#This Row],[masa '[kg']]],0)</f>
        <v>0</v>
      </c>
    </row>
    <row r="780" spans="1:6" x14ac:dyDescent="0.25">
      <c r="A780" s="1">
        <v>49419</v>
      </c>
      <c r="B780" t="s">
        <v>9</v>
      </c>
      <c r="C780">
        <v>14.1</v>
      </c>
      <c r="D780">
        <v>13.1</v>
      </c>
      <c r="E780">
        <f>IF(D780&gt;=1,martianeum[[#This Row],[zawartosc]] * 0.01 *martianeum[[#This Row],[masa '[kg']]],0)</f>
        <v>1.8471</v>
      </c>
    </row>
    <row r="781" spans="1:6" x14ac:dyDescent="0.25">
      <c r="A781" s="1">
        <v>49420</v>
      </c>
      <c r="B781" t="s">
        <v>27</v>
      </c>
      <c r="C781">
        <v>15.9</v>
      </c>
      <c r="D781">
        <v>0.5</v>
      </c>
      <c r="E781">
        <f>IF(D781&gt;=1,martianeum[[#This Row],[zawartosc]] * 0.01 *martianeum[[#This Row],[masa '[kg']]],0)</f>
        <v>0</v>
      </c>
    </row>
    <row r="782" spans="1:6" x14ac:dyDescent="0.25">
      <c r="A782" s="1">
        <v>49421</v>
      </c>
      <c r="B782" t="s">
        <v>18</v>
      </c>
      <c r="C782">
        <v>28.2</v>
      </c>
      <c r="D782">
        <v>26.9</v>
      </c>
      <c r="E782">
        <f>IF(D782&gt;=1,martianeum[[#This Row],[zawartosc]] * 0.01 *martianeum[[#This Row],[masa '[kg']]],0)</f>
        <v>7.5857999999999999</v>
      </c>
    </row>
    <row r="783" spans="1:6" x14ac:dyDescent="0.25">
      <c r="A783" s="1">
        <v>49422</v>
      </c>
      <c r="B783" t="s">
        <v>27</v>
      </c>
      <c r="C783">
        <v>17.100000000000001</v>
      </c>
      <c r="D783">
        <v>0.5</v>
      </c>
      <c r="E783">
        <f>IF(D783&gt;=1,martianeum[[#This Row],[zawartosc]] * 0.01 *martianeum[[#This Row],[masa '[kg']]],0)</f>
        <v>0</v>
      </c>
    </row>
    <row r="784" spans="1:6" x14ac:dyDescent="0.25">
      <c r="A784" s="1">
        <v>49423</v>
      </c>
      <c r="B784" t="s">
        <v>18</v>
      </c>
      <c r="C784">
        <v>27</v>
      </c>
      <c r="D784">
        <v>0</v>
      </c>
      <c r="E784">
        <f>IF(D784&gt;=1,martianeum[[#This Row],[zawartosc]] * 0.01 *martianeum[[#This Row],[masa '[kg']]],0)</f>
        <v>0</v>
      </c>
    </row>
    <row r="785" spans="1:6" x14ac:dyDescent="0.25">
      <c r="A785" s="1">
        <v>49424</v>
      </c>
      <c r="B785" t="s">
        <v>17</v>
      </c>
      <c r="C785">
        <v>24.1</v>
      </c>
      <c r="D785">
        <v>0</v>
      </c>
      <c r="E785">
        <f>IF(D785&gt;=1,martianeum[[#This Row],[zawartosc]] * 0.01 *martianeum[[#This Row],[masa '[kg']]],0)</f>
        <v>0</v>
      </c>
      <c r="F785">
        <f t="shared" ref="F785" si="110">SUM(C779:C785)</f>
        <v>152.9</v>
      </c>
    </row>
    <row r="786" spans="1:6" x14ac:dyDescent="0.25">
      <c r="A786" s="1">
        <v>49425</v>
      </c>
      <c r="B786" t="s">
        <v>11</v>
      </c>
      <c r="C786">
        <v>10.4</v>
      </c>
      <c r="D786">
        <v>7.2</v>
      </c>
      <c r="E786">
        <f>IF(D786&gt;=1,martianeum[[#This Row],[zawartosc]] * 0.01 *martianeum[[#This Row],[masa '[kg']]],0)</f>
        <v>0.74880000000000013</v>
      </c>
    </row>
    <row r="787" spans="1:6" x14ac:dyDescent="0.25">
      <c r="A787" s="1">
        <v>49426</v>
      </c>
      <c r="B787" t="s">
        <v>12</v>
      </c>
      <c r="C787">
        <v>27.2</v>
      </c>
      <c r="D787">
        <v>15.1</v>
      </c>
      <c r="E787">
        <f>IF(D787&gt;=1,martianeum[[#This Row],[zawartosc]] * 0.01 *martianeum[[#This Row],[masa '[kg']]],0)</f>
        <v>4.1071999999999997</v>
      </c>
    </row>
    <row r="788" spans="1:6" x14ac:dyDescent="0.25">
      <c r="A788" s="1">
        <v>49427</v>
      </c>
      <c r="B788" t="s">
        <v>21</v>
      </c>
      <c r="C788">
        <v>22.1</v>
      </c>
      <c r="D788">
        <v>0</v>
      </c>
      <c r="E788">
        <f>IF(D788&gt;=1,martianeum[[#This Row],[zawartosc]] * 0.01 *martianeum[[#This Row],[masa '[kg']]],0)</f>
        <v>0</v>
      </c>
    </row>
    <row r="789" spans="1:6" x14ac:dyDescent="0.25">
      <c r="A789" s="1">
        <v>49428</v>
      </c>
      <c r="B789" t="s">
        <v>13</v>
      </c>
      <c r="C789">
        <v>13.3</v>
      </c>
      <c r="D789">
        <v>8.5</v>
      </c>
      <c r="E789">
        <f>IF(D789&gt;=1,martianeum[[#This Row],[zawartosc]] * 0.01 *martianeum[[#This Row],[masa '[kg']]],0)</f>
        <v>1.1305000000000001</v>
      </c>
    </row>
    <row r="790" spans="1:6" x14ac:dyDescent="0.25">
      <c r="A790" s="1">
        <v>49429</v>
      </c>
      <c r="B790" t="s">
        <v>11</v>
      </c>
      <c r="C790">
        <v>26.4</v>
      </c>
      <c r="D790">
        <v>0</v>
      </c>
      <c r="E790">
        <f>IF(D790&gt;=1,martianeum[[#This Row],[zawartosc]] * 0.01 *martianeum[[#This Row],[masa '[kg']]],0)</f>
        <v>0</v>
      </c>
    </row>
    <row r="791" spans="1:6" x14ac:dyDescent="0.25">
      <c r="A791" s="1">
        <v>49430</v>
      </c>
      <c r="B791" t="s">
        <v>24</v>
      </c>
      <c r="C791">
        <v>25.8</v>
      </c>
      <c r="D791">
        <v>2.9</v>
      </c>
      <c r="E791">
        <f>IF(D791&gt;=1,martianeum[[#This Row],[zawartosc]] * 0.01 *martianeum[[#This Row],[masa '[kg']]],0)</f>
        <v>0.74819999999999998</v>
      </c>
    </row>
    <row r="792" spans="1:6" x14ac:dyDescent="0.25">
      <c r="A792" s="1">
        <v>49431</v>
      </c>
      <c r="B792" t="s">
        <v>14</v>
      </c>
      <c r="C792">
        <v>23</v>
      </c>
      <c r="D792">
        <v>3.8</v>
      </c>
      <c r="E792">
        <f>IF(D792&gt;=1,martianeum[[#This Row],[zawartosc]] * 0.01 *martianeum[[#This Row],[masa '[kg']]],0)</f>
        <v>0.874</v>
      </c>
      <c r="F792">
        <f t="shared" ref="F792" si="111">SUM(C786:C792)</f>
        <v>148.19999999999999</v>
      </c>
    </row>
    <row r="793" spans="1:6" x14ac:dyDescent="0.25">
      <c r="A793" s="1">
        <v>49432</v>
      </c>
      <c r="B793" t="s">
        <v>12</v>
      </c>
      <c r="C793">
        <v>22.7</v>
      </c>
      <c r="D793">
        <v>0</v>
      </c>
      <c r="E793">
        <f>IF(D793&gt;=1,martianeum[[#This Row],[zawartosc]] * 0.01 *martianeum[[#This Row],[masa '[kg']]],0)</f>
        <v>0</v>
      </c>
    </row>
    <row r="794" spans="1:6" x14ac:dyDescent="0.25">
      <c r="A794" s="1">
        <v>49433</v>
      </c>
      <c r="B794" t="s">
        <v>25</v>
      </c>
      <c r="C794">
        <v>26.2</v>
      </c>
      <c r="D794">
        <v>5.0999999999999996</v>
      </c>
      <c r="E794">
        <f>IF(D794&gt;=1,martianeum[[#This Row],[zawartosc]] * 0.01 *martianeum[[#This Row],[masa '[kg']]],0)</f>
        <v>1.3361999999999998</v>
      </c>
    </row>
    <row r="795" spans="1:6" x14ac:dyDescent="0.25">
      <c r="A795" s="1">
        <v>49434</v>
      </c>
      <c r="B795" t="s">
        <v>13</v>
      </c>
      <c r="C795">
        <v>16.600000000000001</v>
      </c>
      <c r="D795">
        <v>0</v>
      </c>
      <c r="E795">
        <f>IF(D795&gt;=1,martianeum[[#This Row],[zawartosc]] * 0.01 *martianeum[[#This Row],[masa '[kg']]],0)</f>
        <v>0</v>
      </c>
    </row>
    <row r="796" spans="1:6" x14ac:dyDescent="0.25">
      <c r="A796" s="1">
        <v>49435</v>
      </c>
      <c r="B796" t="s">
        <v>22</v>
      </c>
      <c r="C796">
        <v>23.9</v>
      </c>
      <c r="D796">
        <v>0</v>
      </c>
      <c r="E796">
        <f>IF(D796&gt;=1,martianeum[[#This Row],[zawartosc]] * 0.01 *martianeum[[#This Row],[masa '[kg']]],0)</f>
        <v>0</v>
      </c>
    </row>
    <row r="797" spans="1:6" x14ac:dyDescent="0.25">
      <c r="A797" s="1">
        <v>49436</v>
      </c>
      <c r="B797" t="s">
        <v>6</v>
      </c>
      <c r="C797">
        <v>10.6</v>
      </c>
      <c r="D797">
        <v>21.3</v>
      </c>
      <c r="E797">
        <f>IF(D797&gt;=1,martianeum[[#This Row],[zawartosc]] * 0.01 *martianeum[[#This Row],[masa '[kg']]],0)</f>
        <v>2.2578</v>
      </c>
    </row>
    <row r="798" spans="1:6" x14ac:dyDescent="0.25">
      <c r="A798" s="1">
        <v>49437</v>
      </c>
      <c r="B798" t="s">
        <v>9</v>
      </c>
      <c r="C798">
        <v>22.8</v>
      </c>
      <c r="D798">
        <v>24.6</v>
      </c>
      <c r="E798">
        <f>IF(D798&gt;=1,martianeum[[#This Row],[zawartosc]] * 0.01 *martianeum[[#This Row],[masa '[kg']]],0)</f>
        <v>5.6088000000000005</v>
      </c>
    </row>
    <row r="799" spans="1:6" x14ac:dyDescent="0.25">
      <c r="A799" s="1">
        <v>49438</v>
      </c>
      <c r="B799" t="s">
        <v>4</v>
      </c>
      <c r="C799">
        <v>26.8</v>
      </c>
      <c r="D799">
        <v>7.5</v>
      </c>
      <c r="E799">
        <f>IF(D799&gt;=1,martianeum[[#This Row],[zawartosc]] * 0.01 *martianeum[[#This Row],[masa '[kg']]],0)</f>
        <v>2.0099999999999998</v>
      </c>
      <c r="F799">
        <f t="shared" ref="F799" si="112">SUM(C793:C799)</f>
        <v>149.6</v>
      </c>
    </row>
    <row r="800" spans="1:6" x14ac:dyDescent="0.25">
      <c r="A800" s="1">
        <v>49439</v>
      </c>
      <c r="B800" t="s">
        <v>18</v>
      </c>
      <c r="C800">
        <v>21.3</v>
      </c>
      <c r="D800">
        <v>37.700000000000003</v>
      </c>
      <c r="E800">
        <f>IF(D800&gt;=1,martianeum[[#This Row],[zawartosc]] * 0.01 *martianeum[[#This Row],[masa '[kg']]],0)</f>
        <v>8.0301000000000009</v>
      </c>
    </row>
    <row r="801" spans="1:6" x14ac:dyDescent="0.25">
      <c r="A801" s="1">
        <v>49440</v>
      </c>
      <c r="B801" t="s">
        <v>11</v>
      </c>
      <c r="C801">
        <v>20.3</v>
      </c>
      <c r="D801">
        <v>11</v>
      </c>
      <c r="E801">
        <f>IF(D801&gt;=1,martianeum[[#This Row],[zawartosc]] * 0.01 *martianeum[[#This Row],[masa '[kg']]],0)</f>
        <v>2.2330000000000001</v>
      </c>
    </row>
    <row r="802" spans="1:6" x14ac:dyDescent="0.25">
      <c r="A802" s="1">
        <v>49441</v>
      </c>
      <c r="B802" t="s">
        <v>18</v>
      </c>
      <c r="C802">
        <v>25.6</v>
      </c>
      <c r="D802">
        <v>20.100000000000001</v>
      </c>
      <c r="E802">
        <f>IF(D802&gt;=1,martianeum[[#This Row],[zawartosc]] * 0.01 *martianeum[[#This Row],[masa '[kg']]],0)</f>
        <v>5.1456000000000008</v>
      </c>
    </row>
    <row r="803" spans="1:6" x14ac:dyDescent="0.25">
      <c r="A803" s="1">
        <v>49442</v>
      </c>
      <c r="B803" t="s">
        <v>12</v>
      </c>
      <c r="C803">
        <v>25.1</v>
      </c>
      <c r="D803">
        <v>14.7</v>
      </c>
      <c r="E803">
        <f>IF(D803&gt;=1,martianeum[[#This Row],[zawartosc]] * 0.01 *martianeum[[#This Row],[masa '[kg']]],0)</f>
        <v>3.6897000000000002</v>
      </c>
    </row>
    <row r="804" spans="1:6" x14ac:dyDescent="0.25">
      <c r="A804" s="1">
        <v>49443</v>
      </c>
      <c r="B804" t="s">
        <v>6</v>
      </c>
      <c r="C804">
        <v>24.3</v>
      </c>
      <c r="D804">
        <v>24.3</v>
      </c>
      <c r="E804">
        <f>IF(D804&gt;=1,martianeum[[#This Row],[zawartosc]] * 0.01 *martianeum[[#This Row],[masa '[kg']]],0)</f>
        <v>5.9049000000000005</v>
      </c>
    </row>
    <row r="805" spans="1:6" x14ac:dyDescent="0.25">
      <c r="A805" s="1">
        <v>49444</v>
      </c>
      <c r="B805" t="s">
        <v>13</v>
      </c>
      <c r="C805">
        <v>12.9</v>
      </c>
      <c r="D805">
        <v>2.7</v>
      </c>
      <c r="E805">
        <f>IF(D805&gt;=1,martianeum[[#This Row],[zawartosc]] * 0.01 *martianeum[[#This Row],[masa '[kg']]],0)</f>
        <v>0.34830000000000005</v>
      </c>
    </row>
    <row r="806" spans="1:6" x14ac:dyDescent="0.25">
      <c r="A806" s="1">
        <v>49445</v>
      </c>
      <c r="B806" t="s">
        <v>18</v>
      </c>
      <c r="C806">
        <v>16.7</v>
      </c>
      <c r="D806">
        <v>27.7</v>
      </c>
      <c r="E806">
        <f>IF(D806&gt;=1,martianeum[[#This Row],[zawartosc]] * 0.01 *martianeum[[#This Row],[masa '[kg']]],0)</f>
        <v>4.6259000000000006</v>
      </c>
      <c r="F806">
        <f t="shared" ref="F806" si="113">SUM(C800:C806)</f>
        <v>146.19999999999999</v>
      </c>
    </row>
    <row r="807" spans="1:6" x14ac:dyDescent="0.25">
      <c r="A807" s="1">
        <v>49446</v>
      </c>
      <c r="B807" t="s">
        <v>9</v>
      </c>
      <c r="C807">
        <v>16.2</v>
      </c>
      <c r="D807">
        <v>20.5</v>
      </c>
      <c r="E807">
        <f>IF(D807&gt;=1,martianeum[[#This Row],[zawartosc]] * 0.01 *martianeum[[#This Row],[masa '[kg']]],0)</f>
        <v>3.3210000000000002</v>
      </c>
    </row>
    <row r="808" spans="1:6" x14ac:dyDescent="0.25">
      <c r="A808" s="1">
        <v>49447</v>
      </c>
      <c r="B808" t="s">
        <v>11</v>
      </c>
      <c r="C808">
        <v>19.5</v>
      </c>
      <c r="D808">
        <v>5.0999999999999996</v>
      </c>
      <c r="E808">
        <f>IF(D808&gt;=1,martianeum[[#This Row],[zawartosc]] * 0.01 *martianeum[[#This Row],[masa '[kg']]],0)</f>
        <v>0.99449999999999994</v>
      </c>
    </row>
    <row r="809" spans="1:6" x14ac:dyDescent="0.25">
      <c r="A809" s="1">
        <v>49448</v>
      </c>
      <c r="B809" t="s">
        <v>9</v>
      </c>
      <c r="C809">
        <v>22.9</v>
      </c>
      <c r="D809">
        <v>6.6</v>
      </c>
      <c r="E809">
        <f>IF(D809&gt;=1,martianeum[[#This Row],[zawartosc]] * 0.01 *martianeum[[#This Row],[masa '[kg']]],0)</f>
        <v>1.5114000000000001</v>
      </c>
    </row>
    <row r="810" spans="1:6" x14ac:dyDescent="0.25">
      <c r="A810" s="1">
        <v>49449</v>
      </c>
      <c r="B810" t="s">
        <v>18</v>
      </c>
      <c r="C810">
        <v>25.9</v>
      </c>
      <c r="D810">
        <v>4.4000000000000004</v>
      </c>
      <c r="E810">
        <f>IF(D810&gt;=1,martianeum[[#This Row],[zawartosc]] * 0.01 *martianeum[[#This Row],[masa '[kg']]],0)</f>
        <v>1.1395999999999999</v>
      </c>
    </row>
    <row r="811" spans="1:6" x14ac:dyDescent="0.25">
      <c r="A811" s="1">
        <v>49450</v>
      </c>
      <c r="B811" t="s">
        <v>17</v>
      </c>
      <c r="C811">
        <v>20.3</v>
      </c>
      <c r="D811">
        <v>4.5999999999999996</v>
      </c>
      <c r="E811">
        <f>IF(D811&gt;=1,martianeum[[#This Row],[zawartosc]] * 0.01 *martianeum[[#This Row],[masa '[kg']]],0)</f>
        <v>0.93379999999999996</v>
      </c>
    </row>
    <row r="812" spans="1:6" x14ac:dyDescent="0.25">
      <c r="A812" s="1">
        <v>49451</v>
      </c>
      <c r="B812" t="s">
        <v>27</v>
      </c>
      <c r="C812">
        <v>11.3</v>
      </c>
      <c r="D812">
        <v>0.3</v>
      </c>
      <c r="E812">
        <f>IF(D812&gt;=1,martianeum[[#This Row],[zawartosc]] * 0.01 *martianeum[[#This Row],[masa '[kg']]],0)</f>
        <v>0</v>
      </c>
    </row>
    <row r="813" spans="1:6" x14ac:dyDescent="0.25">
      <c r="A813" s="1">
        <v>49452</v>
      </c>
      <c r="B813" t="s">
        <v>9</v>
      </c>
      <c r="C813">
        <v>27.4</v>
      </c>
      <c r="D813">
        <v>29.9</v>
      </c>
      <c r="E813">
        <f>IF(D813&gt;=1,martianeum[[#This Row],[zawartosc]] * 0.01 *martianeum[[#This Row],[masa '[kg']]],0)</f>
        <v>8.1925999999999988</v>
      </c>
      <c r="F813">
        <f t="shared" ref="F813" si="114">SUM(C807:C813)</f>
        <v>143.5</v>
      </c>
    </row>
    <row r="814" spans="1:6" x14ac:dyDescent="0.25">
      <c r="A814" s="1">
        <v>49453</v>
      </c>
      <c r="B814" t="s">
        <v>18</v>
      </c>
      <c r="C814">
        <v>29.2</v>
      </c>
      <c r="D814">
        <v>0</v>
      </c>
      <c r="E814">
        <f>IF(D814&gt;=1,martianeum[[#This Row],[zawartosc]] * 0.01 *martianeum[[#This Row],[masa '[kg']]],0)</f>
        <v>0</v>
      </c>
    </row>
    <row r="815" spans="1:6" x14ac:dyDescent="0.25">
      <c r="A815" s="1">
        <v>49454</v>
      </c>
      <c r="B815" t="s">
        <v>3</v>
      </c>
      <c r="C815">
        <v>27.4</v>
      </c>
      <c r="D815">
        <v>0</v>
      </c>
      <c r="E815">
        <f>IF(D815&gt;=1,martianeum[[#This Row],[zawartosc]] * 0.01 *martianeum[[#This Row],[masa '[kg']]],0)</f>
        <v>0</v>
      </c>
    </row>
    <row r="816" spans="1:6" x14ac:dyDescent="0.25">
      <c r="A816" s="1">
        <v>49455</v>
      </c>
      <c r="B816" t="s">
        <v>18</v>
      </c>
      <c r="C816">
        <v>10.1</v>
      </c>
      <c r="D816">
        <v>8.1</v>
      </c>
      <c r="E816">
        <f>IF(D816&gt;=1,martianeum[[#This Row],[zawartosc]] * 0.01 *martianeum[[#This Row],[masa '[kg']]],0)</f>
        <v>0.81810000000000005</v>
      </c>
    </row>
    <row r="817" spans="1:6" x14ac:dyDescent="0.25">
      <c r="A817" s="1">
        <v>49456</v>
      </c>
      <c r="B817" t="s">
        <v>4</v>
      </c>
      <c r="C817">
        <v>12.9</v>
      </c>
      <c r="D817">
        <v>5.9</v>
      </c>
      <c r="E817">
        <f>IF(D817&gt;=1,martianeum[[#This Row],[zawartosc]] * 0.01 *martianeum[[#This Row],[masa '[kg']]],0)</f>
        <v>0.76110000000000011</v>
      </c>
    </row>
    <row r="818" spans="1:6" x14ac:dyDescent="0.25">
      <c r="A818" s="1">
        <v>49457</v>
      </c>
      <c r="B818" t="s">
        <v>13</v>
      </c>
      <c r="C818">
        <v>18.7</v>
      </c>
      <c r="D818">
        <v>0</v>
      </c>
      <c r="E818">
        <f>IF(D818&gt;=1,martianeum[[#This Row],[zawartosc]] * 0.01 *martianeum[[#This Row],[masa '[kg']]],0)</f>
        <v>0</v>
      </c>
    </row>
    <row r="819" spans="1:6" x14ac:dyDescent="0.25">
      <c r="A819" s="1">
        <v>49458</v>
      </c>
      <c r="B819" t="s">
        <v>31</v>
      </c>
      <c r="C819">
        <v>17.8</v>
      </c>
      <c r="D819">
        <v>0.3</v>
      </c>
      <c r="E819">
        <f>IF(D819&gt;=1,martianeum[[#This Row],[zawartosc]] * 0.01 *martianeum[[#This Row],[masa '[kg']]],0)</f>
        <v>0</v>
      </c>
    </row>
    <row r="820" spans="1:6" x14ac:dyDescent="0.25">
      <c r="A820" s="1">
        <v>49459</v>
      </c>
      <c r="B820" t="s">
        <v>9</v>
      </c>
      <c r="C820">
        <v>24.7</v>
      </c>
      <c r="D820">
        <v>42.9</v>
      </c>
      <c r="E820">
        <f>IF(D820&gt;=1,martianeum[[#This Row],[zawartosc]] * 0.01 *martianeum[[#This Row],[masa '[kg']]],0)</f>
        <v>10.596299999999999</v>
      </c>
      <c r="F820">
        <f t="shared" ref="F820" si="115">SUM(C814:C820)</f>
        <v>140.79999999999998</v>
      </c>
    </row>
    <row r="821" spans="1:6" x14ac:dyDescent="0.25">
      <c r="A821" s="1">
        <v>49460</v>
      </c>
      <c r="B821" t="s">
        <v>9</v>
      </c>
      <c r="C821">
        <v>28.7</v>
      </c>
      <c r="D821">
        <v>33.799999999999997</v>
      </c>
      <c r="E821">
        <f>IF(D821&gt;=1,martianeum[[#This Row],[zawartosc]] * 0.01 *martianeum[[#This Row],[masa '[kg']]],0)</f>
        <v>9.7005999999999997</v>
      </c>
    </row>
    <row r="822" spans="1:6" x14ac:dyDescent="0.25">
      <c r="A822" s="1">
        <v>49461</v>
      </c>
      <c r="B822" t="s">
        <v>17</v>
      </c>
      <c r="C822">
        <v>12.3</v>
      </c>
      <c r="D822">
        <v>1.7</v>
      </c>
      <c r="E822">
        <f>IF(D822&gt;=1,martianeum[[#This Row],[zawartosc]] * 0.01 *martianeum[[#This Row],[masa '[kg']]],0)</f>
        <v>0.20910000000000004</v>
      </c>
    </row>
    <row r="823" spans="1:6" x14ac:dyDescent="0.25">
      <c r="A823" s="1">
        <v>49462</v>
      </c>
      <c r="B823" t="s">
        <v>18</v>
      </c>
      <c r="C823">
        <v>22.9</v>
      </c>
      <c r="D823">
        <v>0</v>
      </c>
      <c r="E823">
        <f>IF(D823&gt;=1,martianeum[[#This Row],[zawartosc]] * 0.01 *martianeum[[#This Row],[masa '[kg']]],0)</f>
        <v>0</v>
      </c>
    </row>
    <row r="824" spans="1:6" x14ac:dyDescent="0.25">
      <c r="A824" s="1">
        <v>49463</v>
      </c>
      <c r="B824" t="s">
        <v>16</v>
      </c>
      <c r="C824">
        <v>20</v>
      </c>
      <c r="D824">
        <v>3</v>
      </c>
      <c r="E824">
        <f>IF(D824&gt;=1,martianeum[[#This Row],[zawartosc]] * 0.01 *martianeum[[#This Row],[masa '[kg']]],0)</f>
        <v>0.6</v>
      </c>
    </row>
    <row r="825" spans="1:6" x14ac:dyDescent="0.25">
      <c r="A825" s="1">
        <v>49464</v>
      </c>
      <c r="B825" t="s">
        <v>9</v>
      </c>
      <c r="C825">
        <v>27.3</v>
      </c>
      <c r="D825">
        <v>0</v>
      </c>
      <c r="E825">
        <f>IF(D825&gt;=1,martianeum[[#This Row],[zawartosc]] * 0.01 *martianeum[[#This Row],[masa '[kg']]],0)</f>
        <v>0</v>
      </c>
    </row>
    <row r="826" spans="1:6" x14ac:dyDescent="0.25">
      <c r="A826" s="1">
        <v>49465</v>
      </c>
      <c r="B826" t="s">
        <v>12</v>
      </c>
      <c r="C826">
        <v>29.9</v>
      </c>
      <c r="D826">
        <v>7.7</v>
      </c>
      <c r="E826">
        <f>IF(D826&gt;=1,martianeum[[#This Row],[zawartosc]] * 0.01 *martianeum[[#This Row],[masa '[kg']]],0)</f>
        <v>2.3022999999999998</v>
      </c>
    </row>
    <row r="827" spans="1:6" x14ac:dyDescent="0.25">
      <c r="A827" s="1">
        <v>49466</v>
      </c>
      <c r="B827" t="s">
        <v>11</v>
      </c>
      <c r="C827">
        <v>27.5</v>
      </c>
      <c r="D827">
        <v>2.7</v>
      </c>
      <c r="E827">
        <f>IF(D827&gt;=1,martianeum[[#This Row],[zawartosc]] * 0.01 *martianeum[[#This Row],[masa '[kg']]],0)</f>
        <v>0.74250000000000005</v>
      </c>
      <c r="F827">
        <f t="shared" ref="F827" si="116">SUM(C821:C827)</f>
        <v>168.6</v>
      </c>
    </row>
    <row r="828" spans="1:6" x14ac:dyDescent="0.25">
      <c r="A828" s="1">
        <v>49467</v>
      </c>
      <c r="B828" t="s">
        <v>17</v>
      </c>
      <c r="C828">
        <v>16.5</v>
      </c>
      <c r="D828">
        <v>13.3</v>
      </c>
      <c r="E828">
        <f>IF(D828&gt;=1,martianeum[[#This Row],[zawartosc]] * 0.01 *martianeum[[#This Row],[masa '[kg']]],0)</f>
        <v>2.1945000000000001</v>
      </c>
    </row>
    <row r="829" spans="1:6" x14ac:dyDescent="0.25">
      <c r="A829" s="1">
        <v>49468</v>
      </c>
      <c r="B829" t="s">
        <v>4</v>
      </c>
      <c r="C829">
        <v>23.5</v>
      </c>
      <c r="D829">
        <v>5.9</v>
      </c>
      <c r="E829">
        <f>IF(D829&gt;=1,martianeum[[#This Row],[zawartosc]] * 0.01 *martianeum[[#This Row],[masa '[kg']]],0)</f>
        <v>1.3865000000000001</v>
      </c>
    </row>
    <row r="830" spans="1:6" x14ac:dyDescent="0.25">
      <c r="A830" s="1">
        <v>49469</v>
      </c>
      <c r="B830" t="s">
        <v>4</v>
      </c>
      <c r="C830">
        <v>21.5</v>
      </c>
      <c r="D830">
        <v>4.0999999999999996</v>
      </c>
      <c r="E830">
        <f>IF(D830&gt;=1,martianeum[[#This Row],[zawartosc]] * 0.01 *martianeum[[#This Row],[masa '[kg']]],0)</f>
        <v>0.88149999999999984</v>
      </c>
    </row>
    <row r="831" spans="1:6" x14ac:dyDescent="0.25">
      <c r="A831" s="1">
        <v>49470</v>
      </c>
      <c r="B831" t="s">
        <v>14</v>
      </c>
      <c r="C831">
        <v>10.3</v>
      </c>
      <c r="D831">
        <v>15.6</v>
      </c>
      <c r="E831">
        <f>IF(D831&gt;=1,martianeum[[#This Row],[zawartosc]] * 0.01 *martianeum[[#This Row],[masa '[kg']]],0)</f>
        <v>1.6068</v>
      </c>
    </row>
    <row r="832" spans="1:6" x14ac:dyDescent="0.25">
      <c r="A832" s="1">
        <v>49471</v>
      </c>
      <c r="B832" t="s">
        <v>9</v>
      </c>
      <c r="C832">
        <v>15</v>
      </c>
      <c r="D832">
        <v>0</v>
      </c>
      <c r="E832">
        <f>IF(D832&gt;=1,martianeum[[#This Row],[zawartosc]] * 0.01 *martianeum[[#This Row],[masa '[kg']]],0)</f>
        <v>0</v>
      </c>
    </row>
    <row r="833" spans="1:6" x14ac:dyDescent="0.25">
      <c r="A833" s="1">
        <v>49472</v>
      </c>
      <c r="B833" t="s">
        <v>5</v>
      </c>
      <c r="C833">
        <v>23.3</v>
      </c>
      <c r="D833">
        <v>5.3</v>
      </c>
      <c r="E833">
        <f>IF(D833&gt;=1,martianeum[[#This Row],[zawartosc]] * 0.01 *martianeum[[#This Row],[masa '[kg']]],0)</f>
        <v>1.2349000000000001</v>
      </c>
    </row>
    <row r="834" spans="1:6" x14ac:dyDescent="0.25">
      <c r="A834" s="1">
        <v>49473</v>
      </c>
      <c r="B834" t="s">
        <v>14</v>
      </c>
      <c r="C834">
        <v>10.5</v>
      </c>
      <c r="D834">
        <v>14.4</v>
      </c>
      <c r="E834">
        <f>IF(D834&gt;=1,martianeum[[#This Row],[zawartosc]] * 0.01 *martianeum[[#This Row],[masa '[kg']]],0)</f>
        <v>1.5120000000000002</v>
      </c>
      <c r="F834">
        <f t="shared" ref="F834" si="117">SUM(C828:C834)</f>
        <v>120.6</v>
      </c>
    </row>
    <row r="835" spans="1:6" x14ac:dyDescent="0.25">
      <c r="A835" s="1">
        <v>49474</v>
      </c>
      <c r="B835" t="s">
        <v>9</v>
      </c>
      <c r="C835">
        <v>18.5</v>
      </c>
      <c r="D835">
        <v>0</v>
      </c>
      <c r="E835">
        <f>IF(D835&gt;=1,martianeum[[#This Row],[zawartosc]] * 0.01 *martianeum[[#This Row],[masa '[kg']]],0)</f>
        <v>0</v>
      </c>
    </row>
    <row r="836" spans="1:6" x14ac:dyDescent="0.25">
      <c r="A836" s="1">
        <v>49475</v>
      </c>
      <c r="B836" t="s">
        <v>13</v>
      </c>
      <c r="C836">
        <v>20.2</v>
      </c>
      <c r="D836">
        <v>5.4</v>
      </c>
      <c r="E836">
        <f>IF(D836&gt;=1,martianeum[[#This Row],[zawartosc]] * 0.01 *martianeum[[#This Row],[masa '[kg']]],0)</f>
        <v>1.0908</v>
      </c>
    </row>
    <row r="837" spans="1:6" x14ac:dyDescent="0.25">
      <c r="A837" s="1">
        <v>49476</v>
      </c>
      <c r="B837" t="s">
        <v>22</v>
      </c>
      <c r="C837">
        <v>29</v>
      </c>
      <c r="D837">
        <v>4.2</v>
      </c>
      <c r="E837">
        <f>IF(D837&gt;=1,martianeum[[#This Row],[zawartosc]] * 0.01 *martianeum[[#This Row],[masa '[kg']]],0)</f>
        <v>1.218</v>
      </c>
    </row>
    <row r="838" spans="1:6" x14ac:dyDescent="0.25">
      <c r="A838" s="1">
        <v>49477</v>
      </c>
      <c r="B838" t="s">
        <v>14</v>
      </c>
      <c r="C838">
        <v>12.1</v>
      </c>
      <c r="D838">
        <v>18.100000000000001</v>
      </c>
      <c r="E838">
        <f>IF(D838&gt;=1,martianeum[[#This Row],[zawartosc]] * 0.01 *martianeum[[#This Row],[masa '[kg']]],0)</f>
        <v>2.1901000000000002</v>
      </c>
    </row>
    <row r="839" spans="1:6" x14ac:dyDescent="0.25">
      <c r="A839" s="1">
        <v>49478</v>
      </c>
      <c r="B839" t="s">
        <v>12</v>
      </c>
      <c r="C839">
        <v>14.1</v>
      </c>
      <c r="D839">
        <v>5.6</v>
      </c>
      <c r="E839">
        <f>IF(D839&gt;=1,martianeum[[#This Row],[zawartosc]] * 0.01 *martianeum[[#This Row],[masa '[kg']]],0)</f>
        <v>0.78959999999999986</v>
      </c>
    </row>
    <row r="840" spans="1:6" x14ac:dyDescent="0.25">
      <c r="A840" s="1">
        <v>49479</v>
      </c>
      <c r="B840" t="s">
        <v>9</v>
      </c>
      <c r="C840">
        <v>19.5</v>
      </c>
      <c r="D840">
        <v>2.7</v>
      </c>
      <c r="E840">
        <f>IF(D840&gt;=1,martianeum[[#This Row],[zawartosc]] * 0.01 *martianeum[[#This Row],[masa '[kg']]],0)</f>
        <v>0.52650000000000008</v>
      </c>
    </row>
    <row r="841" spans="1:6" x14ac:dyDescent="0.25">
      <c r="A841" s="1">
        <v>49480</v>
      </c>
      <c r="B841" t="s">
        <v>26</v>
      </c>
      <c r="C841">
        <v>28.7</v>
      </c>
      <c r="D841">
        <v>0.3</v>
      </c>
      <c r="E841">
        <f>IF(D841&gt;=1,martianeum[[#This Row],[zawartosc]] * 0.01 *martianeum[[#This Row],[masa '[kg']]],0)</f>
        <v>0</v>
      </c>
      <c r="F841">
        <f t="shared" ref="F841" si="118">SUM(C835:C841)</f>
        <v>142.1</v>
      </c>
    </row>
    <row r="842" spans="1:6" x14ac:dyDescent="0.25">
      <c r="A842" s="1">
        <v>49481</v>
      </c>
      <c r="B842" t="s">
        <v>18</v>
      </c>
      <c r="C842">
        <v>20.3</v>
      </c>
      <c r="D842">
        <v>15</v>
      </c>
      <c r="E842">
        <f>IF(D842&gt;=1,martianeum[[#This Row],[zawartosc]] * 0.01 *martianeum[[#This Row],[masa '[kg']]],0)</f>
        <v>3.0449999999999999</v>
      </c>
    </row>
    <row r="843" spans="1:6" x14ac:dyDescent="0.25">
      <c r="A843" s="1">
        <v>49482</v>
      </c>
      <c r="B843" t="s">
        <v>6</v>
      </c>
      <c r="C843">
        <v>25.9</v>
      </c>
      <c r="D843">
        <v>4.7</v>
      </c>
      <c r="E843">
        <f>IF(D843&gt;=1,martianeum[[#This Row],[zawartosc]] * 0.01 *martianeum[[#This Row],[masa '[kg']]],0)</f>
        <v>1.2172999999999998</v>
      </c>
    </row>
    <row r="844" spans="1:6" x14ac:dyDescent="0.25">
      <c r="A844" s="1">
        <v>49483</v>
      </c>
      <c r="B844" t="s">
        <v>6</v>
      </c>
      <c r="C844">
        <v>25.3</v>
      </c>
      <c r="D844">
        <v>0</v>
      </c>
      <c r="E844">
        <f>IF(D844&gt;=1,martianeum[[#This Row],[zawartosc]] * 0.01 *martianeum[[#This Row],[masa '[kg']]],0)</f>
        <v>0</v>
      </c>
    </row>
    <row r="845" spans="1:6" x14ac:dyDescent="0.25">
      <c r="A845" s="1">
        <v>49484</v>
      </c>
      <c r="B845" t="s">
        <v>19</v>
      </c>
      <c r="C845">
        <v>22.8</v>
      </c>
      <c r="D845">
        <v>0.6</v>
      </c>
      <c r="E845">
        <f>IF(D845&gt;=1,martianeum[[#This Row],[zawartosc]] * 0.01 *martianeum[[#This Row],[masa '[kg']]],0)</f>
        <v>0</v>
      </c>
    </row>
    <row r="846" spans="1:6" x14ac:dyDescent="0.25">
      <c r="A846" s="1">
        <v>49485</v>
      </c>
      <c r="B846" t="s">
        <v>21</v>
      </c>
      <c r="C846">
        <v>28.4</v>
      </c>
      <c r="D846">
        <v>2.2999999999999998</v>
      </c>
      <c r="E846">
        <f>IF(D846&gt;=1,martianeum[[#This Row],[zawartosc]] * 0.01 *martianeum[[#This Row],[masa '[kg']]],0)</f>
        <v>0.6532</v>
      </c>
    </row>
    <row r="847" spans="1:6" x14ac:dyDescent="0.25">
      <c r="A847" s="1">
        <v>49486</v>
      </c>
      <c r="B847" t="s">
        <v>21</v>
      </c>
      <c r="C847">
        <v>29.7</v>
      </c>
      <c r="D847">
        <v>0</v>
      </c>
      <c r="E847">
        <f>IF(D847&gt;=1,martianeum[[#This Row],[zawartosc]] * 0.01 *martianeum[[#This Row],[masa '[kg']]],0)</f>
        <v>0</v>
      </c>
    </row>
    <row r="848" spans="1:6" x14ac:dyDescent="0.25">
      <c r="A848" s="1">
        <v>49487</v>
      </c>
      <c r="B848" t="s">
        <v>14</v>
      </c>
      <c r="C848">
        <v>11.7</v>
      </c>
      <c r="D848">
        <v>6.4</v>
      </c>
      <c r="E848">
        <f>IF(D848&gt;=1,martianeum[[#This Row],[zawartosc]] * 0.01 *martianeum[[#This Row],[masa '[kg']]],0)</f>
        <v>0.74880000000000002</v>
      </c>
      <c r="F848">
        <f t="shared" ref="F848" si="119">SUM(C842:C848)</f>
        <v>164.09999999999997</v>
      </c>
    </row>
    <row r="849" spans="1:6" x14ac:dyDescent="0.25">
      <c r="A849" s="1">
        <v>49488</v>
      </c>
      <c r="B849" t="s">
        <v>21</v>
      </c>
      <c r="C849">
        <v>12.8</v>
      </c>
      <c r="D849">
        <v>6.9</v>
      </c>
      <c r="E849">
        <f>IF(D849&gt;=1,martianeum[[#This Row],[zawartosc]] * 0.01 *martianeum[[#This Row],[masa '[kg']]],0)</f>
        <v>0.8832000000000001</v>
      </c>
    </row>
    <row r="850" spans="1:6" x14ac:dyDescent="0.25">
      <c r="A850" s="1">
        <v>49489</v>
      </c>
      <c r="B850" t="s">
        <v>9</v>
      </c>
      <c r="C850">
        <v>11</v>
      </c>
      <c r="D850">
        <v>0</v>
      </c>
      <c r="E850">
        <f>IF(D850&gt;=1,martianeum[[#This Row],[zawartosc]] * 0.01 *martianeum[[#This Row],[masa '[kg']]],0)</f>
        <v>0</v>
      </c>
    </row>
    <row r="851" spans="1:6" x14ac:dyDescent="0.25">
      <c r="A851" s="1">
        <v>49490</v>
      </c>
      <c r="B851" t="s">
        <v>32</v>
      </c>
      <c r="C851">
        <v>14.7</v>
      </c>
      <c r="D851">
        <v>0.5</v>
      </c>
      <c r="E851">
        <f>IF(D851&gt;=1,martianeum[[#This Row],[zawartosc]] * 0.01 *martianeum[[#This Row],[masa '[kg']]],0)</f>
        <v>0</v>
      </c>
    </row>
    <row r="852" spans="1:6" x14ac:dyDescent="0.25">
      <c r="A852" s="1">
        <v>49491</v>
      </c>
      <c r="B852" t="s">
        <v>25</v>
      </c>
      <c r="C852">
        <v>13.2</v>
      </c>
      <c r="D852">
        <v>2.5</v>
      </c>
      <c r="E852">
        <f>IF(D852&gt;=1,martianeum[[#This Row],[zawartosc]] * 0.01 *martianeum[[#This Row],[masa '[kg']]],0)</f>
        <v>0.33</v>
      </c>
    </row>
    <row r="853" spans="1:6" x14ac:dyDescent="0.25">
      <c r="A853" s="1">
        <v>49492</v>
      </c>
      <c r="B853" t="s">
        <v>25</v>
      </c>
      <c r="C853">
        <v>28</v>
      </c>
      <c r="D853">
        <v>3.8</v>
      </c>
      <c r="E853">
        <f>IF(D853&gt;=1,martianeum[[#This Row],[zawartosc]] * 0.01 *martianeum[[#This Row],[masa '[kg']]],0)</f>
        <v>1.0640000000000001</v>
      </c>
    </row>
    <row r="854" spans="1:6" x14ac:dyDescent="0.25">
      <c r="A854" s="1">
        <v>49493</v>
      </c>
      <c r="B854" t="s">
        <v>10</v>
      </c>
      <c r="C854">
        <v>27.5</v>
      </c>
      <c r="D854">
        <v>10.3</v>
      </c>
      <c r="E854">
        <f>IF(D854&gt;=1,martianeum[[#This Row],[zawartosc]] * 0.01 *martianeum[[#This Row],[masa '[kg']]],0)</f>
        <v>2.8325</v>
      </c>
    </row>
    <row r="855" spans="1:6" x14ac:dyDescent="0.25">
      <c r="A855" s="1">
        <v>49494</v>
      </c>
      <c r="B855" t="s">
        <v>25</v>
      </c>
      <c r="C855">
        <v>12.1</v>
      </c>
      <c r="D855">
        <v>4.7</v>
      </c>
      <c r="E855">
        <f>IF(D855&gt;=1,martianeum[[#This Row],[zawartosc]] * 0.01 *martianeum[[#This Row],[masa '[kg']]],0)</f>
        <v>0.56869999999999998</v>
      </c>
      <c r="F855">
        <f t="shared" ref="F855" si="120">SUM(C849:C855)</f>
        <v>119.3</v>
      </c>
    </row>
    <row r="856" spans="1:6" x14ac:dyDescent="0.25">
      <c r="A856" s="1">
        <v>49495</v>
      </c>
      <c r="B856" t="s">
        <v>14</v>
      </c>
      <c r="C856">
        <v>24.7</v>
      </c>
      <c r="D856">
        <v>7.2</v>
      </c>
      <c r="E856">
        <f>IF(D856&gt;=1,martianeum[[#This Row],[zawartosc]] * 0.01 *martianeum[[#This Row],[masa '[kg']]],0)</f>
        <v>1.7784000000000002</v>
      </c>
    </row>
    <row r="857" spans="1:6" x14ac:dyDescent="0.25">
      <c r="A857" s="1">
        <v>49496</v>
      </c>
      <c r="B857" t="s">
        <v>24</v>
      </c>
      <c r="C857">
        <v>27.1</v>
      </c>
      <c r="D857">
        <v>2.6</v>
      </c>
      <c r="E857">
        <f>IF(D857&gt;=1,martianeum[[#This Row],[zawartosc]] * 0.01 *martianeum[[#This Row],[masa '[kg']]],0)</f>
        <v>0.70460000000000012</v>
      </c>
    </row>
    <row r="858" spans="1:6" x14ac:dyDescent="0.25">
      <c r="A858" s="1">
        <v>49497</v>
      </c>
      <c r="B858" t="s">
        <v>6</v>
      </c>
      <c r="C858">
        <v>28.7</v>
      </c>
      <c r="D858">
        <v>3</v>
      </c>
      <c r="E858">
        <f>IF(D858&gt;=1,martianeum[[#This Row],[zawartosc]] * 0.01 *martianeum[[#This Row],[masa '[kg']]],0)</f>
        <v>0.86099999999999999</v>
      </c>
    </row>
    <row r="859" spans="1:6" x14ac:dyDescent="0.25">
      <c r="A859" s="1">
        <v>49498</v>
      </c>
      <c r="B859" t="s">
        <v>9</v>
      </c>
      <c r="C859">
        <v>15</v>
      </c>
      <c r="D859">
        <v>21.4</v>
      </c>
      <c r="E859">
        <f>IF(D859&gt;=1,martianeum[[#This Row],[zawartosc]] * 0.01 *martianeum[[#This Row],[masa '[kg']]],0)</f>
        <v>3.21</v>
      </c>
    </row>
    <row r="860" spans="1:6" x14ac:dyDescent="0.25">
      <c r="A860" s="1">
        <v>49499</v>
      </c>
      <c r="B860" t="s">
        <v>10</v>
      </c>
      <c r="C860">
        <v>11.6</v>
      </c>
      <c r="D860">
        <v>3.7</v>
      </c>
      <c r="E860">
        <f>IF(D860&gt;=1,martianeum[[#This Row],[zawartosc]] * 0.01 *martianeum[[#This Row],[masa '[kg']]],0)</f>
        <v>0.42920000000000003</v>
      </c>
    </row>
    <row r="861" spans="1:6" x14ac:dyDescent="0.25">
      <c r="A861" s="1">
        <v>49500</v>
      </c>
      <c r="B861" t="s">
        <v>9</v>
      </c>
      <c r="C861">
        <v>13.1</v>
      </c>
      <c r="D861">
        <v>0</v>
      </c>
      <c r="E861">
        <f>IF(D861&gt;=1,martianeum[[#This Row],[zawartosc]] * 0.01 *martianeum[[#This Row],[masa '[kg']]],0)</f>
        <v>0</v>
      </c>
    </row>
    <row r="862" spans="1:6" x14ac:dyDescent="0.25">
      <c r="A862" s="1">
        <v>49501</v>
      </c>
      <c r="B862" t="s">
        <v>25</v>
      </c>
      <c r="C862">
        <v>25.5</v>
      </c>
      <c r="D862">
        <v>0</v>
      </c>
      <c r="E862">
        <f>IF(D862&gt;=1,martianeum[[#This Row],[zawartosc]] * 0.01 *martianeum[[#This Row],[masa '[kg']]],0)</f>
        <v>0</v>
      </c>
      <c r="F862">
        <f t="shared" ref="F862" si="121">SUM(C856:C862)</f>
        <v>145.69999999999999</v>
      </c>
    </row>
    <row r="863" spans="1:6" x14ac:dyDescent="0.25">
      <c r="A863" s="1">
        <v>49502</v>
      </c>
      <c r="B863" t="s">
        <v>27</v>
      </c>
      <c r="C863">
        <v>19.399999999999999</v>
      </c>
      <c r="D863">
        <v>0.7</v>
      </c>
      <c r="E863">
        <f>IF(D863&gt;=1,martianeum[[#This Row],[zawartosc]] * 0.01 *martianeum[[#This Row],[masa '[kg']]],0)</f>
        <v>0</v>
      </c>
    </row>
    <row r="864" spans="1:6" x14ac:dyDescent="0.25">
      <c r="A864" s="1">
        <v>49503</v>
      </c>
      <c r="B864" t="s">
        <v>6</v>
      </c>
      <c r="C864">
        <v>27.3</v>
      </c>
      <c r="D864">
        <v>2.6</v>
      </c>
      <c r="E864">
        <f>IF(D864&gt;=1,martianeum[[#This Row],[zawartosc]] * 0.01 *martianeum[[#This Row],[masa '[kg']]],0)</f>
        <v>0.7098000000000001</v>
      </c>
    </row>
    <row r="865" spans="1:6" x14ac:dyDescent="0.25">
      <c r="A865" s="1">
        <v>49504</v>
      </c>
      <c r="B865" t="s">
        <v>9</v>
      </c>
      <c r="C865">
        <v>21</v>
      </c>
      <c r="D865">
        <v>27.8</v>
      </c>
      <c r="E865">
        <f>IF(D865&gt;=1,martianeum[[#This Row],[zawartosc]] * 0.01 *martianeum[[#This Row],[masa '[kg']]],0)</f>
        <v>5.838000000000001</v>
      </c>
    </row>
    <row r="866" spans="1:6" x14ac:dyDescent="0.25">
      <c r="A866" s="1">
        <v>49505</v>
      </c>
      <c r="B866" t="s">
        <v>13</v>
      </c>
      <c r="C866">
        <v>11.5</v>
      </c>
      <c r="D866">
        <v>0</v>
      </c>
      <c r="E866">
        <f>IF(D866&gt;=1,martianeum[[#This Row],[zawartosc]] * 0.01 *martianeum[[#This Row],[masa '[kg']]],0)</f>
        <v>0</v>
      </c>
    </row>
    <row r="867" spans="1:6" x14ac:dyDescent="0.25">
      <c r="A867" s="1">
        <v>49506</v>
      </c>
      <c r="B867" t="s">
        <v>20</v>
      </c>
      <c r="C867">
        <v>13.6</v>
      </c>
      <c r="D867">
        <v>2.7</v>
      </c>
      <c r="E867">
        <f>IF(D867&gt;=1,martianeum[[#This Row],[zawartosc]] * 0.01 *martianeum[[#This Row],[masa '[kg']]],0)</f>
        <v>0.36720000000000003</v>
      </c>
    </row>
    <row r="868" spans="1:6" x14ac:dyDescent="0.25">
      <c r="A868" s="1">
        <v>49507</v>
      </c>
      <c r="B868" t="s">
        <v>7</v>
      </c>
      <c r="C868">
        <v>17.8</v>
      </c>
      <c r="D868">
        <v>0.3</v>
      </c>
      <c r="E868">
        <f>IF(D868&gt;=1,martianeum[[#This Row],[zawartosc]] * 0.01 *martianeum[[#This Row],[masa '[kg']]],0)</f>
        <v>0</v>
      </c>
    </row>
    <row r="869" spans="1:6" x14ac:dyDescent="0.25">
      <c r="A869" s="1">
        <v>49508</v>
      </c>
      <c r="B869" t="s">
        <v>7</v>
      </c>
      <c r="C869">
        <v>10.8</v>
      </c>
      <c r="D869">
        <v>0</v>
      </c>
      <c r="E869">
        <f>IF(D869&gt;=1,martianeum[[#This Row],[zawartosc]] * 0.01 *martianeum[[#This Row],[masa '[kg']]],0)</f>
        <v>0</v>
      </c>
      <c r="F869">
        <f t="shared" ref="F869" si="122">SUM(C863:C869)</f>
        <v>121.39999999999999</v>
      </c>
    </row>
    <row r="870" spans="1:6" x14ac:dyDescent="0.25">
      <c r="A870" s="1">
        <v>49509</v>
      </c>
      <c r="B870" t="s">
        <v>9</v>
      </c>
      <c r="C870">
        <v>23</v>
      </c>
      <c r="D870">
        <v>3.3</v>
      </c>
      <c r="E870">
        <f>IF(D870&gt;=1,martianeum[[#This Row],[zawartosc]] * 0.01 *martianeum[[#This Row],[masa '[kg']]],0)</f>
        <v>0.75900000000000001</v>
      </c>
    </row>
    <row r="871" spans="1:6" x14ac:dyDescent="0.25">
      <c r="A871" s="1">
        <v>49510</v>
      </c>
      <c r="B871" t="s">
        <v>10</v>
      </c>
      <c r="C871">
        <v>14</v>
      </c>
      <c r="D871">
        <v>18.100000000000001</v>
      </c>
      <c r="E871">
        <f>IF(D871&gt;=1,martianeum[[#This Row],[zawartosc]] * 0.01 *martianeum[[#This Row],[masa '[kg']]],0)</f>
        <v>2.5340000000000003</v>
      </c>
    </row>
    <row r="872" spans="1:6" x14ac:dyDescent="0.25">
      <c r="A872" s="1">
        <v>49511</v>
      </c>
      <c r="B872" t="s">
        <v>25</v>
      </c>
      <c r="C872">
        <v>10.7</v>
      </c>
      <c r="D872">
        <v>0.4</v>
      </c>
      <c r="E872">
        <f>IF(D872&gt;=1,martianeum[[#This Row],[zawartosc]] * 0.01 *martianeum[[#This Row],[masa '[kg']]],0)</f>
        <v>0</v>
      </c>
    </row>
    <row r="873" spans="1:6" x14ac:dyDescent="0.25">
      <c r="A873" s="1">
        <v>49512</v>
      </c>
      <c r="B873" t="s">
        <v>12</v>
      </c>
      <c r="C873">
        <v>24.7</v>
      </c>
      <c r="D873">
        <v>9.1</v>
      </c>
      <c r="E873">
        <f>IF(D873&gt;=1,martianeum[[#This Row],[zawartosc]] * 0.01 *martianeum[[#This Row],[masa '[kg']]],0)</f>
        <v>2.2477</v>
      </c>
    </row>
    <row r="874" spans="1:6" x14ac:dyDescent="0.25">
      <c r="A874" s="1">
        <v>49513</v>
      </c>
      <c r="B874" t="s">
        <v>18</v>
      </c>
      <c r="C874">
        <v>12.2</v>
      </c>
      <c r="D874">
        <v>18.600000000000001</v>
      </c>
      <c r="E874">
        <f>IF(D874&gt;=1,martianeum[[#This Row],[zawartosc]] * 0.01 *martianeum[[#This Row],[masa '[kg']]],0)</f>
        <v>2.2692000000000001</v>
      </c>
    </row>
    <row r="875" spans="1:6" x14ac:dyDescent="0.25">
      <c r="A875" s="1">
        <v>49514</v>
      </c>
      <c r="B875" t="s">
        <v>5</v>
      </c>
      <c r="C875">
        <v>23.8</v>
      </c>
      <c r="D875">
        <v>7.7</v>
      </c>
      <c r="E875">
        <f>IF(D875&gt;=1,martianeum[[#This Row],[zawartosc]] * 0.01 *martianeum[[#This Row],[masa '[kg']]],0)</f>
        <v>1.8326</v>
      </c>
    </row>
    <row r="876" spans="1:6" x14ac:dyDescent="0.25">
      <c r="A876" s="1">
        <v>49515</v>
      </c>
      <c r="B876" t="s">
        <v>11</v>
      </c>
      <c r="C876">
        <v>18.5</v>
      </c>
      <c r="D876">
        <v>0</v>
      </c>
      <c r="E876">
        <f>IF(D876&gt;=1,martianeum[[#This Row],[zawartosc]] * 0.01 *martianeum[[#This Row],[masa '[kg']]],0)</f>
        <v>0</v>
      </c>
      <c r="F876">
        <f t="shared" ref="F876" si="123">SUM(C870:C876)</f>
        <v>126.9</v>
      </c>
    </row>
    <row r="877" spans="1:6" x14ac:dyDescent="0.25">
      <c r="A877" s="1">
        <v>49516</v>
      </c>
      <c r="B877" t="s">
        <v>16</v>
      </c>
      <c r="C877">
        <v>24.6</v>
      </c>
      <c r="D877">
        <v>0.4</v>
      </c>
      <c r="E877">
        <f>IF(D877&gt;=1,martianeum[[#This Row],[zawartosc]] * 0.01 *martianeum[[#This Row],[masa '[kg']]],0)</f>
        <v>0</v>
      </c>
    </row>
    <row r="878" spans="1:6" x14ac:dyDescent="0.25">
      <c r="A878" s="1">
        <v>49517</v>
      </c>
      <c r="B878" t="s">
        <v>18</v>
      </c>
      <c r="C878">
        <v>24.6</v>
      </c>
      <c r="D878">
        <v>10.4</v>
      </c>
      <c r="E878">
        <f>IF(D878&gt;=1,martianeum[[#This Row],[zawartosc]] * 0.01 *martianeum[[#This Row],[masa '[kg']]],0)</f>
        <v>2.5584000000000002</v>
      </c>
    </row>
    <row r="879" spans="1:6" x14ac:dyDescent="0.25">
      <c r="A879" s="1">
        <v>49518</v>
      </c>
      <c r="B879" t="s">
        <v>11</v>
      </c>
      <c r="C879">
        <v>25.4</v>
      </c>
      <c r="D879">
        <v>11.2</v>
      </c>
      <c r="E879">
        <f>IF(D879&gt;=1,martianeum[[#This Row],[zawartosc]] * 0.01 *martianeum[[#This Row],[masa '[kg']]],0)</f>
        <v>2.8447999999999993</v>
      </c>
    </row>
    <row r="880" spans="1:6" x14ac:dyDescent="0.25">
      <c r="A880" s="1">
        <v>49519</v>
      </c>
      <c r="B880" t="s">
        <v>10</v>
      </c>
      <c r="C880">
        <v>13.1</v>
      </c>
      <c r="D880">
        <v>22.2</v>
      </c>
      <c r="E880">
        <f>IF(D880&gt;=1,martianeum[[#This Row],[zawartosc]] * 0.01 *martianeum[[#This Row],[masa '[kg']]],0)</f>
        <v>2.9081999999999999</v>
      </c>
    </row>
    <row r="881" spans="1:6" x14ac:dyDescent="0.25">
      <c r="A881" s="1">
        <v>49520</v>
      </c>
      <c r="B881" t="s">
        <v>9</v>
      </c>
      <c r="C881">
        <v>10.1</v>
      </c>
      <c r="D881">
        <v>11.6</v>
      </c>
      <c r="E881">
        <f>IF(D881&gt;=1,martianeum[[#This Row],[zawartosc]] * 0.01 *martianeum[[#This Row],[masa '[kg']]],0)</f>
        <v>1.1716</v>
      </c>
    </row>
    <row r="882" spans="1:6" x14ac:dyDescent="0.25">
      <c r="A882" s="1">
        <v>49521</v>
      </c>
      <c r="B882" t="s">
        <v>14</v>
      </c>
      <c r="C882">
        <v>25</v>
      </c>
      <c r="D882">
        <v>0</v>
      </c>
      <c r="E882">
        <f>IF(D882&gt;=1,martianeum[[#This Row],[zawartosc]] * 0.01 *martianeum[[#This Row],[masa '[kg']]],0)</f>
        <v>0</v>
      </c>
    </row>
    <row r="883" spans="1:6" x14ac:dyDescent="0.25">
      <c r="A883" s="1">
        <v>49522</v>
      </c>
      <c r="B883" t="s">
        <v>17</v>
      </c>
      <c r="C883">
        <v>20.9</v>
      </c>
      <c r="D883">
        <v>11.4</v>
      </c>
      <c r="E883">
        <f>IF(D883&gt;=1,martianeum[[#This Row],[zawartosc]] * 0.01 *martianeum[[#This Row],[masa '[kg']]],0)</f>
        <v>2.3826000000000001</v>
      </c>
      <c r="F883">
        <f t="shared" ref="F883" si="124">SUM(C877:C883)</f>
        <v>143.69999999999999</v>
      </c>
    </row>
    <row r="884" spans="1:6" x14ac:dyDescent="0.25">
      <c r="A884" s="1">
        <v>49523</v>
      </c>
      <c r="B884" t="s">
        <v>13</v>
      </c>
      <c r="C884">
        <v>27.6</v>
      </c>
      <c r="D884">
        <v>2.5</v>
      </c>
      <c r="E884">
        <f>IF(D884&gt;=1,martianeum[[#This Row],[zawartosc]] * 0.01 *martianeum[[#This Row],[masa '[kg']]],0)</f>
        <v>0.69000000000000006</v>
      </c>
    </row>
    <row r="885" spans="1:6" x14ac:dyDescent="0.25">
      <c r="A885" s="1">
        <v>49524</v>
      </c>
      <c r="B885" t="s">
        <v>9</v>
      </c>
      <c r="C885">
        <v>22.8</v>
      </c>
      <c r="D885">
        <v>0</v>
      </c>
      <c r="E885">
        <f>IF(D885&gt;=1,martianeum[[#This Row],[zawartosc]] * 0.01 *martianeum[[#This Row],[masa '[kg']]],0)</f>
        <v>0</v>
      </c>
    </row>
    <row r="886" spans="1:6" x14ac:dyDescent="0.25">
      <c r="A886" s="1">
        <v>49525</v>
      </c>
      <c r="B886" t="s">
        <v>8</v>
      </c>
      <c r="C886">
        <v>12</v>
      </c>
      <c r="D886">
        <v>0</v>
      </c>
      <c r="E886">
        <f>IF(D886&gt;=1,martianeum[[#This Row],[zawartosc]] * 0.01 *martianeum[[#This Row],[masa '[kg']]],0)</f>
        <v>0</v>
      </c>
    </row>
    <row r="887" spans="1:6" x14ac:dyDescent="0.25">
      <c r="A887" s="1">
        <v>49526</v>
      </c>
      <c r="B887" t="s">
        <v>22</v>
      </c>
      <c r="C887">
        <v>16.8</v>
      </c>
      <c r="D887">
        <v>4.9000000000000004</v>
      </c>
      <c r="E887">
        <f>IF(D887&gt;=1,martianeum[[#This Row],[zawartosc]] * 0.01 *martianeum[[#This Row],[masa '[kg']]],0)</f>
        <v>0.82320000000000004</v>
      </c>
    </row>
    <row r="888" spans="1:6" x14ac:dyDescent="0.25">
      <c r="A888" s="1">
        <v>49527</v>
      </c>
      <c r="B888" t="s">
        <v>19</v>
      </c>
      <c r="C888">
        <v>12.9</v>
      </c>
      <c r="D888">
        <v>3</v>
      </c>
      <c r="E888">
        <f>IF(D888&gt;=1,martianeum[[#This Row],[zawartosc]] * 0.01 *martianeum[[#This Row],[masa '[kg']]],0)</f>
        <v>0.38700000000000001</v>
      </c>
    </row>
    <row r="889" spans="1:6" x14ac:dyDescent="0.25">
      <c r="A889" s="1">
        <v>49528</v>
      </c>
      <c r="B889" t="s">
        <v>9</v>
      </c>
      <c r="C889">
        <v>18</v>
      </c>
      <c r="D889">
        <v>13.6</v>
      </c>
      <c r="E889">
        <f>IF(D889&gt;=1,martianeum[[#This Row],[zawartosc]] * 0.01 *martianeum[[#This Row],[masa '[kg']]],0)</f>
        <v>2.4480000000000004</v>
      </c>
    </row>
    <row r="890" spans="1:6" x14ac:dyDescent="0.25">
      <c r="A890" s="1">
        <v>49529</v>
      </c>
      <c r="B890" t="s">
        <v>18</v>
      </c>
      <c r="C890">
        <v>26</v>
      </c>
      <c r="D890">
        <v>30.4</v>
      </c>
      <c r="E890">
        <f>IF(D890&gt;=1,martianeum[[#This Row],[zawartosc]] * 0.01 *martianeum[[#This Row],[masa '[kg']]],0)</f>
        <v>7.9039999999999999</v>
      </c>
      <c r="F890">
        <f t="shared" ref="F890" si="125">SUM(C884:C890)</f>
        <v>136.10000000000002</v>
      </c>
    </row>
    <row r="891" spans="1:6" x14ac:dyDescent="0.25">
      <c r="A891" s="1">
        <v>49530</v>
      </c>
      <c r="B891" t="s">
        <v>14</v>
      </c>
      <c r="C891">
        <v>21.3</v>
      </c>
      <c r="D891">
        <v>0</v>
      </c>
      <c r="E891">
        <f>IF(D891&gt;=1,martianeum[[#This Row],[zawartosc]] * 0.01 *martianeum[[#This Row],[masa '[kg']]],0)</f>
        <v>0</v>
      </c>
    </row>
    <row r="892" spans="1:6" x14ac:dyDescent="0.25">
      <c r="A892" s="1">
        <v>49531</v>
      </c>
      <c r="B892" t="s">
        <v>10</v>
      </c>
      <c r="C892">
        <v>15.7</v>
      </c>
      <c r="D892">
        <v>5.9</v>
      </c>
      <c r="E892">
        <f>IF(D892&gt;=1,martianeum[[#This Row],[zawartosc]] * 0.01 *martianeum[[#This Row],[masa '[kg']]],0)</f>
        <v>0.92630000000000001</v>
      </c>
    </row>
    <row r="893" spans="1:6" x14ac:dyDescent="0.25">
      <c r="A893" s="1">
        <v>49532</v>
      </c>
      <c r="B893" t="s">
        <v>9</v>
      </c>
      <c r="C893">
        <v>19.100000000000001</v>
      </c>
      <c r="D893">
        <v>0</v>
      </c>
      <c r="E893">
        <f>IF(D893&gt;=1,martianeum[[#This Row],[zawartosc]] * 0.01 *martianeum[[#This Row],[masa '[kg']]],0)</f>
        <v>0</v>
      </c>
    </row>
    <row r="894" spans="1:6" x14ac:dyDescent="0.25">
      <c r="A894" s="1">
        <v>49533</v>
      </c>
      <c r="B894" t="s">
        <v>18</v>
      </c>
      <c r="C894">
        <v>24.6</v>
      </c>
      <c r="D894">
        <v>12.3</v>
      </c>
      <c r="E894">
        <f>IF(D894&gt;=1,martianeum[[#This Row],[zawartosc]] * 0.01 *martianeum[[#This Row],[masa '[kg']]],0)</f>
        <v>3.0258000000000003</v>
      </c>
    </row>
    <row r="895" spans="1:6" x14ac:dyDescent="0.25">
      <c r="A895" s="1">
        <v>49534</v>
      </c>
      <c r="B895" t="s">
        <v>9</v>
      </c>
      <c r="C895">
        <v>18.7</v>
      </c>
      <c r="D895">
        <v>17.8</v>
      </c>
      <c r="E895">
        <f>IF(D895&gt;=1,martianeum[[#This Row],[zawartosc]] * 0.01 *martianeum[[#This Row],[masa '[kg']]],0)</f>
        <v>3.3286000000000002</v>
      </c>
    </row>
    <row r="896" spans="1:6" x14ac:dyDescent="0.25">
      <c r="A896" s="1">
        <v>49535</v>
      </c>
      <c r="B896" t="s">
        <v>8</v>
      </c>
      <c r="C896">
        <v>13.2</v>
      </c>
      <c r="D896">
        <v>3.2</v>
      </c>
      <c r="E896">
        <f>IF(D896&gt;=1,martianeum[[#This Row],[zawartosc]] * 0.01 *martianeum[[#This Row],[masa '[kg']]],0)</f>
        <v>0.4224</v>
      </c>
    </row>
    <row r="897" spans="1:6" x14ac:dyDescent="0.25">
      <c r="A897" s="1">
        <v>49536</v>
      </c>
      <c r="B897" t="s">
        <v>11</v>
      </c>
      <c r="C897">
        <v>24.8</v>
      </c>
      <c r="D897">
        <v>2.2999999999999998</v>
      </c>
      <c r="E897">
        <f>IF(D897&gt;=1,martianeum[[#This Row],[zawartosc]] * 0.01 *martianeum[[#This Row],[masa '[kg']]],0)</f>
        <v>0.57040000000000002</v>
      </c>
      <c r="F897">
        <f t="shared" ref="F897" si="126">SUM(C891:C897)</f>
        <v>137.4</v>
      </c>
    </row>
    <row r="898" spans="1:6" x14ac:dyDescent="0.25">
      <c r="A898" s="1">
        <v>49537</v>
      </c>
      <c r="B898" t="s">
        <v>14</v>
      </c>
      <c r="C898">
        <v>19.3</v>
      </c>
      <c r="D898">
        <v>1.8</v>
      </c>
      <c r="E898">
        <f>IF(D898&gt;=1,martianeum[[#This Row],[zawartosc]] * 0.01 *martianeum[[#This Row],[masa '[kg']]],0)</f>
        <v>0.34740000000000004</v>
      </c>
    </row>
    <row r="899" spans="1:6" x14ac:dyDescent="0.25">
      <c r="A899" s="1">
        <v>49538</v>
      </c>
      <c r="B899" t="s">
        <v>17</v>
      </c>
      <c r="C899">
        <v>22.7</v>
      </c>
      <c r="D899">
        <v>0</v>
      </c>
      <c r="E899">
        <f>IF(D899&gt;=1,martianeum[[#This Row],[zawartosc]] * 0.01 *martianeum[[#This Row],[masa '[kg']]],0)</f>
        <v>0</v>
      </c>
    </row>
    <row r="900" spans="1:6" x14ac:dyDescent="0.25">
      <c r="A900" s="1">
        <v>49539</v>
      </c>
      <c r="B900" t="s">
        <v>10</v>
      </c>
      <c r="C900">
        <v>15.2</v>
      </c>
      <c r="D900">
        <v>0</v>
      </c>
      <c r="E900">
        <f>IF(D900&gt;=1,martianeum[[#This Row],[zawartosc]] * 0.01 *martianeum[[#This Row],[masa '[kg']]],0)</f>
        <v>0</v>
      </c>
    </row>
    <row r="901" spans="1:6" x14ac:dyDescent="0.25">
      <c r="A901" s="1">
        <v>49540</v>
      </c>
      <c r="B901" t="s">
        <v>22</v>
      </c>
      <c r="C901">
        <v>28.6</v>
      </c>
      <c r="D901">
        <v>0.2</v>
      </c>
      <c r="E901">
        <f>IF(D901&gt;=1,martianeum[[#This Row],[zawartosc]] * 0.01 *martianeum[[#This Row],[masa '[kg']]],0)</f>
        <v>0</v>
      </c>
    </row>
    <row r="902" spans="1:6" x14ac:dyDescent="0.25">
      <c r="A902" s="1">
        <v>49541</v>
      </c>
      <c r="B902" t="s">
        <v>6</v>
      </c>
      <c r="C902">
        <v>17.899999999999999</v>
      </c>
      <c r="D902">
        <v>18.600000000000001</v>
      </c>
      <c r="E902">
        <f>IF(D902&gt;=1,martianeum[[#This Row],[zawartosc]] * 0.01 *martianeum[[#This Row],[masa '[kg']]],0)</f>
        <v>3.3294000000000001</v>
      </c>
    </row>
    <row r="903" spans="1:6" x14ac:dyDescent="0.25">
      <c r="A903" s="1">
        <v>49542</v>
      </c>
      <c r="B903" t="s">
        <v>30</v>
      </c>
      <c r="C903">
        <v>11.6</v>
      </c>
      <c r="D903">
        <v>0</v>
      </c>
      <c r="E903">
        <f>IF(D903&gt;=1,martianeum[[#This Row],[zawartosc]] * 0.01 *martianeum[[#This Row],[masa '[kg']]],0)</f>
        <v>0</v>
      </c>
    </row>
    <row r="904" spans="1:6" x14ac:dyDescent="0.25">
      <c r="A904" s="1">
        <v>49543</v>
      </c>
      <c r="B904" t="s">
        <v>20</v>
      </c>
      <c r="C904">
        <v>19</v>
      </c>
      <c r="D904">
        <v>2.2000000000000002</v>
      </c>
      <c r="E904">
        <f>IF(D904&gt;=1,martianeum[[#This Row],[zawartosc]] * 0.01 *martianeum[[#This Row],[masa '[kg']]],0)</f>
        <v>0.41800000000000004</v>
      </c>
      <c r="F904">
        <f t="shared" ref="F904" si="127">SUM(C898:C904)</f>
        <v>134.30000000000001</v>
      </c>
    </row>
    <row r="905" spans="1:6" x14ac:dyDescent="0.25">
      <c r="A905" s="1">
        <v>49544</v>
      </c>
      <c r="B905" t="s">
        <v>11</v>
      </c>
      <c r="C905">
        <v>17.600000000000001</v>
      </c>
      <c r="D905">
        <v>7.2</v>
      </c>
      <c r="E905">
        <f>IF(D905&gt;=1,martianeum[[#This Row],[zawartosc]] * 0.01 *martianeum[[#This Row],[masa '[kg']]],0)</f>
        <v>1.2672000000000003</v>
      </c>
    </row>
    <row r="906" spans="1:6" x14ac:dyDescent="0.25">
      <c r="A906" s="1">
        <v>49545</v>
      </c>
      <c r="B906" t="s">
        <v>6</v>
      </c>
      <c r="C906">
        <v>12.1</v>
      </c>
      <c r="D906">
        <v>7.2</v>
      </c>
      <c r="E906">
        <f>IF(D906&gt;=1,martianeum[[#This Row],[zawartosc]] * 0.01 *martianeum[[#This Row],[masa '[kg']]],0)</f>
        <v>0.87120000000000009</v>
      </c>
    </row>
    <row r="907" spans="1:6" x14ac:dyDescent="0.25">
      <c r="A907" s="1">
        <v>49546</v>
      </c>
      <c r="B907" t="s">
        <v>12</v>
      </c>
      <c r="C907">
        <v>28.3</v>
      </c>
      <c r="D907">
        <v>1.8</v>
      </c>
      <c r="E907">
        <f>IF(D907&gt;=1,martianeum[[#This Row],[zawartosc]] * 0.01 *martianeum[[#This Row],[masa '[kg']]],0)</f>
        <v>0.50940000000000007</v>
      </c>
    </row>
    <row r="908" spans="1:6" x14ac:dyDescent="0.25">
      <c r="A908" s="1">
        <v>49547</v>
      </c>
      <c r="B908" t="s">
        <v>17</v>
      </c>
      <c r="C908">
        <v>13.3</v>
      </c>
      <c r="D908">
        <v>0</v>
      </c>
      <c r="E908">
        <f>IF(D908&gt;=1,martianeum[[#This Row],[zawartosc]] * 0.01 *martianeum[[#This Row],[masa '[kg']]],0)</f>
        <v>0</v>
      </c>
    </row>
    <row r="909" spans="1:6" x14ac:dyDescent="0.25">
      <c r="A909" s="1">
        <v>49548</v>
      </c>
      <c r="B909" t="s">
        <v>10</v>
      </c>
      <c r="C909">
        <v>21</v>
      </c>
      <c r="D909">
        <v>4.2</v>
      </c>
      <c r="E909">
        <f>IF(D909&gt;=1,martianeum[[#This Row],[zawartosc]] * 0.01 *martianeum[[#This Row],[masa '[kg']]],0)</f>
        <v>0.88200000000000001</v>
      </c>
    </row>
    <row r="910" spans="1:6" x14ac:dyDescent="0.25">
      <c r="A910" s="1">
        <v>49549</v>
      </c>
      <c r="B910" t="s">
        <v>9</v>
      </c>
      <c r="C910">
        <v>12</v>
      </c>
      <c r="D910">
        <v>2.2000000000000002</v>
      </c>
      <c r="E910">
        <f>IF(D910&gt;=1,martianeum[[#This Row],[zawartosc]] * 0.01 *martianeum[[#This Row],[masa '[kg']]],0)</f>
        <v>0.26400000000000001</v>
      </c>
    </row>
    <row r="911" spans="1:6" x14ac:dyDescent="0.25">
      <c r="A911" s="1">
        <v>49550</v>
      </c>
      <c r="B911" t="s">
        <v>18</v>
      </c>
      <c r="C911">
        <v>12.1</v>
      </c>
      <c r="D911">
        <v>0</v>
      </c>
      <c r="E911">
        <f>IF(D911&gt;=1,martianeum[[#This Row],[zawartosc]] * 0.01 *martianeum[[#This Row],[masa '[kg']]],0)</f>
        <v>0</v>
      </c>
      <c r="F911">
        <f t="shared" ref="F911" si="128">SUM(C905:C911)</f>
        <v>116.39999999999999</v>
      </c>
    </row>
    <row r="912" spans="1:6" x14ac:dyDescent="0.25">
      <c r="A912" s="1">
        <v>49551</v>
      </c>
      <c r="B912" t="s">
        <v>10</v>
      </c>
      <c r="C912">
        <v>15.8</v>
      </c>
      <c r="D912">
        <v>17.2</v>
      </c>
      <c r="E912">
        <f>IF(D912&gt;=1,martianeum[[#This Row],[zawartosc]] * 0.01 *martianeum[[#This Row],[masa '[kg']]],0)</f>
        <v>2.7176</v>
      </c>
    </row>
    <row r="913" spans="1:6" x14ac:dyDescent="0.25">
      <c r="A913" s="1">
        <v>49552</v>
      </c>
      <c r="B913" t="s">
        <v>11</v>
      </c>
      <c r="C913">
        <v>25.7</v>
      </c>
      <c r="D913">
        <v>5.9</v>
      </c>
      <c r="E913">
        <f>IF(D913&gt;=1,martianeum[[#This Row],[zawartosc]] * 0.01 *martianeum[[#This Row],[masa '[kg']]],0)</f>
        <v>1.5163</v>
      </c>
    </row>
    <row r="914" spans="1:6" x14ac:dyDescent="0.25">
      <c r="A914" s="1">
        <v>49553</v>
      </c>
      <c r="B914" t="s">
        <v>9</v>
      </c>
      <c r="C914">
        <v>20.5</v>
      </c>
      <c r="D914">
        <v>26</v>
      </c>
      <c r="E914">
        <f>IF(D914&gt;=1,martianeum[[#This Row],[zawartosc]] * 0.01 *martianeum[[#This Row],[masa '[kg']]],0)</f>
        <v>5.33</v>
      </c>
    </row>
    <row r="915" spans="1:6" x14ac:dyDescent="0.25">
      <c r="A915" s="1">
        <v>49554</v>
      </c>
      <c r="B915" t="s">
        <v>12</v>
      </c>
      <c r="C915">
        <v>23.5</v>
      </c>
      <c r="D915">
        <v>15.3</v>
      </c>
      <c r="E915">
        <f>IF(D915&gt;=1,martianeum[[#This Row],[zawartosc]] * 0.01 *martianeum[[#This Row],[masa '[kg']]],0)</f>
        <v>3.5954999999999999</v>
      </c>
    </row>
    <row r="916" spans="1:6" x14ac:dyDescent="0.25">
      <c r="A916" s="1">
        <v>49555</v>
      </c>
      <c r="B916" t="s">
        <v>11</v>
      </c>
      <c r="C916">
        <v>21.7</v>
      </c>
      <c r="D916">
        <v>1.2</v>
      </c>
      <c r="E916">
        <f>IF(D916&gt;=1,martianeum[[#This Row],[zawartosc]] * 0.01 *martianeum[[#This Row],[masa '[kg']]],0)</f>
        <v>0.26040000000000002</v>
      </c>
    </row>
    <row r="917" spans="1:6" x14ac:dyDescent="0.25">
      <c r="A917" s="1">
        <v>49556</v>
      </c>
      <c r="B917" t="s">
        <v>9</v>
      </c>
      <c r="C917">
        <v>29.8</v>
      </c>
      <c r="D917">
        <v>0</v>
      </c>
      <c r="E917">
        <f>IF(D917&gt;=1,martianeum[[#This Row],[zawartosc]] * 0.01 *martianeum[[#This Row],[masa '[kg']]],0)</f>
        <v>0</v>
      </c>
    </row>
    <row r="918" spans="1:6" x14ac:dyDescent="0.25">
      <c r="A918" s="1">
        <v>49557</v>
      </c>
      <c r="B918" t="s">
        <v>6</v>
      </c>
      <c r="C918">
        <v>27.1</v>
      </c>
      <c r="D918">
        <v>0</v>
      </c>
      <c r="E918">
        <f>IF(D918&gt;=1,martianeum[[#This Row],[zawartosc]] * 0.01 *martianeum[[#This Row],[masa '[kg']]],0)</f>
        <v>0</v>
      </c>
      <c r="F918">
        <f t="shared" ref="F918" si="129">SUM(C912:C918)</f>
        <v>164.1</v>
      </c>
    </row>
    <row r="919" spans="1:6" x14ac:dyDescent="0.25">
      <c r="A919" s="1">
        <v>49558</v>
      </c>
      <c r="B919" t="s">
        <v>11</v>
      </c>
      <c r="C919">
        <v>27.3</v>
      </c>
      <c r="D919">
        <v>0</v>
      </c>
      <c r="E919">
        <f>IF(D919&gt;=1,martianeum[[#This Row],[zawartosc]] * 0.01 *martianeum[[#This Row],[masa '[kg']]],0)</f>
        <v>0</v>
      </c>
    </row>
    <row r="920" spans="1:6" x14ac:dyDescent="0.25">
      <c r="A920" s="1">
        <v>49559</v>
      </c>
      <c r="B920" t="s">
        <v>18</v>
      </c>
      <c r="C920">
        <v>15.5</v>
      </c>
      <c r="D920">
        <v>27.6</v>
      </c>
      <c r="E920">
        <f>IF(D920&gt;=1,martianeum[[#This Row],[zawartosc]] * 0.01 *martianeum[[#This Row],[masa '[kg']]],0)</f>
        <v>4.2780000000000005</v>
      </c>
    </row>
    <row r="921" spans="1:6" x14ac:dyDescent="0.25">
      <c r="A921" s="1">
        <v>49560</v>
      </c>
      <c r="B921" t="s">
        <v>12</v>
      </c>
      <c r="C921">
        <v>27.9</v>
      </c>
      <c r="D921">
        <v>5.0999999999999996</v>
      </c>
      <c r="E921">
        <f>IF(D921&gt;=1,martianeum[[#This Row],[zawartosc]] * 0.01 *martianeum[[#This Row],[masa '[kg']]],0)</f>
        <v>1.4228999999999998</v>
      </c>
    </row>
    <row r="922" spans="1:6" x14ac:dyDescent="0.25">
      <c r="A922" s="1">
        <v>49561</v>
      </c>
      <c r="B922" t="s">
        <v>9</v>
      </c>
      <c r="C922">
        <v>19.7</v>
      </c>
      <c r="D922">
        <v>21.4</v>
      </c>
      <c r="E922">
        <f>IF(D922&gt;=1,martianeum[[#This Row],[zawartosc]] * 0.01 *martianeum[[#This Row],[masa '[kg']]],0)</f>
        <v>4.2157999999999998</v>
      </c>
    </row>
    <row r="923" spans="1:6" x14ac:dyDescent="0.25">
      <c r="A923" s="1">
        <v>49562</v>
      </c>
      <c r="B923" t="s">
        <v>9</v>
      </c>
      <c r="C923">
        <v>27.8</v>
      </c>
      <c r="D923">
        <v>27.6</v>
      </c>
      <c r="E923">
        <f>IF(D923&gt;=1,martianeum[[#This Row],[zawartosc]] * 0.01 *martianeum[[#This Row],[masa '[kg']]],0)</f>
        <v>7.6728000000000005</v>
      </c>
    </row>
    <row r="924" spans="1:6" x14ac:dyDescent="0.25">
      <c r="A924" s="1">
        <v>49563</v>
      </c>
      <c r="B924" t="s">
        <v>21</v>
      </c>
      <c r="C924">
        <v>12.3</v>
      </c>
      <c r="D924">
        <v>2.9</v>
      </c>
      <c r="E924">
        <f>IF(D924&gt;=1,martianeum[[#This Row],[zawartosc]] * 0.01 *martianeum[[#This Row],[masa '[kg']]],0)</f>
        <v>0.35670000000000002</v>
      </c>
    </row>
    <row r="925" spans="1:6" x14ac:dyDescent="0.25">
      <c r="A925" s="1">
        <v>49564</v>
      </c>
      <c r="B925" t="s">
        <v>17</v>
      </c>
      <c r="C925">
        <v>12.8</v>
      </c>
      <c r="D925">
        <v>8.8000000000000007</v>
      </c>
      <c r="E925">
        <f>IF(D925&gt;=1,martianeum[[#This Row],[zawartosc]] * 0.01 *martianeum[[#This Row],[masa '[kg']]],0)</f>
        <v>1.1264000000000001</v>
      </c>
      <c r="F925">
        <f t="shared" ref="F925" si="130">SUM(C919:C925)</f>
        <v>143.30000000000001</v>
      </c>
    </row>
    <row r="926" spans="1:6" x14ac:dyDescent="0.25">
      <c r="A926" s="1">
        <v>49565</v>
      </c>
      <c r="B926" t="s">
        <v>9</v>
      </c>
      <c r="C926">
        <v>15</v>
      </c>
      <c r="D926">
        <v>0</v>
      </c>
      <c r="E926">
        <f>IF(D926&gt;=1,martianeum[[#This Row],[zawartosc]] * 0.01 *martianeum[[#This Row],[masa '[kg']]],0)</f>
        <v>0</v>
      </c>
    </row>
    <row r="927" spans="1:6" x14ac:dyDescent="0.25">
      <c r="A927" s="1">
        <v>49566</v>
      </c>
      <c r="B927" t="s">
        <v>22</v>
      </c>
      <c r="C927">
        <v>27.6</v>
      </c>
      <c r="D927">
        <v>4.7</v>
      </c>
      <c r="E927">
        <f>IF(D927&gt;=1,martianeum[[#This Row],[zawartosc]] * 0.01 *martianeum[[#This Row],[masa '[kg']]],0)</f>
        <v>1.2972000000000001</v>
      </c>
    </row>
    <row r="928" spans="1:6" x14ac:dyDescent="0.25">
      <c r="A928" s="1">
        <v>49567</v>
      </c>
      <c r="B928" t="s">
        <v>9</v>
      </c>
      <c r="C928">
        <v>19.600000000000001</v>
      </c>
      <c r="D928">
        <v>0</v>
      </c>
      <c r="E928">
        <f>IF(D928&gt;=1,martianeum[[#This Row],[zawartosc]] * 0.01 *martianeum[[#This Row],[masa '[kg']]],0)</f>
        <v>0</v>
      </c>
    </row>
    <row r="929" spans="1:6" x14ac:dyDescent="0.25">
      <c r="A929" s="1">
        <v>49568</v>
      </c>
      <c r="B929" t="s">
        <v>29</v>
      </c>
      <c r="C929">
        <v>16</v>
      </c>
      <c r="D929">
        <v>0.4</v>
      </c>
      <c r="E929">
        <f>IF(D929&gt;=1,martianeum[[#This Row],[zawartosc]] * 0.01 *martianeum[[#This Row],[masa '[kg']]],0)</f>
        <v>0</v>
      </c>
    </row>
    <row r="930" spans="1:6" x14ac:dyDescent="0.25">
      <c r="A930" s="1">
        <v>49569</v>
      </c>
      <c r="B930" t="s">
        <v>9</v>
      </c>
      <c r="C930">
        <v>10.3</v>
      </c>
      <c r="D930">
        <v>0</v>
      </c>
      <c r="E930">
        <f>IF(D930&gt;=1,martianeum[[#This Row],[zawartosc]] * 0.01 *martianeum[[#This Row],[masa '[kg']]],0)</f>
        <v>0</v>
      </c>
    </row>
    <row r="931" spans="1:6" x14ac:dyDescent="0.25">
      <c r="A931" s="1">
        <v>49570</v>
      </c>
      <c r="B931" t="s">
        <v>17</v>
      </c>
      <c r="C931">
        <v>20.2</v>
      </c>
      <c r="D931">
        <v>13.9</v>
      </c>
      <c r="E931">
        <f>IF(D931&gt;=1,martianeum[[#This Row],[zawartosc]] * 0.01 *martianeum[[#This Row],[masa '[kg']]],0)</f>
        <v>2.8078000000000003</v>
      </c>
    </row>
    <row r="932" spans="1:6" x14ac:dyDescent="0.25">
      <c r="A932" s="1">
        <v>49571</v>
      </c>
      <c r="B932" t="s">
        <v>25</v>
      </c>
      <c r="C932">
        <v>26.4</v>
      </c>
      <c r="D932">
        <v>6.8</v>
      </c>
      <c r="E932">
        <f>IF(D932&gt;=1,martianeum[[#This Row],[zawartosc]] * 0.01 *martianeum[[#This Row],[masa '[kg']]],0)</f>
        <v>1.7952000000000001</v>
      </c>
      <c r="F932">
        <f t="shared" ref="F932" si="131">SUM(C926:C932)</f>
        <v>135.1</v>
      </c>
    </row>
    <row r="933" spans="1:6" x14ac:dyDescent="0.25">
      <c r="A933" s="1">
        <v>49572</v>
      </c>
      <c r="B933" t="s">
        <v>16</v>
      </c>
      <c r="C933">
        <v>20.6</v>
      </c>
      <c r="D933">
        <v>0</v>
      </c>
      <c r="E933">
        <f>IF(D933&gt;=1,martianeum[[#This Row],[zawartosc]] * 0.01 *martianeum[[#This Row],[masa '[kg']]],0)</f>
        <v>0</v>
      </c>
    </row>
    <row r="934" spans="1:6" x14ac:dyDescent="0.25">
      <c r="A934" s="1">
        <v>49573</v>
      </c>
      <c r="B934" t="s">
        <v>18</v>
      </c>
      <c r="C934">
        <v>12.3</v>
      </c>
      <c r="D934">
        <v>0.2</v>
      </c>
      <c r="E934">
        <f>IF(D934&gt;=1,martianeum[[#This Row],[zawartosc]] * 0.01 *martianeum[[#This Row],[masa '[kg']]],0)</f>
        <v>0</v>
      </c>
    </row>
    <row r="935" spans="1:6" x14ac:dyDescent="0.25">
      <c r="A935" s="1">
        <v>49574</v>
      </c>
      <c r="B935" t="s">
        <v>18</v>
      </c>
      <c r="C935">
        <v>11.2</v>
      </c>
      <c r="D935">
        <v>36.200000000000003</v>
      </c>
      <c r="E935">
        <f>IF(D935&gt;=1,martianeum[[#This Row],[zawartosc]] * 0.01 *martianeum[[#This Row],[masa '[kg']]],0)</f>
        <v>4.0544000000000002</v>
      </c>
    </row>
    <row r="936" spans="1:6" x14ac:dyDescent="0.25">
      <c r="A936" s="1">
        <v>49575</v>
      </c>
      <c r="B936" t="s">
        <v>7</v>
      </c>
      <c r="C936">
        <v>22.6</v>
      </c>
      <c r="D936">
        <v>2.4</v>
      </c>
      <c r="E936">
        <f>IF(D936&gt;=1,martianeum[[#This Row],[zawartosc]] * 0.01 *martianeum[[#This Row],[masa '[kg']]],0)</f>
        <v>0.54239999999999999</v>
      </c>
    </row>
    <row r="937" spans="1:6" x14ac:dyDescent="0.25">
      <c r="A937" s="1">
        <v>49576</v>
      </c>
      <c r="B937" t="s">
        <v>24</v>
      </c>
      <c r="C937">
        <v>16.399999999999999</v>
      </c>
      <c r="D937">
        <v>0.1</v>
      </c>
      <c r="E937">
        <f>IF(D937&gt;=1,martianeum[[#This Row],[zawartosc]] * 0.01 *martianeum[[#This Row],[masa '[kg']]],0)</f>
        <v>0</v>
      </c>
    </row>
    <row r="938" spans="1:6" x14ac:dyDescent="0.25">
      <c r="A938" s="1">
        <v>49577</v>
      </c>
      <c r="B938" t="s">
        <v>26</v>
      </c>
      <c r="C938">
        <v>23.4</v>
      </c>
      <c r="D938">
        <v>0</v>
      </c>
      <c r="E938">
        <f>IF(D938&gt;=1,martianeum[[#This Row],[zawartosc]] * 0.01 *martianeum[[#This Row],[masa '[kg']]],0)</f>
        <v>0</v>
      </c>
    </row>
    <row r="939" spans="1:6" x14ac:dyDescent="0.25">
      <c r="A939" s="1">
        <v>49578</v>
      </c>
      <c r="B939" t="s">
        <v>22</v>
      </c>
      <c r="C939">
        <v>20.2</v>
      </c>
      <c r="D939">
        <v>0.3</v>
      </c>
      <c r="E939">
        <f>IF(D939&gt;=1,martianeum[[#This Row],[zawartosc]] * 0.01 *martianeum[[#This Row],[masa '[kg']]],0)</f>
        <v>0</v>
      </c>
      <c r="F939">
        <f t="shared" ref="F939" si="132">SUM(C933:C939)</f>
        <v>126.70000000000003</v>
      </c>
    </row>
    <row r="940" spans="1:6" x14ac:dyDescent="0.25">
      <c r="A940" s="1">
        <v>49579</v>
      </c>
      <c r="B940" t="s">
        <v>10</v>
      </c>
      <c r="C940">
        <v>17.600000000000001</v>
      </c>
      <c r="D940">
        <v>15</v>
      </c>
      <c r="E940">
        <f>IF(D940&gt;=1,martianeum[[#This Row],[zawartosc]] * 0.01 *martianeum[[#This Row],[masa '[kg']]],0)</f>
        <v>2.64</v>
      </c>
    </row>
    <row r="941" spans="1:6" x14ac:dyDescent="0.25">
      <c r="A941" s="1">
        <v>49580</v>
      </c>
      <c r="B941" t="s">
        <v>9</v>
      </c>
      <c r="C941">
        <v>21.7</v>
      </c>
      <c r="D941">
        <v>33.299999999999997</v>
      </c>
      <c r="E941">
        <f>IF(D941&gt;=1,martianeum[[#This Row],[zawartosc]] * 0.01 *martianeum[[#This Row],[masa '[kg']]],0)</f>
        <v>7.2260999999999989</v>
      </c>
    </row>
    <row r="942" spans="1:6" x14ac:dyDescent="0.25">
      <c r="A942" s="1">
        <v>49581</v>
      </c>
      <c r="B942" t="s">
        <v>9</v>
      </c>
      <c r="C942">
        <v>18.399999999999999</v>
      </c>
      <c r="D942">
        <v>19.3</v>
      </c>
      <c r="E942">
        <f>IF(D942&gt;=1,martianeum[[#This Row],[zawartosc]] * 0.01 *martianeum[[#This Row],[masa '[kg']]],0)</f>
        <v>3.5511999999999997</v>
      </c>
    </row>
    <row r="943" spans="1:6" x14ac:dyDescent="0.25">
      <c r="A943" s="1">
        <v>49582</v>
      </c>
      <c r="B943" t="s">
        <v>6</v>
      </c>
      <c r="C943">
        <v>20.100000000000001</v>
      </c>
      <c r="D943">
        <v>15.4</v>
      </c>
      <c r="E943">
        <f>IF(D943&gt;=1,martianeum[[#This Row],[zawartosc]] * 0.01 *martianeum[[#This Row],[masa '[kg']]],0)</f>
        <v>3.0954000000000002</v>
      </c>
    </row>
    <row r="944" spans="1:6" x14ac:dyDescent="0.25">
      <c r="A944" s="1">
        <v>49583</v>
      </c>
      <c r="B944" t="s">
        <v>17</v>
      </c>
      <c r="C944">
        <v>16.5</v>
      </c>
      <c r="D944">
        <v>14.7</v>
      </c>
      <c r="E944">
        <f>IF(D944&gt;=1,martianeum[[#This Row],[zawartosc]] * 0.01 *martianeum[[#This Row],[masa '[kg']]],0)</f>
        <v>2.4255</v>
      </c>
    </row>
    <row r="945" spans="1:6" x14ac:dyDescent="0.25">
      <c r="A945" s="1">
        <v>49584</v>
      </c>
      <c r="B945" t="s">
        <v>9</v>
      </c>
      <c r="C945">
        <v>12.3</v>
      </c>
      <c r="D945">
        <v>30.2</v>
      </c>
      <c r="E945">
        <f>IF(D945&gt;=1,martianeum[[#This Row],[zawartosc]] * 0.01 *martianeum[[#This Row],[masa '[kg']]],0)</f>
        <v>3.7145999999999999</v>
      </c>
    </row>
    <row r="946" spans="1:6" x14ac:dyDescent="0.25">
      <c r="A946" s="1">
        <v>49585</v>
      </c>
      <c r="B946" t="s">
        <v>9</v>
      </c>
      <c r="C946">
        <v>29.6</v>
      </c>
      <c r="D946">
        <v>42.8</v>
      </c>
      <c r="E946">
        <f>IF(D946&gt;=1,martianeum[[#This Row],[zawartosc]] * 0.01 *martianeum[[#This Row],[masa '[kg']]],0)</f>
        <v>12.668800000000001</v>
      </c>
      <c r="F946">
        <f t="shared" ref="F946" si="133">SUM(C940:C946)</f>
        <v>136.19999999999999</v>
      </c>
    </row>
    <row r="947" spans="1:6" x14ac:dyDescent="0.25">
      <c r="A947" s="1">
        <v>49586</v>
      </c>
      <c r="B947" t="s">
        <v>11</v>
      </c>
      <c r="C947">
        <v>26.6</v>
      </c>
      <c r="D947">
        <v>9.1999999999999993</v>
      </c>
      <c r="E947">
        <f>IF(D947&gt;=1,martianeum[[#This Row],[zawartosc]] * 0.01 *martianeum[[#This Row],[masa '[kg']]],0)</f>
        <v>2.4472</v>
      </c>
    </row>
    <row r="948" spans="1:6" x14ac:dyDescent="0.25">
      <c r="A948" s="1">
        <v>49587</v>
      </c>
      <c r="B948" t="s">
        <v>17</v>
      </c>
      <c r="C948">
        <v>26.7</v>
      </c>
      <c r="D948">
        <v>4</v>
      </c>
      <c r="E948">
        <f>IF(D948&gt;=1,martianeum[[#This Row],[zawartosc]] * 0.01 *martianeum[[#This Row],[masa '[kg']]],0)</f>
        <v>1.0680000000000001</v>
      </c>
    </row>
    <row r="949" spans="1:6" x14ac:dyDescent="0.25">
      <c r="A949" s="1">
        <v>49588</v>
      </c>
      <c r="B949" t="s">
        <v>14</v>
      </c>
      <c r="C949">
        <v>23.6</v>
      </c>
      <c r="D949">
        <v>0</v>
      </c>
      <c r="E949">
        <f>IF(D949&gt;=1,martianeum[[#This Row],[zawartosc]] * 0.01 *martianeum[[#This Row],[masa '[kg']]],0)</f>
        <v>0</v>
      </c>
    </row>
    <row r="950" spans="1:6" x14ac:dyDescent="0.25">
      <c r="A950" s="1">
        <v>49589</v>
      </c>
      <c r="B950" t="s">
        <v>24</v>
      </c>
      <c r="C950">
        <v>13.6</v>
      </c>
      <c r="D950">
        <v>2.8</v>
      </c>
      <c r="E950">
        <f>IF(D950&gt;=1,martianeum[[#This Row],[zawartosc]] * 0.01 *martianeum[[#This Row],[masa '[kg']]],0)</f>
        <v>0.38079999999999997</v>
      </c>
    </row>
    <row r="951" spans="1:6" x14ac:dyDescent="0.25">
      <c r="A951" s="1">
        <v>49590</v>
      </c>
      <c r="B951" t="s">
        <v>4</v>
      </c>
      <c r="C951">
        <v>13.8</v>
      </c>
      <c r="D951">
        <v>6.5</v>
      </c>
      <c r="E951">
        <f>IF(D951&gt;=1,martianeum[[#This Row],[zawartosc]] * 0.01 *martianeum[[#This Row],[masa '[kg']]],0)</f>
        <v>0.89700000000000013</v>
      </c>
    </row>
    <row r="952" spans="1:6" x14ac:dyDescent="0.25">
      <c r="A952" s="1">
        <v>49591</v>
      </c>
      <c r="B952" t="s">
        <v>5</v>
      </c>
      <c r="C952">
        <v>12.3</v>
      </c>
      <c r="D952">
        <v>0</v>
      </c>
      <c r="E952">
        <f>IF(D952&gt;=1,martianeum[[#This Row],[zawartosc]] * 0.01 *martianeum[[#This Row],[masa '[kg']]],0)</f>
        <v>0</v>
      </c>
    </row>
    <row r="953" spans="1:6" x14ac:dyDescent="0.25">
      <c r="A953" s="1">
        <v>49592</v>
      </c>
      <c r="B953" t="s">
        <v>6</v>
      </c>
      <c r="C953">
        <v>12.3</v>
      </c>
      <c r="D953">
        <v>0</v>
      </c>
      <c r="E953">
        <f>IF(D953&gt;=1,martianeum[[#This Row],[zawartosc]] * 0.01 *martianeum[[#This Row],[masa '[kg']]],0)</f>
        <v>0</v>
      </c>
      <c r="F953">
        <f t="shared" ref="F953" si="134">SUM(C947:C953)</f>
        <v>128.9</v>
      </c>
    </row>
    <row r="954" spans="1:6" x14ac:dyDescent="0.25">
      <c r="A954" s="1">
        <v>49593</v>
      </c>
      <c r="B954" t="s">
        <v>17</v>
      </c>
      <c r="C954">
        <v>22.7</v>
      </c>
      <c r="D954">
        <v>10.3</v>
      </c>
      <c r="E954">
        <f>IF(D954&gt;=1,martianeum[[#This Row],[zawartosc]] * 0.01 *martianeum[[#This Row],[masa '[kg']]],0)</f>
        <v>2.3381000000000003</v>
      </c>
    </row>
    <row r="955" spans="1:6" x14ac:dyDescent="0.25">
      <c r="A955" s="1">
        <v>49594</v>
      </c>
      <c r="B955" t="s">
        <v>9</v>
      </c>
      <c r="C955">
        <v>19</v>
      </c>
      <c r="D955">
        <v>0</v>
      </c>
      <c r="E955">
        <f>IF(D955&gt;=1,martianeum[[#This Row],[zawartosc]] * 0.01 *martianeum[[#This Row],[masa '[kg']]],0)</f>
        <v>0</v>
      </c>
    </row>
    <row r="956" spans="1:6" x14ac:dyDescent="0.25">
      <c r="A956" s="1">
        <v>49595</v>
      </c>
      <c r="B956" t="s">
        <v>7</v>
      </c>
      <c r="C956">
        <v>23.4</v>
      </c>
      <c r="D956">
        <v>0</v>
      </c>
      <c r="E956">
        <f>IF(D956&gt;=1,martianeum[[#This Row],[zawartosc]] * 0.01 *martianeum[[#This Row],[masa '[kg']]],0)</f>
        <v>0</v>
      </c>
    </row>
    <row r="957" spans="1:6" x14ac:dyDescent="0.25">
      <c r="A957" s="1">
        <v>49596</v>
      </c>
      <c r="B957" t="s">
        <v>14</v>
      </c>
      <c r="C957">
        <v>28.2</v>
      </c>
      <c r="D957">
        <v>0</v>
      </c>
      <c r="E957">
        <f>IF(D957&gt;=1,martianeum[[#This Row],[zawartosc]] * 0.01 *martianeum[[#This Row],[masa '[kg']]],0)</f>
        <v>0</v>
      </c>
    </row>
    <row r="958" spans="1:6" x14ac:dyDescent="0.25">
      <c r="A958" s="1">
        <v>49597</v>
      </c>
      <c r="B958" t="s">
        <v>14</v>
      </c>
      <c r="C958">
        <v>20.100000000000001</v>
      </c>
      <c r="D958">
        <v>9.6999999999999993</v>
      </c>
      <c r="E958">
        <f>IF(D958&gt;=1,martianeum[[#This Row],[zawartosc]] * 0.01 *martianeum[[#This Row],[masa '[kg']]],0)</f>
        <v>1.9497</v>
      </c>
    </row>
    <row r="959" spans="1:6" x14ac:dyDescent="0.25">
      <c r="A959" s="1">
        <v>49598</v>
      </c>
      <c r="B959" t="s">
        <v>16</v>
      </c>
      <c r="C959">
        <v>29.6</v>
      </c>
      <c r="D959">
        <v>0</v>
      </c>
      <c r="E959">
        <f>IF(D959&gt;=1,martianeum[[#This Row],[zawartosc]] * 0.01 *martianeum[[#This Row],[masa '[kg']]],0)</f>
        <v>0</v>
      </c>
    </row>
    <row r="960" spans="1:6" x14ac:dyDescent="0.25">
      <c r="A960" s="1">
        <v>49599</v>
      </c>
      <c r="B960" t="s">
        <v>6</v>
      </c>
      <c r="C960">
        <v>25.8</v>
      </c>
      <c r="D960">
        <v>0</v>
      </c>
      <c r="E960">
        <f>IF(D960&gt;=1,martianeum[[#This Row],[zawartosc]] * 0.01 *martianeum[[#This Row],[masa '[kg']]],0)</f>
        <v>0</v>
      </c>
      <c r="F960">
        <f t="shared" ref="F960" si="135">SUM(C954:C960)</f>
        <v>168.8</v>
      </c>
    </row>
    <row r="961" spans="1:6" x14ac:dyDescent="0.25">
      <c r="A961" s="1">
        <v>49600</v>
      </c>
      <c r="B961" t="s">
        <v>9</v>
      </c>
      <c r="C961">
        <v>19.600000000000001</v>
      </c>
      <c r="D961">
        <v>18.5</v>
      </c>
      <c r="E961">
        <f>IF(D961&gt;=1,martianeum[[#This Row],[zawartosc]] * 0.01 *martianeum[[#This Row],[masa '[kg']]],0)</f>
        <v>3.6260000000000003</v>
      </c>
    </row>
    <row r="962" spans="1:6" x14ac:dyDescent="0.25">
      <c r="A962" s="1">
        <v>49601</v>
      </c>
      <c r="B962" t="s">
        <v>18</v>
      </c>
      <c r="C962">
        <v>21.5</v>
      </c>
      <c r="D962">
        <v>3</v>
      </c>
      <c r="E962">
        <f>IF(D962&gt;=1,martianeum[[#This Row],[zawartosc]] * 0.01 *martianeum[[#This Row],[masa '[kg']]],0)</f>
        <v>0.64500000000000002</v>
      </c>
    </row>
    <row r="963" spans="1:6" x14ac:dyDescent="0.25">
      <c r="A963" s="1">
        <v>49602</v>
      </c>
      <c r="B963" t="s">
        <v>14</v>
      </c>
      <c r="C963">
        <v>24.2</v>
      </c>
      <c r="D963">
        <v>17.399999999999999</v>
      </c>
      <c r="E963">
        <f>IF(D963&gt;=1,martianeum[[#This Row],[zawartosc]] * 0.01 *martianeum[[#This Row],[masa '[kg']]],0)</f>
        <v>4.2107999999999999</v>
      </c>
    </row>
    <row r="964" spans="1:6" x14ac:dyDescent="0.25">
      <c r="A964" s="1">
        <v>49603</v>
      </c>
      <c r="B964" t="s">
        <v>26</v>
      </c>
      <c r="C964">
        <v>12</v>
      </c>
      <c r="D964">
        <v>0</v>
      </c>
      <c r="E964">
        <f>IF(D964&gt;=1,martianeum[[#This Row],[zawartosc]] * 0.01 *martianeum[[#This Row],[masa '[kg']]],0)</f>
        <v>0</v>
      </c>
    </row>
    <row r="965" spans="1:6" x14ac:dyDescent="0.25">
      <c r="A965" s="1">
        <v>49604</v>
      </c>
      <c r="B965" t="s">
        <v>32</v>
      </c>
      <c r="C965">
        <v>23</v>
      </c>
      <c r="D965">
        <v>0</v>
      </c>
      <c r="E965">
        <f>IF(D965&gt;=1,martianeum[[#This Row],[zawartosc]] * 0.01 *martianeum[[#This Row],[masa '[kg']]],0)</f>
        <v>0</v>
      </c>
    </row>
    <row r="966" spans="1:6" x14ac:dyDescent="0.25">
      <c r="A966" s="1">
        <v>49605</v>
      </c>
      <c r="B966" t="s">
        <v>18</v>
      </c>
      <c r="C966">
        <v>19.8</v>
      </c>
      <c r="D966">
        <v>29.2</v>
      </c>
      <c r="E966">
        <f>IF(D966&gt;=1,martianeum[[#This Row],[zawartosc]] * 0.01 *martianeum[[#This Row],[masa '[kg']]],0)</f>
        <v>5.7816000000000001</v>
      </c>
    </row>
    <row r="967" spans="1:6" x14ac:dyDescent="0.25">
      <c r="A967" s="1">
        <v>49606</v>
      </c>
      <c r="B967" t="s">
        <v>4</v>
      </c>
      <c r="C967">
        <v>14.9</v>
      </c>
      <c r="D967">
        <v>0.8</v>
      </c>
      <c r="E967">
        <f>IF(D967&gt;=1,martianeum[[#This Row],[zawartosc]] * 0.01 *martianeum[[#This Row],[masa '[kg']]],0)</f>
        <v>0</v>
      </c>
      <c r="F967">
        <f t="shared" ref="F967" si="136">SUM(C961:C967)</f>
        <v>135</v>
      </c>
    </row>
    <row r="968" spans="1:6" x14ac:dyDescent="0.25">
      <c r="A968" s="1">
        <v>49607</v>
      </c>
      <c r="B968" t="s">
        <v>14</v>
      </c>
      <c r="C968">
        <v>17.899999999999999</v>
      </c>
      <c r="D968">
        <v>10.3</v>
      </c>
      <c r="E968">
        <f>IF(D968&gt;=1,martianeum[[#This Row],[zawartosc]] * 0.01 *martianeum[[#This Row],[masa '[kg']]],0)</f>
        <v>1.8436999999999999</v>
      </c>
    </row>
    <row r="969" spans="1:6" x14ac:dyDescent="0.25">
      <c r="A969" s="1">
        <v>49608</v>
      </c>
      <c r="B969" t="s">
        <v>6</v>
      </c>
      <c r="C969">
        <v>26</v>
      </c>
      <c r="D969">
        <v>0</v>
      </c>
      <c r="E969">
        <f>IF(D969&gt;=1,martianeum[[#This Row],[zawartosc]] * 0.01 *martianeum[[#This Row],[masa '[kg']]],0)</f>
        <v>0</v>
      </c>
    </row>
    <row r="970" spans="1:6" x14ac:dyDescent="0.25">
      <c r="A970" s="1">
        <v>49609</v>
      </c>
      <c r="B970" t="s">
        <v>11</v>
      </c>
      <c r="C970">
        <v>21.5</v>
      </c>
      <c r="D970">
        <v>9.3000000000000007</v>
      </c>
      <c r="E970">
        <f>IF(D970&gt;=1,martianeum[[#This Row],[zawartosc]] * 0.01 *martianeum[[#This Row],[masa '[kg']]],0)</f>
        <v>1.9995000000000003</v>
      </c>
    </row>
    <row r="971" spans="1:6" x14ac:dyDescent="0.25">
      <c r="A971" s="1">
        <v>49610</v>
      </c>
      <c r="B971" t="s">
        <v>18</v>
      </c>
      <c r="C971">
        <v>29.9</v>
      </c>
      <c r="D971">
        <v>2.4</v>
      </c>
      <c r="E971">
        <f>IF(D971&gt;=1,martianeum[[#This Row],[zawartosc]] * 0.01 *martianeum[[#This Row],[masa '[kg']]],0)</f>
        <v>0.71760000000000002</v>
      </c>
    </row>
    <row r="972" spans="1:6" x14ac:dyDescent="0.25">
      <c r="A972" s="1">
        <v>49611</v>
      </c>
      <c r="B972" t="s">
        <v>9</v>
      </c>
      <c r="C972">
        <v>12.3</v>
      </c>
      <c r="D972">
        <v>35.1</v>
      </c>
      <c r="E972">
        <f>IF(D972&gt;=1,martianeum[[#This Row],[zawartosc]] * 0.01 *martianeum[[#This Row],[masa '[kg']]],0)</f>
        <v>4.3173000000000004</v>
      </c>
    </row>
    <row r="973" spans="1:6" x14ac:dyDescent="0.25">
      <c r="A973" s="1">
        <v>49612</v>
      </c>
      <c r="B973" t="s">
        <v>16</v>
      </c>
      <c r="C973">
        <v>21.7</v>
      </c>
      <c r="D973">
        <v>3.9</v>
      </c>
      <c r="E973">
        <f>IF(D973&gt;=1,martianeum[[#This Row],[zawartosc]] * 0.01 *martianeum[[#This Row],[masa '[kg']]],0)</f>
        <v>0.84629999999999994</v>
      </c>
    </row>
    <row r="974" spans="1:6" x14ac:dyDescent="0.25">
      <c r="A974" s="1">
        <v>49613</v>
      </c>
      <c r="B974" t="s">
        <v>9</v>
      </c>
      <c r="C974">
        <v>10.7</v>
      </c>
      <c r="D974">
        <v>0</v>
      </c>
      <c r="E974">
        <f>IF(D974&gt;=1,martianeum[[#This Row],[zawartosc]] * 0.01 *martianeum[[#This Row],[masa '[kg']]],0)</f>
        <v>0</v>
      </c>
      <c r="F974">
        <f t="shared" ref="F974" si="137">SUM(C968:C974)</f>
        <v>140</v>
      </c>
    </row>
    <row r="975" spans="1:6" x14ac:dyDescent="0.25">
      <c r="A975" s="1">
        <v>49614</v>
      </c>
      <c r="B975" t="s">
        <v>4</v>
      </c>
      <c r="C975">
        <v>21.5</v>
      </c>
      <c r="D975">
        <v>0</v>
      </c>
      <c r="E975">
        <f>IF(D975&gt;=1,martianeum[[#This Row],[zawartosc]] * 0.01 *martianeum[[#This Row],[masa '[kg']]],0)</f>
        <v>0</v>
      </c>
    </row>
    <row r="976" spans="1:6" x14ac:dyDescent="0.25">
      <c r="A976" s="1">
        <v>49615</v>
      </c>
      <c r="B976" t="s">
        <v>9</v>
      </c>
      <c r="C976">
        <v>26</v>
      </c>
      <c r="D976">
        <v>33.799999999999997</v>
      </c>
      <c r="E976">
        <f>IF(D976&gt;=1,martianeum[[#This Row],[zawartosc]] * 0.01 *martianeum[[#This Row],[masa '[kg']]],0)</f>
        <v>8.7879999999999985</v>
      </c>
    </row>
    <row r="977" spans="1:6" x14ac:dyDescent="0.25">
      <c r="A977" s="1">
        <v>49616</v>
      </c>
      <c r="B977" t="s">
        <v>14</v>
      </c>
      <c r="C977">
        <v>24.4</v>
      </c>
      <c r="D977">
        <v>15.4</v>
      </c>
      <c r="E977">
        <f>IF(D977&gt;=1,martianeum[[#This Row],[zawartosc]] * 0.01 *martianeum[[#This Row],[masa '[kg']]],0)</f>
        <v>3.7575999999999996</v>
      </c>
    </row>
    <row r="978" spans="1:6" x14ac:dyDescent="0.25">
      <c r="A978" s="1">
        <v>49617</v>
      </c>
      <c r="B978" t="s">
        <v>4</v>
      </c>
      <c r="C978">
        <v>20.8</v>
      </c>
      <c r="D978">
        <v>0</v>
      </c>
      <c r="E978">
        <f>IF(D978&gt;=1,martianeum[[#This Row],[zawartosc]] * 0.01 *martianeum[[#This Row],[masa '[kg']]],0)</f>
        <v>0</v>
      </c>
    </row>
    <row r="979" spans="1:6" x14ac:dyDescent="0.25">
      <c r="A979" s="1">
        <v>49618</v>
      </c>
      <c r="B979" t="s">
        <v>12</v>
      </c>
      <c r="C979">
        <v>18.2</v>
      </c>
      <c r="D979">
        <v>15.7</v>
      </c>
      <c r="E979">
        <f>IF(D979&gt;=1,martianeum[[#This Row],[zawartosc]] * 0.01 *martianeum[[#This Row],[masa '[kg']]],0)</f>
        <v>2.8573999999999997</v>
      </c>
    </row>
    <row r="980" spans="1:6" x14ac:dyDescent="0.25">
      <c r="A980" s="1">
        <v>49619</v>
      </c>
      <c r="B980" t="s">
        <v>16</v>
      </c>
      <c r="C980">
        <v>25.6</v>
      </c>
      <c r="D980">
        <v>7</v>
      </c>
      <c r="E980">
        <f>IF(D980&gt;=1,martianeum[[#This Row],[zawartosc]] * 0.01 *martianeum[[#This Row],[masa '[kg']]],0)</f>
        <v>1.7920000000000003</v>
      </c>
    </row>
    <row r="981" spans="1:6" x14ac:dyDescent="0.25">
      <c r="A981" s="1">
        <v>49620</v>
      </c>
      <c r="B981" t="s">
        <v>10</v>
      </c>
      <c r="C981">
        <v>25.2</v>
      </c>
      <c r="D981">
        <v>0</v>
      </c>
      <c r="E981">
        <f>IF(D981&gt;=1,martianeum[[#This Row],[zawartosc]] * 0.01 *martianeum[[#This Row],[masa '[kg']]],0)</f>
        <v>0</v>
      </c>
      <c r="F981">
        <f t="shared" ref="F981" si="138">SUM(C975:C981)</f>
        <v>161.69999999999999</v>
      </c>
    </row>
    <row r="982" spans="1:6" x14ac:dyDescent="0.25">
      <c r="A982" s="1">
        <v>49621</v>
      </c>
      <c r="B982" t="s">
        <v>11</v>
      </c>
      <c r="C982">
        <v>19.5</v>
      </c>
      <c r="D982">
        <v>5.3</v>
      </c>
      <c r="E982">
        <f>IF(D982&gt;=1,martianeum[[#This Row],[zawartosc]] * 0.01 *martianeum[[#This Row],[masa '[kg']]],0)</f>
        <v>1.0334999999999999</v>
      </c>
    </row>
    <row r="983" spans="1:6" x14ac:dyDescent="0.25">
      <c r="A983" s="1">
        <v>49622</v>
      </c>
      <c r="B983" t="s">
        <v>23</v>
      </c>
      <c r="C983">
        <v>15.2</v>
      </c>
      <c r="D983">
        <v>2.1</v>
      </c>
      <c r="E983">
        <f>IF(D983&gt;=1,martianeum[[#This Row],[zawartosc]] * 0.01 *martianeum[[#This Row],[masa '[kg']]],0)</f>
        <v>0.31919999999999998</v>
      </c>
    </row>
    <row r="984" spans="1:6" x14ac:dyDescent="0.25">
      <c r="A984" s="1">
        <v>49623</v>
      </c>
      <c r="B984" t="s">
        <v>14</v>
      </c>
      <c r="C984">
        <v>21.3</v>
      </c>
      <c r="D984">
        <v>11.4</v>
      </c>
      <c r="E984">
        <f>IF(D984&gt;=1,martianeum[[#This Row],[zawartosc]] * 0.01 *martianeum[[#This Row],[masa '[kg']]],0)</f>
        <v>2.4282000000000004</v>
      </c>
    </row>
    <row r="985" spans="1:6" x14ac:dyDescent="0.25">
      <c r="A985" s="1">
        <v>49624</v>
      </c>
      <c r="B985" t="s">
        <v>14</v>
      </c>
      <c r="C985">
        <v>21.8</v>
      </c>
      <c r="D985">
        <v>17.399999999999999</v>
      </c>
      <c r="E985">
        <f>IF(D985&gt;=1,martianeum[[#This Row],[zawartosc]] * 0.01 *martianeum[[#This Row],[masa '[kg']]],0)</f>
        <v>3.7931999999999997</v>
      </c>
    </row>
    <row r="986" spans="1:6" x14ac:dyDescent="0.25">
      <c r="A986" s="1">
        <v>49625</v>
      </c>
      <c r="B986" t="s">
        <v>15</v>
      </c>
      <c r="C986">
        <v>27.7</v>
      </c>
      <c r="D986">
        <v>0.5</v>
      </c>
      <c r="E986">
        <f>IF(D986&gt;=1,martianeum[[#This Row],[zawartosc]] * 0.01 *martianeum[[#This Row],[masa '[kg']]],0)</f>
        <v>0</v>
      </c>
    </row>
    <row r="987" spans="1:6" x14ac:dyDescent="0.25">
      <c r="A987" s="1">
        <v>49626</v>
      </c>
      <c r="B987" t="s">
        <v>9</v>
      </c>
      <c r="C987">
        <v>28.5</v>
      </c>
      <c r="D987">
        <v>46</v>
      </c>
      <c r="E987">
        <f>IF(D987&gt;=1,martianeum[[#This Row],[zawartosc]] * 0.01 *martianeum[[#This Row],[masa '[kg']]],0)</f>
        <v>13.110000000000001</v>
      </c>
    </row>
    <row r="988" spans="1:6" x14ac:dyDescent="0.25">
      <c r="A988" s="1">
        <v>49627</v>
      </c>
      <c r="B988" t="s">
        <v>26</v>
      </c>
      <c r="C988">
        <v>25.7</v>
      </c>
      <c r="D988">
        <v>0</v>
      </c>
      <c r="E988">
        <f>IF(D988&gt;=1,martianeum[[#This Row],[zawartosc]] * 0.01 *martianeum[[#This Row],[masa '[kg']]],0)</f>
        <v>0</v>
      </c>
      <c r="F988">
        <f t="shared" ref="F988" si="139">SUM(C982:C988)</f>
        <v>159.69999999999999</v>
      </c>
    </row>
    <row r="989" spans="1:6" x14ac:dyDescent="0.25">
      <c r="A989" s="1">
        <v>49628</v>
      </c>
      <c r="B989" t="s">
        <v>9</v>
      </c>
      <c r="C989">
        <v>18</v>
      </c>
      <c r="D989">
        <v>0.5</v>
      </c>
      <c r="E989">
        <f>IF(D989&gt;=1,martianeum[[#This Row],[zawartosc]] * 0.01 *martianeum[[#This Row],[masa '[kg']]],0)</f>
        <v>0</v>
      </c>
    </row>
    <row r="990" spans="1:6" x14ac:dyDescent="0.25">
      <c r="A990" s="1">
        <v>49629</v>
      </c>
      <c r="B990" t="s">
        <v>5</v>
      </c>
      <c r="C990">
        <v>29.5</v>
      </c>
      <c r="D990">
        <v>0</v>
      </c>
      <c r="E990">
        <f>IF(D990&gt;=1,martianeum[[#This Row],[zawartosc]] * 0.01 *martianeum[[#This Row],[masa '[kg']]],0)</f>
        <v>0</v>
      </c>
    </row>
    <row r="991" spans="1:6" x14ac:dyDescent="0.25">
      <c r="A991" s="1">
        <v>49630</v>
      </c>
      <c r="B991" t="s">
        <v>17</v>
      </c>
      <c r="C991">
        <v>21</v>
      </c>
      <c r="D991">
        <v>10.3</v>
      </c>
      <c r="E991">
        <f>IF(D991&gt;=1,martianeum[[#This Row],[zawartosc]] * 0.01 *martianeum[[#This Row],[masa '[kg']]],0)</f>
        <v>2.1630000000000003</v>
      </c>
    </row>
    <row r="992" spans="1:6" x14ac:dyDescent="0.25">
      <c r="A992" s="1">
        <v>49631</v>
      </c>
      <c r="B992" t="s">
        <v>19</v>
      </c>
      <c r="C992">
        <v>11.4</v>
      </c>
      <c r="D992">
        <v>3.2</v>
      </c>
      <c r="E992">
        <f>IF(D992&gt;=1,martianeum[[#This Row],[zawartosc]] * 0.01 *martianeum[[#This Row],[masa '[kg']]],0)</f>
        <v>0.36480000000000001</v>
      </c>
    </row>
    <row r="993" spans="1:6" x14ac:dyDescent="0.25">
      <c r="A993" s="1">
        <v>49632</v>
      </c>
      <c r="B993" t="s">
        <v>9</v>
      </c>
      <c r="C993">
        <v>12.7</v>
      </c>
      <c r="D993">
        <v>0</v>
      </c>
      <c r="E993">
        <f>IF(D993&gt;=1,martianeum[[#This Row],[zawartosc]] * 0.01 *martianeum[[#This Row],[masa '[kg']]],0)</f>
        <v>0</v>
      </c>
    </row>
    <row r="994" spans="1:6" x14ac:dyDescent="0.25">
      <c r="A994" s="1">
        <v>49633</v>
      </c>
      <c r="B994" t="s">
        <v>4</v>
      </c>
      <c r="C994">
        <v>14.1</v>
      </c>
      <c r="D994">
        <v>6.2</v>
      </c>
      <c r="E994">
        <f>IF(D994&gt;=1,martianeum[[#This Row],[zawartosc]] * 0.01 *martianeum[[#This Row],[masa '[kg']]],0)</f>
        <v>0.87420000000000009</v>
      </c>
    </row>
    <row r="995" spans="1:6" x14ac:dyDescent="0.25">
      <c r="A995" s="1">
        <v>49634</v>
      </c>
      <c r="B995" t="s">
        <v>9</v>
      </c>
      <c r="C995">
        <v>29.5</v>
      </c>
      <c r="D995">
        <v>29.9</v>
      </c>
      <c r="E995">
        <f>IF(D995&gt;=1,martianeum[[#This Row],[zawartosc]] * 0.01 *martianeum[[#This Row],[masa '[kg']]],0)</f>
        <v>8.8204999999999991</v>
      </c>
      <c r="F995">
        <f t="shared" ref="F995" si="140">SUM(C989:C995)</f>
        <v>136.19999999999999</v>
      </c>
    </row>
    <row r="996" spans="1:6" x14ac:dyDescent="0.25">
      <c r="A996" s="1">
        <v>49635</v>
      </c>
      <c r="B996" t="s">
        <v>21</v>
      </c>
      <c r="C996">
        <v>18.399999999999999</v>
      </c>
      <c r="D996">
        <v>0</v>
      </c>
      <c r="E996">
        <f>IF(D996&gt;=1,martianeum[[#This Row],[zawartosc]] * 0.01 *martianeum[[#This Row],[masa '[kg']]],0)</f>
        <v>0</v>
      </c>
    </row>
    <row r="997" spans="1:6" x14ac:dyDescent="0.25">
      <c r="A997" s="1">
        <v>49636</v>
      </c>
      <c r="B997" t="s">
        <v>9</v>
      </c>
      <c r="C997">
        <v>29.6</v>
      </c>
      <c r="D997">
        <v>43.9</v>
      </c>
      <c r="E997">
        <f>IF(D997&gt;=1,martianeum[[#This Row],[zawartosc]] * 0.01 *martianeum[[#This Row],[masa '[kg']]],0)</f>
        <v>12.994400000000001</v>
      </c>
    </row>
    <row r="998" spans="1:6" x14ac:dyDescent="0.25">
      <c r="A998" s="1">
        <v>49637</v>
      </c>
      <c r="B998" t="s">
        <v>14</v>
      </c>
      <c r="C998">
        <v>22.6</v>
      </c>
      <c r="D998">
        <v>14.6</v>
      </c>
      <c r="E998">
        <f>IF(D998&gt;=1,martianeum[[#This Row],[zawartosc]] * 0.01 *martianeum[[#This Row],[masa '[kg']]],0)</f>
        <v>3.2995999999999999</v>
      </c>
    </row>
    <row r="999" spans="1:6" x14ac:dyDescent="0.25">
      <c r="A999" s="1">
        <v>49638</v>
      </c>
      <c r="B999" t="s">
        <v>13</v>
      </c>
      <c r="C999">
        <v>13.2</v>
      </c>
      <c r="D999">
        <v>6.7</v>
      </c>
      <c r="E999">
        <f>IF(D999&gt;=1,martianeum[[#This Row],[zawartosc]] * 0.01 *martianeum[[#This Row],[masa '[kg']]],0)</f>
        <v>0.88439999999999996</v>
      </c>
    </row>
    <row r="1000" spans="1:6" x14ac:dyDescent="0.25">
      <c r="A1000" s="1">
        <v>49639</v>
      </c>
      <c r="B1000" t="s">
        <v>5</v>
      </c>
      <c r="C1000">
        <v>10.4</v>
      </c>
      <c r="D1000">
        <v>8.5</v>
      </c>
      <c r="E1000">
        <f>IF(D1000&gt;=1,martianeum[[#This Row],[zawartosc]] * 0.01 *martianeum[[#This Row],[masa '[kg']]],0)</f>
        <v>0.88400000000000012</v>
      </c>
    </row>
    <row r="1001" spans="1:6" x14ac:dyDescent="0.25">
      <c r="A1001" s="1">
        <v>49640</v>
      </c>
      <c r="B1001" t="s">
        <v>12</v>
      </c>
      <c r="C1001">
        <v>16.899999999999999</v>
      </c>
      <c r="D1001">
        <v>16.399999999999999</v>
      </c>
      <c r="E1001">
        <f>IF(D1001&gt;=1,martianeum[[#This Row],[zawartosc]] * 0.01 *martianeum[[#This Row],[masa '[kg']]],0)</f>
        <v>2.7715999999999994</v>
      </c>
    </row>
    <row r="1002" spans="1:6" x14ac:dyDescent="0.25">
      <c r="A1002" s="1">
        <v>49641</v>
      </c>
      <c r="B1002" t="s">
        <v>14</v>
      </c>
      <c r="C1002">
        <v>19.399999999999999</v>
      </c>
      <c r="D1002">
        <v>0</v>
      </c>
      <c r="E1002">
        <f>IF(D1002&gt;=1,martianeum[[#This Row],[zawartosc]] * 0.01 *martianeum[[#This Row],[masa '[kg']]],0)</f>
        <v>0</v>
      </c>
      <c r="F1002">
        <f t="shared" ref="F1002" si="141">SUM(C996:C1002)</f>
        <v>130.5</v>
      </c>
    </row>
    <row r="1003" spans="1:6" x14ac:dyDescent="0.25">
      <c r="A1003" s="1">
        <v>49642</v>
      </c>
      <c r="B1003" t="s">
        <v>23</v>
      </c>
      <c r="C1003">
        <v>16.899999999999999</v>
      </c>
      <c r="D1003">
        <v>1</v>
      </c>
      <c r="E1003">
        <f>IF(D1003&gt;=1,martianeum[[#This Row],[zawartosc]] * 0.01 *martianeum[[#This Row],[masa '[kg']]],0)</f>
        <v>0.16899999999999998</v>
      </c>
    </row>
    <row r="1004" spans="1:6" x14ac:dyDescent="0.25">
      <c r="A1004" s="1">
        <v>49643</v>
      </c>
      <c r="B1004" t="s">
        <v>9</v>
      </c>
      <c r="C1004">
        <v>18.399999999999999</v>
      </c>
      <c r="D1004">
        <v>0</v>
      </c>
      <c r="E1004">
        <f>IF(D1004&gt;=1,martianeum[[#This Row],[zawartosc]] * 0.01 *martianeum[[#This Row],[masa '[kg']]],0)</f>
        <v>0</v>
      </c>
    </row>
    <row r="1005" spans="1:6" x14ac:dyDescent="0.25">
      <c r="A1005" s="1">
        <v>49644</v>
      </c>
      <c r="B1005" t="s">
        <v>14</v>
      </c>
      <c r="C1005">
        <v>13.4</v>
      </c>
      <c r="D1005">
        <v>12.8</v>
      </c>
      <c r="E1005">
        <f>IF(D1005&gt;=1,martianeum[[#This Row],[zawartosc]] * 0.01 *martianeum[[#This Row],[masa '[kg']]],0)</f>
        <v>1.7152000000000001</v>
      </c>
    </row>
    <row r="1006" spans="1:6" x14ac:dyDescent="0.25">
      <c r="A1006" s="1">
        <v>49645</v>
      </c>
      <c r="B1006" t="s">
        <v>6</v>
      </c>
      <c r="C1006">
        <v>28.8</v>
      </c>
      <c r="D1006">
        <v>0</v>
      </c>
      <c r="E1006">
        <f>IF(D1006&gt;=1,martianeum[[#This Row],[zawartosc]] * 0.01 *martianeum[[#This Row],[masa '[kg']]],0)</f>
        <v>0</v>
      </c>
    </row>
    <row r="1007" spans="1:6" x14ac:dyDescent="0.25">
      <c r="A1007" s="1">
        <v>49646</v>
      </c>
      <c r="B1007" t="s">
        <v>12</v>
      </c>
      <c r="C1007">
        <v>19.5</v>
      </c>
      <c r="D1007">
        <v>1.3</v>
      </c>
      <c r="E1007">
        <f>IF(D1007&gt;=1,martianeum[[#This Row],[zawartosc]] * 0.01 *martianeum[[#This Row],[masa '[kg']]],0)</f>
        <v>0.2535</v>
      </c>
    </row>
    <row r="1008" spans="1:6" x14ac:dyDescent="0.25">
      <c r="A1008" s="1">
        <v>49647</v>
      </c>
      <c r="B1008" t="s">
        <v>10</v>
      </c>
      <c r="C1008">
        <v>29</v>
      </c>
      <c r="D1008">
        <v>14</v>
      </c>
      <c r="E1008">
        <f>IF(D1008&gt;=1,martianeum[[#This Row],[zawartosc]] * 0.01 *martianeum[[#This Row],[masa '[kg']]],0)</f>
        <v>4.0600000000000005</v>
      </c>
    </row>
    <row r="1009" spans="1:6" x14ac:dyDescent="0.25">
      <c r="A1009" s="1">
        <v>49648</v>
      </c>
      <c r="B1009" t="s">
        <v>9</v>
      </c>
      <c r="C1009">
        <v>29.6</v>
      </c>
      <c r="D1009">
        <v>28.7</v>
      </c>
      <c r="E1009">
        <f>IF(D1009&gt;=1,martianeum[[#This Row],[zawartosc]] * 0.01 *martianeum[[#This Row],[masa '[kg']]],0)</f>
        <v>8.4952000000000005</v>
      </c>
      <c r="F1009">
        <f t="shared" ref="F1009" si="142">SUM(C1003:C1009)</f>
        <v>155.6</v>
      </c>
    </row>
    <row r="1010" spans="1:6" x14ac:dyDescent="0.25">
      <c r="A1010" s="1">
        <v>49649</v>
      </c>
      <c r="B1010" t="s">
        <v>5</v>
      </c>
      <c r="C1010">
        <v>26.5</v>
      </c>
      <c r="D1010">
        <v>0</v>
      </c>
      <c r="E1010">
        <f>IF(D1010&gt;=1,martianeum[[#This Row],[zawartosc]] * 0.01 *martianeum[[#This Row],[masa '[kg']]],0)</f>
        <v>0</v>
      </c>
    </row>
    <row r="1011" spans="1:6" x14ac:dyDescent="0.25">
      <c r="A1011" s="1">
        <v>49650</v>
      </c>
      <c r="B1011" t="s">
        <v>17</v>
      </c>
      <c r="C1011">
        <v>24.8</v>
      </c>
      <c r="D1011">
        <v>12.1</v>
      </c>
      <c r="E1011">
        <f>IF(D1011&gt;=1,martianeum[[#This Row],[zawartosc]] * 0.01 *martianeum[[#This Row],[masa '[kg']]],0)</f>
        <v>3.0007999999999999</v>
      </c>
    </row>
    <row r="1012" spans="1:6" x14ac:dyDescent="0.25">
      <c r="A1012" s="1">
        <v>49651</v>
      </c>
      <c r="B1012" t="s">
        <v>9</v>
      </c>
      <c r="C1012">
        <v>20</v>
      </c>
      <c r="D1012">
        <v>14.7</v>
      </c>
      <c r="E1012">
        <f>IF(D1012&gt;=1,martianeum[[#This Row],[zawartosc]] * 0.01 *martianeum[[#This Row],[masa '[kg']]],0)</f>
        <v>2.94</v>
      </c>
    </row>
    <row r="1013" spans="1:6" x14ac:dyDescent="0.25">
      <c r="A1013" s="1">
        <v>49652</v>
      </c>
      <c r="B1013" t="s">
        <v>18</v>
      </c>
      <c r="C1013">
        <v>16.899999999999999</v>
      </c>
      <c r="D1013">
        <v>38.299999999999997</v>
      </c>
      <c r="E1013">
        <f>IF(D1013&gt;=1,martianeum[[#This Row],[zawartosc]] * 0.01 *martianeum[[#This Row],[masa '[kg']]],0)</f>
        <v>6.4726999999999997</v>
      </c>
    </row>
    <row r="1014" spans="1:6" x14ac:dyDescent="0.25">
      <c r="A1014" s="1">
        <v>49653</v>
      </c>
      <c r="B1014" t="s">
        <v>9</v>
      </c>
      <c r="C1014">
        <v>11.5</v>
      </c>
      <c r="D1014">
        <v>24.7</v>
      </c>
      <c r="E1014">
        <f>IF(D1014&gt;=1,martianeum[[#This Row],[zawartosc]] * 0.01 *martianeum[[#This Row],[masa '[kg']]],0)</f>
        <v>2.8405</v>
      </c>
    </row>
    <row r="1015" spans="1:6" x14ac:dyDescent="0.25">
      <c r="A1015" s="1">
        <v>49654</v>
      </c>
      <c r="B1015" t="s">
        <v>12</v>
      </c>
      <c r="C1015">
        <v>11.4</v>
      </c>
      <c r="D1015">
        <v>0</v>
      </c>
      <c r="E1015">
        <f>IF(D1015&gt;=1,martianeum[[#This Row],[zawartosc]] * 0.01 *martianeum[[#This Row],[masa '[kg']]],0)</f>
        <v>0</v>
      </c>
    </row>
    <row r="1016" spans="1:6" x14ac:dyDescent="0.25">
      <c r="A1016" s="1">
        <v>49655</v>
      </c>
      <c r="B1016" t="s">
        <v>5</v>
      </c>
      <c r="C1016">
        <v>28.5</v>
      </c>
      <c r="D1016">
        <v>0</v>
      </c>
      <c r="E1016">
        <f>IF(D1016&gt;=1,martianeum[[#This Row],[zawartosc]] * 0.01 *martianeum[[#This Row],[masa '[kg']]],0)</f>
        <v>0</v>
      </c>
      <c r="F1016">
        <f t="shared" ref="F1016" si="143">SUM(C1010:C1016)</f>
        <v>139.6</v>
      </c>
    </row>
    <row r="1017" spans="1:6" x14ac:dyDescent="0.25">
      <c r="A1017" s="1">
        <v>49656</v>
      </c>
      <c r="B1017" t="s">
        <v>21</v>
      </c>
      <c r="C1017">
        <v>27.9</v>
      </c>
      <c r="D1017">
        <v>0.7</v>
      </c>
      <c r="E1017">
        <f>IF(D1017&gt;=1,martianeum[[#This Row],[zawartosc]] * 0.01 *martianeum[[#This Row],[masa '[kg']]],0)</f>
        <v>0</v>
      </c>
    </row>
    <row r="1018" spans="1:6" x14ac:dyDescent="0.25">
      <c r="A1018" s="1">
        <v>49657</v>
      </c>
      <c r="B1018" t="s">
        <v>6</v>
      </c>
      <c r="C1018">
        <v>26.7</v>
      </c>
      <c r="D1018">
        <v>15.5</v>
      </c>
      <c r="E1018">
        <f>IF(D1018&gt;=1,martianeum[[#This Row],[zawartosc]] * 0.01 *martianeum[[#This Row],[masa '[kg']]],0)</f>
        <v>4.1384999999999996</v>
      </c>
    </row>
    <row r="1019" spans="1:6" x14ac:dyDescent="0.25">
      <c r="A1019" s="1">
        <v>49658</v>
      </c>
      <c r="B1019" t="s">
        <v>17</v>
      </c>
      <c r="C1019">
        <v>28.3</v>
      </c>
      <c r="D1019">
        <v>6.8</v>
      </c>
      <c r="E1019">
        <f>IF(D1019&gt;=1,martianeum[[#This Row],[zawartosc]] * 0.01 *martianeum[[#This Row],[masa '[kg']]],0)</f>
        <v>1.9244000000000001</v>
      </c>
    </row>
    <row r="1020" spans="1:6" x14ac:dyDescent="0.25">
      <c r="A1020" s="1">
        <v>49659</v>
      </c>
      <c r="B1020" t="s">
        <v>9</v>
      </c>
      <c r="C1020">
        <v>28.9</v>
      </c>
      <c r="D1020">
        <v>0</v>
      </c>
      <c r="E1020">
        <f>IF(D1020&gt;=1,martianeum[[#This Row],[zawartosc]] * 0.01 *martianeum[[#This Row],[masa '[kg']]],0)</f>
        <v>0</v>
      </c>
    </row>
    <row r="1021" spans="1:6" x14ac:dyDescent="0.25">
      <c r="A1021" s="1">
        <v>49660</v>
      </c>
      <c r="B1021" t="s">
        <v>19</v>
      </c>
      <c r="C1021">
        <v>21.6</v>
      </c>
      <c r="D1021">
        <v>4</v>
      </c>
      <c r="E1021">
        <f>IF(D1021&gt;=1,martianeum[[#This Row],[zawartosc]] * 0.01 *martianeum[[#This Row],[masa '[kg']]],0)</f>
        <v>0.8640000000000001</v>
      </c>
    </row>
    <row r="1022" spans="1:6" x14ac:dyDescent="0.25">
      <c r="A1022" s="1">
        <v>49661</v>
      </c>
      <c r="B1022" t="s">
        <v>22</v>
      </c>
      <c r="C1022">
        <v>16.5</v>
      </c>
      <c r="D1022">
        <v>4.2</v>
      </c>
      <c r="E1022">
        <f>IF(D1022&gt;=1,martianeum[[#This Row],[zawartosc]] * 0.01 *martianeum[[#This Row],[masa '[kg']]],0)</f>
        <v>0.69300000000000006</v>
      </c>
    </row>
    <row r="1023" spans="1:6" x14ac:dyDescent="0.25">
      <c r="A1023" s="1">
        <v>49662</v>
      </c>
      <c r="B1023" t="s">
        <v>12</v>
      </c>
      <c r="C1023">
        <v>24.6</v>
      </c>
      <c r="D1023">
        <v>10.6</v>
      </c>
      <c r="E1023">
        <f>IF(D1023&gt;=1,martianeum[[#This Row],[zawartosc]] * 0.01 *martianeum[[#This Row],[masa '[kg']]],0)</f>
        <v>2.6076000000000001</v>
      </c>
      <c r="F1023">
        <f t="shared" ref="F1023" si="144">SUM(C1017:C1023)</f>
        <v>174.49999999999997</v>
      </c>
    </row>
    <row r="1024" spans="1:6" x14ac:dyDescent="0.25">
      <c r="A1024" s="1">
        <v>49663</v>
      </c>
      <c r="B1024" t="s">
        <v>9</v>
      </c>
      <c r="C1024">
        <v>28.9</v>
      </c>
      <c r="D1024">
        <v>40.799999999999997</v>
      </c>
      <c r="E1024">
        <f>IF(D1024&gt;=1,martianeum[[#This Row],[zawartosc]] * 0.01 *martianeum[[#This Row],[masa '[kg']]],0)</f>
        <v>11.791199999999998</v>
      </c>
    </row>
    <row r="1025" spans="1:6" x14ac:dyDescent="0.25">
      <c r="A1025" s="1">
        <v>49664</v>
      </c>
      <c r="B1025" t="s">
        <v>9</v>
      </c>
      <c r="C1025">
        <v>22.1</v>
      </c>
      <c r="D1025">
        <v>10</v>
      </c>
      <c r="E1025">
        <f>IF(D1025&gt;=1,martianeum[[#This Row],[zawartosc]] * 0.01 *martianeum[[#This Row],[masa '[kg']]],0)</f>
        <v>2.2100000000000004</v>
      </c>
    </row>
    <row r="1026" spans="1:6" x14ac:dyDescent="0.25">
      <c r="A1026" s="1">
        <v>49665</v>
      </c>
      <c r="B1026" t="s">
        <v>20</v>
      </c>
      <c r="C1026">
        <v>29.3</v>
      </c>
      <c r="D1026">
        <v>0</v>
      </c>
      <c r="E1026">
        <f>IF(D1026&gt;=1,martianeum[[#This Row],[zawartosc]] * 0.01 *martianeum[[#This Row],[masa '[kg']]],0)</f>
        <v>0</v>
      </c>
    </row>
    <row r="1027" spans="1:6" x14ac:dyDescent="0.25">
      <c r="A1027" s="1">
        <v>49666</v>
      </c>
      <c r="B1027" t="s">
        <v>17</v>
      </c>
      <c r="C1027">
        <v>18.8</v>
      </c>
      <c r="D1027">
        <v>4.7</v>
      </c>
      <c r="E1027">
        <f>IF(D1027&gt;=1,martianeum[[#This Row],[zawartosc]] * 0.01 *martianeum[[#This Row],[masa '[kg']]],0)</f>
        <v>0.88360000000000005</v>
      </c>
    </row>
    <row r="1028" spans="1:6" x14ac:dyDescent="0.25">
      <c r="A1028" s="1">
        <v>49667</v>
      </c>
      <c r="B1028" t="s">
        <v>18</v>
      </c>
      <c r="C1028">
        <v>26.5</v>
      </c>
      <c r="D1028">
        <v>7.3</v>
      </c>
      <c r="E1028">
        <f>IF(D1028&gt;=1,martianeum[[#This Row],[zawartosc]] * 0.01 *martianeum[[#This Row],[masa '[kg']]],0)</f>
        <v>1.9344999999999999</v>
      </c>
    </row>
    <row r="1029" spans="1:6" x14ac:dyDescent="0.25">
      <c r="A1029" s="1">
        <v>49668</v>
      </c>
      <c r="B1029" t="s">
        <v>10</v>
      </c>
      <c r="C1029">
        <v>24</v>
      </c>
      <c r="D1029">
        <v>0</v>
      </c>
      <c r="E1029">
        <f>IF(D1029&gt;=1,martianeum[[#This Row],[zawartosc]] * 0.01 *martianeum[[#This Row],[masa '[kg']]],0)</f>
        <v>0</v>
      </c>
    </row>
    <row r="1030" spans="1:6" x14ac:dyDescent="0.25">
      <c r="A1030" s="1">
        <v>49669</v>
      </c>
      <c r="B1030" t="s">
        <v>18</v>
      </c>
      <c r="C1030">
        <v>21</v>
      </c>
      <c r="D1030">
        <v>12.2</v>
      </c>
      <c r="E1030">
        <f>IF(D1030&gt;=1,martianeum[[#This Row],[zawartosc]] * 0.01 *martianeum[[#This Row],[masa '[kg']]],0)</f>
        <v>2.5619999999999998</v>
      </c>
      <c r="F1030">
        <f t="shared" ref="F1030" si="145">SUM(C1024:C1030)</f>
        <v>170.6</v>
      </c>
    </row>
    <row r="1031" spans="1:6" x14ac:dyDescent="0.25">
      <c r="A1031" s="1">
        <v>49670</v>
      </c>
      <c r="B1031" t="s">
        <v>16</v>
      </c>
      <c r="C1031">
        <v>28.1</v>
      </c>
      <c r="D1031">
        <v>6.7</v>
      </c>
      <c r="E1031">
        <f>IF(D1031&gt;=1,martianeum[[#This Row],[zawartosc]] * 0.01 *martianeum[[#This Row],[masa '[kg']]],0)</f>
        <v>1.8827000000000003</v>
      </c>
    </row>
    <row r="1032" spans="1:6" x14ac:dyDescent="0.25">
      <c r="A1032" s="1">
        <v>49671</v>
      </c>
      <c r="B1032" t="s">
        <v>13</v>
      </c>
      <c r="C1032">
        <v>23.3</v>
      </c>
      <c r="D1032">
        <v>4.8</v>
      </c>
      <c r="E1032">
        <f>IF(D1032&gt;=1,martianeum[[#This Row],[zawartosc]] * 0.01 *martianeum[[#This Row],[masa '[kg']]],0)</f>
        <v>1.1184000000000001</v>
      </c>
    </row>
    <row r="1033" spans="1:6" x14ac:dyDescent="0.25">
      <c r="A1033" s="1">
        <v>49672</v>
      </c>
      <c r="B1033" t="s">
        <v>16</v>
      </c>
      <c r="C1033">
        <v>14.3</v>
      </c>
      <c r="D1033">
        <v>1.5</v>
      </c>
      <c r="E1033">
        <f>IF(D1033&gt;=1,martianeum[[#This Row],[zawartosc]] * 0.01 *martianeum[[#This Row],[masa '[kg']]],0)</f>
        <v>0.2145</v>
      </c>
    </row>
    <row r="1034" spans="1:6" x14ac:dyDescent="0.25">
      <c r="A1034" s="1">
        <v>49673</v>
      </c>
      <c r="B1034" t="s">
        <v>24</v>
      </c>
      <c r="C1034">
        <v>12.6</v>
      </c>
      <c r="D1034">
        <v>1.1000000000000001</v>
      </c>
      <c r="E1034">
        <f>IF(D1034&gt;=1,martianeum[[#This Row],[zawartosc]] * 0.01 *martianeum[[#This Row],[masa '[kg']]],0)</f>
        <v>0.1386</v>
      </c>
    </row>
    <row r="1035" spans="1:6" x14ac:dyDescent="0.25">
      <c r="A1035" s="1">
        <v>49674</v>
      </c>
      <c r="B1035" t="s">
        <v>18</v>
      </c>
      <c r="C1035">
        <v>18.100000000000001</v>
      </c>
      <c r="D1035">
        <v>0</v>
      </c>
      <c r="E1035">
        <f>IF(D1035&gt;=1,martianeum[[#This Row],[zawartosc]] * 0.01 *martianeum[[#This Row],[masa '[kg']]],0)</f>
        <v>0</v>
      </c>
    </row>
    <row r="1036" spans="1:6" x14ac:dyDescent="0.25">
      <c r="A1036" s="1">
        <v>49675</v>
      </c>
      <c r="B1036" t="s">
        <v>14</v>
      </c>
      <c r="C1036">
        <v>19</v>
      </c>
      <c r="D1036">
        <v>11</v>
      </c>
      <c r="E1036">
        <f>IF(D1036&gt;=1,martianeum[[#This Row],[zawartosc]] * 0.01 *martianeum[[#This Row],[masa '[kg']]],0)</f>
        <v>2.09</v>
      </c>
    </row>
    <row r="1037" spans="1:6" x14ac:dyDescent="0.25">
      <c r="A1037" s="1">
        <v>49676</v>
      </c>
      <c r="B1037" t="s">
        <v>13</v>
      </c>
      <c r="C1037">
        <v>13.1</v>
      </c>
      <c r="D1037">
        <v>0</v>
      </c>
      <c r="E1037">
        <f>IF(D1037&gt;=1,martianeum[[#This Row],[zawartosc]] * 0.01 *martianeum[[#This Row],[masa '[kg']]],0)</f>
        <v>0</v>
      </c>
      <c r="F1037">
        <f t="shared" ref="F1037" si="146">SUM(C1031:C1037)</f>
        <v>128.5</v>
      </c>
    </row>
    <row r="1038" spans="1:6" x14ac:dyDescent="0.25">
      <c r="A1038" s="1">
        <v>49677</v>
      </c>
      <c r="B1038" t="s">
        <v>12</v>
      </c>
      <c r="C1038">
        <v>17.3</v>
      </c>
      <c r="D1038">
        <v>1.1000000000000001</v>
      </c>
      <c r="E1038">
        <f>IF(D1038&gt;=1,martianeum[[#This Row],[zawartosc]] * 0.01 *martianeum[[#This Row],[masa '[kg']]],0)</f>
        <v>0.19030000000000002</v>
      </c>
    </row>
    <row r="1039" spans="1:6" x14ac:dyDescent="0.25">
      <c r="A1039" s="1">
        <v>49678</v>
      </c>
      <c r="B1039" t="s">
        <v>16</v>
      </c>
      <c r="C1039">
        <v>23.7</v>
      </c>
      <c r="D1039">
        <v>5.9</v>
      </c>
      <c r="E1039">
        <f>IF(D1039&gt;=1,martianeum[[#This Row],[zawartosc]] * 0.01 *martianeum[[#This Row],[masa '[kg']]],0)</f>
        <v>1.3983000000000001</v>
      </c>
    </row>
    <row r="1040" spans="1:6" x14ac:dyDescent="0.25">
      <c r="A1040" s="1">
        <v>49679</v>
      </c>
      <c r="B1040" t="s">
        <v>32</v>
      </c>
      <c r="C1040">
        <v>26.3</v>
      </c>
      <c r="D1040">
        <v>0</v>
      </c>
      <c r="E1040">
        <f>IF(D1040&gt;=1,martianeum[[#This Row],[zawartosc]] * 0.01 *martianeum[[#This Row],[masa '[kg']]],0)</f>
        <v>0</v>
      </c>
    </row>
    <row r="1041" spans="1:6" x14ac:dyDescent="0.25">
      <c r="A1041" s="1">
        <v>49680</v>
      </c>
      <c r="B1041" t="s">
        <v>14</v>
      </c>
      <c r="C1041">
        <v>16.399999999999999</v>
      </c>
      <c r="D1041">
        <v>0</v>
      </c>
      <c r="E1041">
        <f>IF(D1041&gt;=1,martianeum[[#This Row],[zawartosc]] * 0.01 *martianeum[[#This Row],[masa '[kg']]],0)</f>
        <v>0</v>
      </c>
    </row>
    <row r="1042" spans="1:6" x14ac:dyDescent="0.25">
      <c r="A1042" s="1">
        <v>49681</v>
      </c>
      <c r="B1042" t="s">
        <v>8</v>
      </c>
      <c r="C1042">
        <v>13</v>
      </c>
      <c r="D1042">
        <v>0</v>
      </c>
      <c r="E1042">
        <f>IF(D1042&gt;=1,martianeum[[#This Row],[zawartosc]] * 0.01 *martianeum[[#This Row],[masa '[kg']]],0)</f>
        <v>0</v>
      </c>
    </row>
    <row r="1043" spans="1:6" x14ac:dyDescent="0.25">
      <c r="A1043" s="1">
        <v>49682</v>
      </c>
      <c r="B1043" t="s">
        <v>10</v>
      </c>
      <c r="C1043">
        <v>28.6</v>
      </c>
      <c r="D1043">
        <v>1</v>
      </c>
      <c r="E1043">
        <f>IF(D1043&gt;=1,martianeum[[#This Row],[zawartosc]] * 0.01 *martianeum[[#This Row],[masa '[kg']]],0)</f>
        <v>0.28600000000000003</v>
      </c>
    </row>
    <row r="1044" spans="1:6" x14ac:dyDescent="0.25">
      <c r="A1044" s="1">
        <v>49683</v>
      </c>
      <c r="B1044" t="s">
        <v>9</v>
      </c>
      <c r="C1044">
        <v>11.1</v>
      </c>
      <c r="D1044">
        <v>2.4</v>
      </c>
      <c r="E1044">
        <f>IF(D1044&gt;=1,martianeum[[#This Row],[zawartosc]] * 0.01 *martianeum[[#This Row],[masa '[kg']]],0)</f>
        <v>0.26639999999999997</v>
      </c>
      <c r="F1044">
        <f t="shared" ref="F1044" si="147">SUM(C1038:C1044)</f>
        <v>136.39999999999998</v>
      </c>
    </row>
    <row r="1045" spans="1:6" x14ac:dyDescent="0.25">
      <c r="A1045" s="1">
        <v>49684</v>
      </c>
      <c r="B1045" t="s">
        <v>23</v>
      </c>
      <c r="C1045">
        <v>12.9</v>
      </c>
      <c r="D1045">
        <v>2.9</v>
      </c>
      <c r="E1045">
        <f>IF(D1045&gt;=1,martianeum[[#This Row],[zawartosc]] * 0.01 *martianeum[[#This Row],[masa '[kg']]],0)</f>
        <v>0.37409999999999999</v>
      </c>
    </row>
    <row r="1046" spans="1:6" x14ac:dyDescent="0.25">
      <c r="A1046" s="1">
        <v>49685</v>
      </c>
      <c r="B1046" t="s">
        <v>29</v>
      </c>
      <c r="C1046">
        <v>28.4</v>
      </c>
      <c r="D1046">
        <v>0.9</v>
      </c>
      <c r="E1046">
        <f>IF(D1046&gt;=1,martianeum[[#This Row],[zawartosc]] * 0.01 *martianeum[[#This Row],[masa '[kg']]],0)</f>
        <v>0</v>
      </c>
    </row>
    <row r="1047" spans="1:6" x14ac:dyDescent="0.25">
      <c r="A1047" s="1">
        <v>49686</v>
      </c>
      <c r="B1047" t="s">
        <v>18</v>
      </c>
      <c r="C1047">
        <v>21.8</v>
      </c>
      <c r="D1047">
        <v>3.4</v>
      </c>
      <c r="E1047">
        <f>IF(D1047&gt;=1,martianeum[[#This Row],[zawartosc]] * 0.01 *martianeum[[#This Row],[masa '[kg']]],0)</f>
        <v>0.74120000000000008</v>
      </c>
    </row>
    <row r="1048" spans="1:6" x14ac:dyDescent="0.25">
      <c r="A1048" s="1">
        <v>49687</v>
      </c>
      <c r="B1048" t="s">
        <v>5</v>
      </c>
      <c r="C1048">
        <v>20.8</v>
      </c>
      <c r="D1048">
        <v>11.8</v>
      </c>
      <c r="E1048">
        <f>IF(D1048&gt;=1,martianeum[[#This Row],[zawartosc]] * 0.01 *martianeum[[#This Row],[masa '[kg']]],0)</f>
        <v>2.4544000000000001</v>
      </c>
    </row>
    <row r="1049" spans="1:6" x14ac:dyDescent="0.25">
      <c r="A1049" s="1">
        <v>49688</v>
      </c>
      <c r="B1049" t="s">
        <v>12</v>
      </c>
      <c r="C1049">
        <v>17.399999999999999</v>
      </c>
      <c r="D1049">
        <v>0</v>
      </c>
      <c r="E1049">
        <f>IF(D1049&gt;=1,martianeum[[#This Row],[zawartosc]] * 0.01 *martianeum[[#This Row],[masa '[kg']]],0)</f>
        <v>0</v>
      </c>
    </row>
    <row r="1050" spans="1:6" x14ac:dyDescent="0.25">
      <c r="A1050" s="1">
        <v>49689</v>
      </c>
      <c r="B1050" t="s">
        <v>5</v>
      </c>
      <c r="C1050">
        <v>24.8</v>
      </c>
      <c r="D1050">
        <v>0</v>
      </c>
      <c r="E1050">
        <f>IF(D1050&gt;=1,martianeum[[#This Row],[zawartosc]] * 0.01 *martianeum[[#This Row],[masa '[kg']]],0)</f>
        <v>0</v>
      </c>
    </row>
    <row r="1051" spans="1:6" x14ac:dyDescent="0.25">
      <c r="A1051" s="1">
        <v>49690</v>
      </c>
      <c r="B1051" t="s">
        <v>8</v>
      </c>
      <c r="C1051">
        <v>12.9</v>
      </c>
      <c r="D1051">
        <v>0</v>
      </c>
      <c r="E1051">
        <f>IF(D1051&gt;=1,martianeum[[#This Row],[zawartosc]] * 0.01 *martianeum[[#This Row],[masa '[kg']]],0)</f>
        <v>0</v>
      </c>
      <c r="F1051">
        <f t="shared" ref="F1051" si="148">SUM(C1045:C1051)</f>
        <v>138.99999999999997</v>
      </c>
    </row>
    <row r="1052" spans="1:6" x14ac:dyDescent="0.25">
      <c r="A1052" s="1">
        <v>49691</v>
      </c>
      <c r="B1052" t="s">
        <v>16</v>
      </c>
      <c r="C1052">
        <v>25.9</v>
      </c>
      <c r="D1052">
        <v>0</v>
      </c>
      <c r="E1052">
        <f>IF(D1052&gt;=1,martianeum[[#This Row],[zawartosc]] * 0.01 *martianeum[[#This Row],[masa '[kg']]],0)</f>
        <v>0</v>
      </c>
    </row>
    <row r="1053" spans="1:6" x14ac:dyDescent="0.25">
      <c r="A1053" s="1">
        <v>49692</v>
      </c>
      <c r="B1053" t="s">
        <v>9</v>
      </c>
      <c r="C1053">
        <v>11.5</v>
      </c>
      <c r="D1053">
        <v>23.2</v>
      </c>
      <c r="E1053">
        <f>IF(D1053&gt;=1,martianeum[[#This Row],[zawartosc]] * 0.01 *martianeum[[#This Row],[masa '[kg']]],0)</f>
        <v>2.6679999999999997</v>
      </c>
    </row>
    <row r="1054" spans="1:6" x14ac:dyDescent="0.25">
      <c r="A1054" s="1">
        <v>49693</v>
      </c>
      <c r="B1054" t="s">
        <v>19</v>
      </c>
      <c r="C1054">
        <v>25.5</v>
      </c>
      <c r="D1054">
        <v>0</v>
      </c>
      <c r="E1054">
        <f>IF(D1054&gt;=1,martianeum[[#This Row],[zawartosc]] * 0.01 *martianeum[[#This Row],[masa '[kg']]],0)</f>
        <v>0</v>
      </c>
    </row>
    <row r="1055" spans="1:6" x14ac:dyDescent="0.25">
      <c r="A1055" s="1">
        <v>49694</v>
      </c>
      <c r="B1055" t="s">
        <v>32</v>
      </c>
      <c r="C1055">
        <v>22.6</v>
      </c>
      <c r="D1055">
        <v>2.2000000000000002</v>
      </c>
      <c r="E1055">
        <f>IF(D1055&gt;=1,martianeum[[#This Row],[zawartosc]] * 0.01 *martianeum[[#This Row],[masa '[kg']]],0)</f>
        <v>0.49720000000000009</v>
      </c>
    </row>
    <row r="1056" spans="1:6" x14ac:dyDescent="0.25">
      <c r="A1056" s="1">
        <v>49695</v>
      </c>
      <c r="B1056" t="s">
        <v>9</v>
      </c>
      <c r="C1056">
        <v>14.2</v>
      </c>
      <c r="D1056">
        <v>0</v>
      </c>
      <c r="E1056">
        <f>IF(D1056&gt;=1,martianeum[[#This Row],[zawartosc]] * 0.01 *martianeum[[#This Row],[masa '[kg']]],0)</f>
        <v>0</v>
      </c>
    </row>
    <row r="1057" spans="1:6" x14ac:dyDescent="0.25">
      <c r="A1057" s="1">
        <v>49696</v>
      </c>
      <c r="B1057" t="s">
        <v>12</v>
      </c>
      <c r="C1057">
        <v>26.9</v>
      </c>
      <c r="D1057">
        <v>9.1999999999999993</v>
      </c>
      <c r="E1057">
        <f>IF(D1057&gt;=1,martianeum[[#This Row],[zawartosc]] * 0.01 *martianeum[[#This Row],[masa '[kg']]],0)</f>
        <v>2.4747999999999997</v>
      </c>
    </row>
    <row r="1058" spans="1:6" x14ac:dyDescent="0.25">
      <c r="A1058" s="1">
        <v>49697</v>
      </c>
      <c r="B1058" t="s">
        <v>18</v>
      </c>
      <c r="C1058">
        <v>30</v>
      </c>
      <c r="D1058">
        <v>32.299999999999997</v>
      </c>
      <c r="E1058">
        <f>IF(D1058&gt;=1,martianeum[[#This Row],[zawartosc]] * 0.01 *martianeum[[#This Row],[masa '[kg']]],0)</f>
        <v>9.6899999999999977</v>
      </c>
      <c r="F1058">
        <f t="shared" ref="F1058" si="149">SUM(C1052:C1058)</f>
        <v>156.6</v>
      </c>
    </row>
    <row r="1059" spans="1:6" x14ac:dyDescent="0.25">
      <c r="A1059" s="1">
        <v>49698</v>
      </c>
      <c r="B1059" t="s">
        <v>26</v>
      </c>
      <c r="C1059">
        <v>16.2</v>
      </c>
      <c r="D1059">
        <v>5.2</v>
      </c>
      <c r="E1059">
        <f>IF(D1059&gt;=1,martianeum[[#This Row],[zawartosc]] * 0.01 *martianeum[[#This Row],[masa '[kg']]],0)</f>
        <v>0.84240000000000004</v>
      </c>
    </row>
    <row r="1060" spans="1:6" x14ac:dyDescent="0.25">
      <c r="A1060" s="1">
        <v>49699</v>
      </c>
      <c r="B1060" t="s">
        <v>10</v>
      </c>
      <c r="C1060">
        <v>12.2</v>
      </c>
      <c r="D1060">
        <v>0</v>
      </c>
      <c r="E1060">
        <f>IF(D1060&gt;=1,martianeum[[#This Row],[zawartosc]] * 0.01 *martianeum[[#This Row],[masa '[kg']]],0)</f>
        <v>0</v>
      </c>
    </row>
    <row r="1061" spans="1:6" x14ac:dyDescent="0.25">
      <c r="A1061" s="1">
        <v>49700</v>
      </c>
      <c r="B1061" t="s">
        <v>14</v>
      </c>
      <c r="C1061">
        <v>28.7</v>
      </c>
      <c r="D1061">
        <v>0.5</v>
      </c>
      <c r="E1061">
        <f>IF(D1061&gt;=1,martianeum[[#This Row],[zawartosc]] * 0.01 *martianeum[[#This Row],[masa '[kg']]],0)</f>
        <v>0</v>
      </c>
    </row>
    <row r="1062" spans="1:6" x14ac:dyDescent="0.25">
      <c r="A1062" s="1">
        <v>49701</v>
      </c>
      <c r="B1062" t="s">
        <v>5</v>
      </c>
      <c r="C1062">
        <v>23.3</v>
      </c>
      <c r="D1062">
        <v>11.1</v>
      </c>
      <c r="E1062">
        <f>IF(D1062&gt;=1,martianeum[[#This Row],[zawartosc]] * 0.01 *martianeum[[#This Row],[masa '[kg']]],0)</f>
        <v>2.5863</v>
      </c>
    </row>
    <row r="1063" spans="1:6" x14ac:dyDescent="0.25">
      <c r="A1063" s="1">
        <v>49702</v>
      </c>
      <c r="B1063" t="s">
        <v>14</v>
      </c>
      <c r="C1063">
        <v>30</v>
      </c>
      <c r="D1063">
        <v>16.100000000000001</v>
      </c>
      <c r="E1063">
        <f>IF(D1063&gt;=1,martianeum[[#This Row],[zawartosc]] * 0.01 *martianeum[[#This Row],[masa '[kg']]],0)</f>
        <v>4.83</v>
      </c>
    </row>
    <row r="1064" spans="1:6" x14ac:dyDescent="0.25">
      <c r="A1064" s="1">
        <v>49703</v>
      </c>
      <c r="B1064" t="s">
        <v>17</v>
      </c>
      <c r="C1064">
        <v>16</v>
      </c>
      <c r="D1064">
        <v>9.8000000000000007</v>
      </c>
      <c r="E1064">
        <f>IF(D1064&gt;=1,martianeum[[#This Row],[zawartosc]] * 0.01 *martianeum[[#This Row],[masa '[kg']]],0)</f>
        <v>1.5680000000000001</v>
      </c>
    </row>
    <row r="1065" spans="1:6" x14ac:dyDescent="0.25">
      <c r="A1065" s="1">
        <v>49704</v>
      </c>
      <c r="B1065" t="s">
        <v>19</v>
      </c>
      <c r="C1065">
        <v>21.6</v>
      </c>
      <c r="D1065">
        <v>3.4</v>
      </c>
      <c r="E1065">
        <f>IF(D1065&gt;=1,martianeum[[#This Row],[zawartosc]] * 0.01 *martianeum[[#This Row],[masa '[kg']]],0)</f>
        <v>0.73440000000000005</v>
      </c>
      <c r="F1065">
        <f t="shared" ref="F1065" si="150">SUM(C1059:C1065)</f>
        <v>148</v>
      </c>
    </row>
    <row r="1066" spans="1:6" x14ac:dyDescent="0.25">
      <c r="A1066" s="1">
        <v>49705</v>
      </c>
      <c r="B1066" t="s">
        <v>18</v>
      </c>
      <c r="C1066">
        <v>27.9</v>
      </c>
      <c r="D1066">
        <v>4.8</v>
      </c>
      <c r="E1066">
        <f>IF(D1066&gt;=1,martianeum[[#This Row],[zawartosc]] * 0.01 *martianeum[[#This Row],[masa '[kg']]],0)</f>
        <v>1.3391999999999999</v>
      </c>
    </row>
    <row r="1067" spans="1:6" x14ac:dyDescent="0.25">
      <c r="A1067" s="1">
        <v>49706</v>
      </c>
      <c r="B1067" t="s">
        <v>12</v>
      </c>
      <c r="C1067">
        <v>17.5</v>
      </c>
      <c r="D1067">
        <v>14.7</v>
      </c>
      <c r="E1067">
        <f>IF(D1067&gt;=1,martianeum[[#This Row],[zawartosc]] * 0.01 *martianeum[[#This Row],[masa '[kg']]],0)</f>
        <v>2.5724999999999998</v>
      </c>
    </row>
    <row r="1068" spans="1:6" x14ac:dyDescent="0.25">
      <c r="A1068" s="1">
        <v>49707</v>
      </c>
      <c r="B1068" t="s">
        <v>6</v>
      </c>
      <c r="C1068">
        <v>20.7</v>
      </c>
      <c r="D1068">
        <v>0</v>
      </c>
      <c r="E1068">
        <f>IF(D1068&gt;=1,martianeum[[#This Row],[zawartosc]] * 0.01 *martianeum[[#This Row],[masa '[kg']]],0)</f>
        <v>0</v>
      </c>
    </row>
    <row r="1069" spans="1:6" x14ac:dyDescent="0.25">
      <c r="A1069" s="1">
        <v>49708</v>
      </c>
      <c r="B1069" t="s">
        <v>9</v>
      </c>
      <c r="C1069">
        <v>10.8</v>
      </c>
      <c r="D1069">
        <v>36.4</v>
      </c>
      <c r="E1069">
        <f>IF(D1069&gt;=1,martianeum[[#This Row],[zawartosc]] * 0.01 *martianeum[[#This Row],[masa '[kg']]],0)</f>
        <v>3.9312</v>
      </c>
    </row>
    <row r="1070" spans="1:6" x14ac:dyDescent="0.25">
      <c r="A1070" s="1">
        <v>49709</v>
      </c>
      <c r="B1070" t="s">
        <v>18</v>
      </c>
      <c r="C1070">
        <v>27.6</v>
      </c>
      <c r="D1070">
        <v>32.799999999999997</v>
      </c>
      <c r="E1070">
        <f>IF(D1070&gt;=1,martianeum[[#This Row],[zawartosc]] * 0.01 *martianeum[[#This Row],[masa '[kg']]],0)</f>
        <v>9.0527999999999995</v>
      </c>
    </row>
    <row r="1071" spans="1:6" x14ac:dyDescent="0.25">
      <c r="A1071" s="1">
        <v>49710</v>
      </c>
      <c r="B1071" t="s">
        <v>10</v>
      </c>
      <c r="C1071">
        <v>10.8</v>
      </c>
      <c r="D1071">
        <v>11.6</v>
      </c>
      <c r="E1071">
        <f>IF(D1071&gt;=1,martianeum[[#This Row],[zawartosc]] * 0.01 *martianeum[[#This Row],[masa '[kg']]],0)</f>
        <v>1.2527999999999999</v>
      </c>
    </row>
    <row r="1072" spans="1:6" x14ac:dyDescent="0.25">
      <c r="A1072" s="1">
        <v>49711</v>
      </c>
      <c r="B1072" t="s">
        <v>16</v>
      </c>
      <c r="C1072">
        <v>13.7</v>
      </c>
      <c r="D1072">
        <v>0</v>
      </c>
      <c r="E1072">
        <f>IF(D1072&gt;=1,martianeum[[#This Row],[zawartosc]] * 0.01 *martianeum[[#This Row],[masa '[kg']]],0)</f>
        <v>0</v>
      </c>
      <c r="F1072">
        <f t="shared" ref="F1072" si="151">SUM(C1066:C1072)</f>
        <v>129</v>
      </c>
    </row>
    <row r="1073" spans="1:6" x14ac:dyDescent="0.25">
      <c r="A1073" s="1">
        <v>49712</v>
      </c>
      <c r="B1073" t="s">
        <v>17</v>
      </c>
      <c r="C1073">
        <v>19.5</v>
      </c>
      <c r="D1073">
        <v>0</v>
      </c>
      <c r="E1073">
        <f>IF(D1073&gt;=1,martianeum[[#This Row],[zawartosc]] * 0.01 *martianeum[[#This Row],[masa '[kg']]],0)</f>
        <v>0</v>
      </c>
    </row>
    <row r="1074" spans="1:6" x14ac:dyDescent="0.25">
      <c r="A1074" s="1">
        <v>49713</v>
      </c>
      <c r="B1074" t="s">
        <v>8</v>
      </c>
      <c r="C1074">
        <v>21.6</v>
      </c>
      <c r="D1074">
        <v>11.6</v>
      </c>
      <c r="E1074">
        <f>IF(D1074&gt;=1,martianeum[[#This Row],[zawartosc]] * 0.01 *martianeum[[#This Row],[masa '[kg']]],0)</f>
        <v>2.5055999999999998</v>
      </c>
    </row>
    <row r="1075" spans="1:6" x14ac:dyDescent="0.25">
      <c r="A1075" s="1">
        <v>49714</v>
      </c>
      <c r="B1075" t="s">
        <v>16</v>
      </c>
      <c r="C1075">
        <v>21.6</v>
      </c>
      <c r="D1075">
        <v>2.7</v>
      </c>
      <c r="E1075">
        <f>IF(D1075&gt;=1,martianeum[[#This Row],[zawartosc]] * 0.01 *martianeum[[#This Row],[masa '[kg']]],0)</f>
        <v>0.58320000000000005</v>
      </c>
    </row>
    <row r="1076" spans="1:6" x14ac:dyDescent="0.25">
      <c r="A1076" s="1">
        <v>49715</v>
      </c>
      <c r="B1076" t="s">
        <v>23</v>
      </c>
      <c r="C1076">
        <v>16.100000000000001</v>
      </c>
      <c r="D1076">
        <v>0</v>
      </c>
      <c r="E1076">
        <f>IF(D1076&gt;=1,martianeum[[#This Row],[zawartosc]] * 0.01 *martianeum[[#This Row],[masa '[kg']]],0)</f>
        <v>0</v>
      </c>
    </row>
    <row r="1077" spans="1:6" x14ac:dyDescent="0.25">
      <c r="A1077" s="1">
        <v>49716</v>
      </c>
      <c r="B1077" t="s">
        <v>5</v>
      </c>
      <c r="C1077">
        <v>29.4</v>
      </c>
      <c r="D1077">
        <v>12.5</v>
      </c>
      <c r="E1077">
        <f>IF(D1077&gt;=1,martianeum[[#This Row],[zawartosc]] * 0.01 *martianeum[[#This Row],[masa '[kg']]],0)</f>
        <v>3.6749999999999998</v>
      </c>
    </row>
    <row r="1078" spans="1:6" x14ac:dyDescent="0.25">
      <c r="A1078" s="1">
        <v>49717</v>
      </c>
      <c r="B1078" t="s">
        <v>25</v>
      </c>
      <c r="C1078">
        <v>17.8</v>
      </c>
      <c r="D1078">
        <v>5.9</v>
      </c>
      <c r="E1078">
        <f>IF(D1078&gt;=1,martianeum[[#This Row],[zawartosc]] * 0.01 *martianeum[[#This Row],[masa '[kg']]],0)</f>
        <v>1.0502</v>
      </c>
    </row>
    <row r="1079" spans="1:6" x14ac:dyDescent="0.25">
      <c r="A1079" s="1">
        <v>49718</v>
      </c>
      <c r="B1079" t="s">
        <v>18</v>
      </c>
      <c r="C1079">
        <v>26.1</v>
      </c>
      <c r="D1079">
        <v>14.8</v>
      </c>
      <c r="E1079">
        <f>IF(D1079&gt;=1,martianeum[[#This Row],[zawartosc]] * 0.01 *martianeum[[#This Row],[masa '[kg']]],0)</f>
        <v>3.8628000000000009</v>
      </c>
      <c r="F1079">
        <f t="shared" ref="F1079" si="152">SUM(C1073:C1079)</f>
        <v>152.10000000000002</v>
      </c>
    </row>
    <row r="1080" spans="1:6" x14ac:dyDescent="0.25">
      <c r="A1080" s="1">
        <v>49719</v>
      </c>
      <c r="B1080" t="s">
        <v>9</v>
      </c>
      <c r="C1080">
        <v>13.8</v>
      </c>
      <c r="D1080">
        <v>0</v>
      </c>
      <c r="E1080">
        <f>IF(D1080&gt;=1,martianeum[[#This Row],[zawartosc]] * 0.01 *martianeum[[#This Row],[masa '[kg']]],0)</f>
        <v>0</v>
      </c>
    </row>
    <row r="1081" spans="1:6" x14ac:dyDescent="0.25">
      <c r="A1081" s="1">
        <v>49720</v>
      </c>
      <c r="B1081" t="s">
        <v>11</v>
      </c>
      <c r="C1081">
        <v>16.100000000000001</v>
      </c>
      <c r="D1081">
        <v>6.2</v>
      </c>
      <c r="E1081">
        <f>IF(D1081&gt;=1,martianeum[[#This Row],[zawartosc]] * 0.01 *martianeum[[#This Row],[masa '[kg']]],0)</f>
        <v>0.9982000000000002</v>
      </c>
    </row>
    <row r="1082" spans="1:6" x14ac:dyDescent="0.25">
      <c r="A1082" s="1">
        <v>49721</v>
      </c>
      <c r="B1082" t="s">
        <v>9</v>
      </c>
      <c r="C1082">
        <v>23.2</v>
      </c>
      <c r="D1082">
        <v>45.8</v>
      </c>
      <c r="E1082">
        <f>IF(D1082&gt;=1,martianeum[[#This Row],[zawartosc]] * 0.01 *martianeum[[#This Row],[masa '[kg']]],0)</f>
        <v>10.625599999999999</v>
      </c>
    </row>
    <row r="1083" spans="1:6" x14ac:dyDescent="0.25">
      <c r="A1083" s="1">
        <v>49722</v>
      </c>
      <c r="B1083" t="s">
        <v>11</v>
      </c>
      <c r="C1083">
        <v>18.899999999999999</v>
      </c>
      <c r="D1083">
        <v>0</v>
      </c>
      <c r="E1083">
        <f>IF(D1083&gt;=1,martianeum[[#This Row],[zawartosc]] * 0.01 *martianeum[[#This Row],[masa '[kg']]],0)</f>
        <v>0</v>
      </c>
    </row>
    <row r="1084" spans="1:6" x14ac:dyDescent="0.25">
      <c r="A1084" s="1">
        <v>49723</v>
      </c>
      <c r="B1084" t="s">
        <v>18</v>
      </c>
      <c r="C1084">
        <v>28.9</v>
      </c>
      <c r="D1084">
        <v>34.1</v>
      </c>
      <c r="E1084">
        <f>IF(D1084&gt;=1,martianeum[[#This Row],[zawartosc]] * 0.01 *martianeum[[#This Row],[masa '[kg']]],0)</f>
        <v>9.8549000000000007</v>
      </c>
    </row>
    <row r="1085" spans="1:6" x14ac:dyDescent="0.25">
      <c r="A1085" s="1">
        <v>49724</v>
      </c>
      <c r="B1085" t="s">
        <v>9</v>
      </c>
      <c r="C1085">
        <v>19.3</v>
      </c>
      <c r="D1085">
        <v>49.6</v>
      </c>
      <c r="E1085">
        <f>IF(D1085&gt;=1,martianeum[[#This Row],[zawartosc]] * 0.01 *martianeum[[#This Row],[masa '[kg']]],0)</f>
        <v>9.5728000000000009</v>
      </c>
    </row>
    <row r="1086" spans="1:6" x14ac:dyDescent="0.25">
      <c r="A1086" s="1">
        <v>49725</v>
      </c>
      <c r="B1086" t="s">
        <v>17</v>
      </c>
      <c r="C1086">
        <v>23.9</v>
      </c>
      <c r="D1086">
        <v>11.7</v>
      </c>
      <c r="E1086">
        <f>IF(D1086&gt;=1,martianeum[[#This Row],[zawartosc]] * 0.01 *martianeum[[#This Row],[masa '[kg']]],0)</f>
        <v>2.7962999999999996</v>
      </c>
      <c r="F1086">
        <f t="shared" ref="F1086" si="153">SUM(C1080:C1086)</f>
        <v>144.1</v>
      </c>
    </row>
    <row r="1087" spans="1:6" x14ac:dyDescent="0.25">
      <c r="A1087" s="1">
        <v>49726</v>
      </c>
      <c r="B1087" t="s">
        <v>12</v>
      </c>
      <c r="C1087">
        <v>28.6</v>
      </c>
      <c r="D1087">
        <v>11.5</v>
      </c>
      <c r="E1087">
        <f>IF(D1087&gt;=1,martianeum[[#This Row],[zawartosc]] * 0.01 *martianeum[[#This Row],[masa '[kg']]],0)</f>
        <v>3.2890000000000001</v>
      </c>
    </row>
    <row r="1088" spans="1:6" x14ac:dyDescent="0.25">
      <c r="A1088" s="1">
        <v>49727</v>
      </c>
      <c r="B1088" t="s">
        <v>25</v>
      </c>
      <c r="C1088">
        <v>14.5</v>
      </c>
      <c r="D1088">
        <v>0.3</v>
      </c>
      <c r="E1088">
        <f>IF(D1088&gt;=1,martianeum[[#This Row],[zawartosc]] * 0.01 *martianeum[[#This Row],[masa '[kg']]],0)</f>
        <v>0</v>
      </c>
    </row>
    <row r="1089" spans="1:6" x14ac:dyDescent="0.25">
      <c r="A1089" s="1">
        <v>49728</v>
      </c>
      <c r="B1089" t="s">
        <v>9</v>
      </c>
      <c r="C1089">
        <v>13</v>
      </c>
      <c r="D1089">
        <v>0</v>
      </c>
      <c r="E1089">
        <f>IF(D1089&gt;=1,martianeum[[#This Row],[zawartosc]] * 0.01 *martianeum[[#This Row],[masa '[kg']]],0)</f>
        <v>0</v>
      </c>
    </row>
    <row r="1090" spans="1:6" x14ac:dyDescent="0.25">
      <c r="A1090" s="1">
        <v>49729</v>
      </c>
      <c r="B1090" t="s">
        <v>18</v>
      </c>
      <c r="C1090">
        <v>16.2</v>
      </c>
      <c r="D1090">
        <v>9.1999999999999993</v>
      </c>
      <c r="E1090">
        <f>IF(D1090&gt;=1,martianeum[[#This Row],[zawartosc]] * 0.01 *martianeum[[#This Row],[masa '[kg']]],0)</f>
        <v>1.4903999999999999</v>
      </c>
    </row>
    <row r="1091" spans="1:6" x14ac:dyDescent="0.25">
      <c r="A1091" s="1">
        <v>49730</v>
      </c>
      <c r="B1091" t="s">
        <v>14</v>
      </c>
      <c r="C1091">
        <v>27.1</v>
      </c>
      <c r="D1091">
        <v>6.3</v>
      </c>
      <c r="E1091">
        <f>IF(D1091&gt;=1,martianeum[[#This Row],[zawartosc]] * 0.01 *martianeum[[#This Row],[masa '[kg']]],0)</f>
        <v>1.7073</v>
      </c>
    </row>
    <row r="1092" spans="1:6" x14ac:dyDescent="0.25">
      <c r="A1092" s="1">
        <v>49731</v>
      </c>
      <c r="B1092" t="s">
        <v>9</v>
      </c>
      <c r="C1092">
        <v>15.6</v>
      </c>
      <c r="D1092">
        <v>28</v>
      </c>
      <c r="E1092">
        <f>IF(D1092&gt;=1,martianeum[[#This Row],[zawartosc]] * 0.01 *martianeum[[#This Row],[masa '[kg']]],0)</f>
        <v>4.3680000000000003</v>
      </c>
    </row>
    <row r="1093" spans="1:6" x14ac:dyDescent="0.25">
      <c r="A1093" s="1">
        <v>49732</v>
      </c>
      <c r="B1093" t="s">
        <v>25</v>
      </c>
      <c r="C1093">
        <v>28.9</v>
      </c>
      <c r="D1093">
        <v>6.8</v>
      </c>
      <c r="E1093">
        <f>IF(D1093&gt;=1,martianeum[[#This Row],[zawartosc]] * 0.01 *martianeum[[#This Row],[masa '[kg']]],0)</f>
        <v>1.9652000000000001</v>
      </c>
      <c r="F1093">
        <f t="shared" ref="F1093" si="154">SUM(C1087:C1093)</f>
        <v>143.9</v>
      </c>
    </row>
    <row r="1094" spans="1:6" x14ac:dyDescent="0.25">
      <c r="A1094" s="1">
        <v>49733</v>
      </c>
      <c r="B1094" t="s">
        <v>5</v>
      </c>
      <c r="C1094">
        <v>13.8</v>
      </c>
      <c r="D1094">
        <v>11.9</v>
      </c>
      <c r="E1094">
        <f>IF(D1094&gt;=1,martianeum[[#This Row],[zawartosc]] * 0.01 *martianeum[[#This Row],[masa '[kg']]],0)</f>
        <v>1.6422000000000001</v>
      </c>
    </row>
    <row r="1095" spans="1:6" x14ac:dyDescent="0.25">
      <c r="A1095" s="1">
        <v>49734</v>
      </c>
      <c r="B1095" t="s">
        <v>5</v>
      </c>
      <c r="C1095">
        <v>17.8</v>
      </c>
      <c r="D1095">
        <v>1.5</v>
      </c>
      <c r="E1095">
        <f>IF(D1095&gt;=1,martianeum[[#This Row],[zawartosc]] * 0.01 *martianeum[[#This Row],[masa '[kg']]],0)</f>
        <v>0.26700000000000002</v>
      </c>
    </row>
    <row r="1096" spans="1:6" x14ac:dyDescent="0.25">
      <c r="A1096" s="1">
        <v>49735</v>
      </c>
      <c r="B1096" t="s">
        <v>21</v>
      </c>
      <c r="C1096">
        <v>25.1</v>
      </c>
      <c r="D1096">
        <v>0</v>
      </c>
      <c r="E1096">
        <f>IF(D1096&gt;=1,martianeum[[#This Row],[zawartosc]] * 0.01 *martianeum[[#This Row],[masa '[kg']]],0)</f>
        <v>0</v>
      </c>
    </row>
    <row r="1097" spans="1:6" x14ac:dyDescent="0.25">
      <c r="A1097" s="1">
        <v>49736</v>
      </c>
      <c r="B1097" t="s">
        <v>21</v>
      </c>
      <c r="C1097">
        <v>29.5</v>
      </c>
      <c r="D1097">
        <v>0</v>
      </c>
      <c r="E1097">
        <f>IF(D1097&gt;=1,martianeum[[#This Row],[zawartosc]] * 0.01 *martianeum[[#This Row],[masa '[kg']]],0)</f>
        <v>0</v>
      </c>
    </row>
    <row r="1098" spans="1:6" x14ac:dyDescent="0.25">
      <c r="A1098" s="1">
        <v>49737</v>
      </c>
      <c r="B1098" t="s">
        <v>25</v>
      </c>
      <c r="C1098">
        <v>16.100000000000001</v>
      </c>
      <c r="D1098">
        <v>7.1</v>
      </c>
      <c r="E1098">
        <f>IF(D1098&gt;=1,martianeum[[#This Row],[zawartosc]] * 0.01 *martianeum[[#This Row],[masa '[kg']]],0)</f>
        <v>1.1431</v>
      </c>
    </row>
    <row r="1099" spans="1:6" x14ac:dyDescent="0.25">
      <c r="A1099" s="1">
        <v>49738</v>
      </c>
      <c r="B1099" t="s">
        <v>8</v>
      </c>
      <c r="C1099">
        <v>18</v>
      </c>
      <c r="D1099">
        <v>12</v>
      </c>
      <c r="E1099">
        <f>IF(D1099&gt;=1,martianeum[[#This Row],[zawartosc]] * 0.01 *martianeum[[#This Row],[masa '[kg']]],0)</f>
        <v>2.16</v>
      </c>
    </row>
    <row r="1100" spans="1:6" x14ac:dyDescent="0.25">
      <c r="A1100" s="1">
        <v>49739</v>
      </c>
      <c r="B1100" t="s">
        <v>9</v>
      </c>
      <c r="C1100">
        <v>12.2</v>
      </c>
      <c r="D1100">
        <v>26.8</v>
      </c>
      <c r="E1100">
        <f>IF(D1100&gt;=1,martianeum[[#This Row],[zawartosc]] * 0.01 *martianeum[[#This Row],[masa '[kg']]],0)</f>
        <v>3.2696000000000001</v>
      </c>
      <c r="F1100">
        <f t="shared" ref="F1100" si="155">SUM(C1094:C1100)</f>
        <v>132.5</v>
      </c>
    </row>
    <row r="1101" spans="1:6" x14ac:dyDescent="0.25">
      <c r="A1101" s="1">
        <v>49740</v>
      </c>
      <c r="B1101" t="s">
        <v>13</v>
      </c>
      <c r="C1101">
        <v>20.7</v>
      </c>
      <c r="D1101">
        <v>4.7</v>
      </c>
      <c r="E1101">
        <f>IF(D1101&gt;=1,martianeum[[#This Row],[zawartosc]] * 0.01 *martianeum[[#This Row],[masa '[kg']]],0)</f>
        <v>0.97289999999999999</v>
      </c>
    </row>
    <row r="1102" spans="1:6" x14ac:dyDescent="0.25">
      <c r="A1102" s="1">
        <v>49741</v>
      </c>
      <c r="B1102" t="s">
        <v>9</v>
      </c>
      <c r="C1102">
        <v>20.100000000000001</v>
      </c>
      <c r="D1102">
        <v>47.4</v>
      </c>
      <c r="E1102">
        <f>IF(D1102&gt;=1,martianeum[[#This Row],[zawartosc]] * 0.01 *martianeum[[#This Row],[masa '[kg']]],0)</f>
        <v>9.5274000000000001</v>
      </c>
    </row>
    <row r="1103" spans="1:6" x14ac:dyDescent="0.25">
      <c r="A1103" s="1">
        <v>49742</v>
      </c>
      <c r="B1103" t="s">
        <v>9</v>
      </c>
      <c r="C1103">
        <v>14.9</v>
      </c>
      <c r="D1103">
        <v>43.8</v>
      </c>
      <c r="E1103">
        <f>IF(D1103&gt;=1,martianeum[[#This Row],[zawartosc]] * 0.01 *martianeum[[#This Row],[masa '[kg']]],0)</f>
        <v>6.5262000000000002</v>
      </c>
    </row>
    <row r="1104" spans="1:6" x14ac:dyDescent="0.25">
      <c r="A1104" s="1">
        <v>49743</v>
      </c>
      <c r="B1104" t="s">
        <v>9</v>
      </c>
      <c r="C1104">
        <v>19</v>
      </c>
      <c r="D1104">
        <v>0</v>
      </c>
      <c r="E1104">
        <f>IF(D1104&gt;=1,martianeum[[#This Row],[zawartosc]] * 0.01 *martianeum[[#This Row],[masa '[kg']]],0)</f>
        <v>0</v>
      </c>
    </row>
    <row r="1105" spans="1:6" x14ac:dyDescent="0.25">
      <c r="A1105" s="1">
        <v>49744</v>
      </c>
      <c r="B1105" t="s">
        <v>5</v>
      </c>
      <c r="C1105">
        <v>12.5</v>
      </c>
      <c r="D1105">
        <v>0</v>
      </c>
      <c r="E1105">
        <f>IF(D1105&gt;=1,martianeum[[#This Row],[zawartosc]] * 0.01 *martianeum[[#This Row],[masa '[kg']]],0)</f>
        <v>0</v>
      </c>
    </row>
    <row r="1106" spans="1:6" x14ac:dyDescent="0.25">
      <c r="A1106" s="1">
        <v>49745</v>
      </c>
      <c r="B1106" t="s">
        <v>12</v>
      </c>
      <c r="C1106">
        <v>15.2</v>
      </c>
      <c r="D1106">
        <v>13.9</v>
      </c>
      <c r="E1106">
        <f>IF(D1106&gt;=1,martianeum[[#This Row],[zawartosc]] * 0.01 *martianeum[[#This Row],[masa '[kg']]],0)</f>
        <v>2.1128</v>
      </c>
    </row>
    <row r="1107" spans="1:6" x14ac:dyDescent="0.25">
      <c r="A1107" s="1">
        <v>49746</v>
      </c>
      <c r="B1107" t="s">
        <v>18</v>
      </c>
      <c r="C1107">
        <v>29.2</v>
      </c>
      <c r="D1107">
        <v>26.8</v>
      </c>
      <c r="E1107">
        <f>IF(D1107&gt;=1,martianeum[[#This Row],[zawartosc]] * 0.01 *martianeum[[#This Row],[masa '[kg']]],0)</f>
        <v>7.8256000000000006</v>
      </c>
      <c r="F1107">
        <f t="shared" ref="F1107" si="156">SUM(C1101:C1107)</f>
        <v>131.6</v>
      </c>
    </row>
    <row r="1108" spans="1:6" x14ac:dyDescent="0.25">
      <c r="A1108" s="1">
        <v>49747</v>
      </c>
      <c r="B1108" t="s">
        <v>5</v>
      </c>
      <c r="C1108">
        <v>13.9</v>
      </c>
      <c r="D1108">
        <v>1.1000000000000001</v>
      </c>
      <c r="E1108">
        <f>IF(D1108&gt;=1,martianeum[[#This Row],[zawartosc]] * 0.01 *martianeum[[#This Row],[masa '[kg']]],0)</f>
        <v>0.15290000000000001</v>
      </c>
    </row>
    <row r="1109" spans="1:6" x14ac:dyDescent="0.25">
      <c r="A1109" s="1">
        <v>49748</v>
      </c>
      <c r="B1109" t="s">
        <v>14</v>
      </c>
      <c r="C1109">
        <v>11.4</v>
      </c>
      <c r="D1109">
        <v>0</v>
      </c>
      <c r="E1109">
        <f>IF(D1109&gt;=1,martianeum[[#This Row],[zawartosc]] * 0.01 *martianeum[[#This Row],[masa '[kg']]],0)</f>
        <v>0</v>
      </c>
    </row>
    <row r="1110" spans="1:6" x14ac:dyDescent="0.25">
      <c r="A1110" s="1">
        <v>49749</v>
      </c>
      <c r="B1110" t="s">
        <v>8</v>
      </c>
      <c r="C1110">
        <v>15.8</v>
      </c>
      <c r="D1110">
        <v>7</v>
      </c>
      <c r="E1110">
        <f>IF(D1110&gt;=1,martianeum[[#This Row],[zawartosc]] * 0.01 *martianeum[[#This Row],[masa '[kg']]],0)</f>
        <v>1.1060000000000001</v>
      </c>
    </row>
    <row r="1111" spans="1:6" x14ac:dyDescent="0.25">
      <c r="A1111" s="1">
        <v>49750</v>
      </c>
      <c r="B1111" t="s">
        <v>9</v>
      </c>
      <c r="C1111">
        <v>10.199999999999999</v>
      </c>
      <c r="D1111">
        <v>43.3</v>
      </c>
      <c r="E1111">
        <f>IF(D1111&gt;=1,martianeum[[#This Row],[zawartosc]] * 0.01 *martianeum[[#This Row],[masa '[kg']]],0)</f>
        <v>4.4165999999999999</v>
      </c>
    </row>
    <row r="1112" spans="1:6" x14ac:dyDescent="0.25">
      <c r="A1112" s="1">
        <v>49751</v>
      </c>
      <c r="B1112" t="s">
        <v>12</v>
      </c>
      <c r="C1112">
        <v>19.600000000000001</v>
      </c>
      <c r="D1112">
        <v>8.9</v>
      </c>
      <c r="E1112">
        <f>IF(D1112&gt;=1,martianeum[[#This Row],[zawartosc]] * 0.01 *martianeum[[#This Row],[masa '[kg']]],0)</f>
        <v>1.7444000000000004</v>
      </c>
    </row>
    <row r="1113" spans="1:6" x14ac:dyDescent="0.25">
      <c r="A1113" s="1">
        <v>49752</v>
      </c>
      <c r="B1113" t="s">
        <v>5</v>
      </c>
      <c r="C1113">
        <v>15.5</v>
      </c>
      <c r="D1113">
        <v>10.1</v>
      </c>
      <c r="E1113">
        <f>IF(D1113&gt;=1,martianeum[[#This Row],[zawartosc]] * 0.01 *martianeum[[#This Row],[masa '[kg']]],0)</f>
        <v>1.5654999999999999</v>
      </c>
    </row>
    <row r="1114" spans="1:6" x14ac:dyDescent="0.25">
      <c r="A1114" s="1">
        <v>49753</v>
      </c>
      <c r="B1114" t="s">
        <v>14</v>
      </c>
      <c r="C1114">
        <v>19.899999999999999</v>
      </c>
      <c r="D1114">
        <v>16.2</v>
      </c>
      <c r="E1114">
        <f>IF(D1114&gt;=1,martianeum[[#This Row],[zawartosc]] * 0.01 *martianeum[[#This Row],[masa '[kg']]],0)</f>
        <v>3.2237999999999998</v>
      </c>
      <c r="F1114">
        <f t="shared" ref="F1114" si="157">SUM(C1108:C1114)</f>
        <v>106.30000000000001</v>
      </c>
    </row>
    <row r="1115" spans="1:6" x14ac:dyDescent="0.25">
      <c r="A1115" s="1">
        <v>49754</v>
      </c>
      <c r="B1115" t="s">
        <v>17</v>
      </c>
      <c r="C1115">
        <v>10.7</v>
      </c>
      <c r="D1115">
        <v>2.8</v>
      </c>
      <c r="E1115">
        <f>IF(D1115&gt;=1,martianeum[[#This Row],[zawartosc]] * 0.01 *martianeum[[#This Row],[masa '[kg']]],0)</f>
        <v>0.29959999999999992</v>
      </c>
    </row>
    <row r="1116" spans="1:6" x14ac:dyDescent="0.25">
      <c r="A1116" s="1">
        <v>49755</v>
      </c>
      <c r="B1116" t="s">
        <v>25</v>
      </c>
      <c r="C1116">
        <v>11.5</v>
      </c>
      <c r="D1116">
        <v>5.9</v>
      </c>
      <c r="E1116">
        <f>IF(D1116&gt;=1,martianeum[[#This Row],[zawartosc]] * 0.01 *martianeum[[#This Row],[masa '[kg']]],0)</f>
        <v>0.67849999999999999</v>
      </c>
    </row>
    <row r="1117" spans="1:6" x14ac:dyDescent="0.25">
      <c r="A1117" s="1">
        <v>49756</v>
      </c>
      <c r="B1117" t="s">
        <v>13</v>
      </c>
      <c r="C1117">
        <v>28.4</v>
      </c>
      <c r="D1117">
        <v>1</v>
      </c>
      <c r="E1117">
        <f>IF(D1117&gt;=1,martianeum[[#This Row],[zawartosc]] * 0.01 *martianeum[[#This Row],[masa '[kg']]],0)</f>
        <v>0.28399999999999997</v>
      </c>
    </row>
    <row r="1118" spans="1:6" x14ac:dyDescent="0.25">
      <c r="A1118" s="1">
        <v>49757</v>
      </c>
      <c r="B1118" t="s">
        <v>18</v>
      </c>
      <c r="C1118">
        <v>22.3</v>
      </c>
      <c r="D1118">
        <v>5.0999999999999996</v>
      </c>
      <c r="E1118">
        <f>IF(D1118&gt;=1,martianeum[[#This Row],[zawartosc]] * 0.01 *martianeum[[#This Row],[masa '[kg']]],0)</f>
        <v>1.1373</v>
      </c>
    </row>
    <row r="1119" spans="1:6" x14ac:dyDescent="0.25">
      <c r="A1119" s="1">
        <v>49758</v>
      </c>
      <c r="B1119" t="s">
        <v>12</v>
      </c>
      <c r="C1119">
        <v>28.7</v>
      </c>
      <c r="D1119">
        <v>11.5</v>
      </c>
      <c r="E1119">
        <f>IF(D1119&gt;=1,martianeum[[#This Row],[zawartosc]] * 0.01 *martianeum[[#This Row],[masa '[kg']]],0)</f>
        <v>3.3005</v>
      </c>
    </row>
    <row r="1120" spans="1:6" x14ac:dyDescent="0.25">
      <c r="A1120" s="1">
        <v>49759</v>
      </c>
      <c r="B1120" t="s">
        <v>5</v>
      </c>
      <c r="C1120">
        <v>19.100000000000001</v>
      </c>
      <c r="D1120">
        <v>0</v>
      </c>
      <c r="E1120">
        <f>IF(D1120&gt;=1,martianeum[[#This Row],[zawartosc]] * 0.01 *martianeum[[#This Row],[masa '[kg']]],0)</f>
        <v>0</v>
      </c>
    </row>
    <row r="1121" spans="1:6" x14ac:dyDescent="0.25">
      <c r="A1121" s="1">
        <v>49760</v>
      </c>
      <c r="B1121" t="s">
        <v>9</v>
      </c>
      <c r="C1121">
        <v>10.199999999999999</v>
      </c>
      <c r="D1121">
        <v>7.6</v>
      </c>
      <c r="E1121">
        <f>IF(D1121&gt;=1,martianeum[[#This Row],[zawartosc]] * 0.01 *martianeum[[#This Row],[masa '[kg']]],0)</f>
        <v>0.77519999999999989</v>
      </c>
      <c r="F1121">
        <f t="shared" ref="F1121" si="158">SUM(C1115:C1121)</f>
        <v>130.89999999999998</v>
      </c>
    </row>
    <row r="1122" spans="1:6" x14ac:dyDescent="0.25">
      <c r="A1122" s="1">
        <v>49761</v>
      </c>
      <c r="B1122" t="s">
        <v>9</v>
      </c>
      <c r="C1122">
        <v>18.399999999999999</v>
      </c>
      <c r="D1122">
        <v>0</v>
      </c>
      <c r="E1122">
        <f>IF(D1122&gt;=1,martianeum[[#This Row],[zawartosc]] * 0.01 *martianeum[[#This Row],[masa '[kg']]],0)</f>
        <v>0</v>
      </c>
    </row>
    <row r="1123" spans="1:6" x14ac:dyDescent="0.25">
      <c r="A1123" s="1">
        <v>49762</v>
      </c>
      <c r="B1123" t="s">
        <v>18</v>
      </c>
      <c r="C1123">
        <v>29.3</v>
      </c>
      <c r="D1123">
        <v>0</v>
      </c>
      <c r="E1123">
        <f>IF(D1123&gt;=1,martianeum[[#This Row],[zawartosc]] * 0.01 *martianeum[[#This Row],[masa '[kg']]],0)</f>
        <v>0</v>
      </c>
    </row>
    <row r="1124" spans="1:6" x14ac:dyDescent="0.25">
      <c r="A1124" s="1">
        <v>49763</v>
      </c>
      <c r="B1124" t="s">
        <v>16</v>
      </c>
      <c r="C1124">
        <v>26.7</v>
      </c>
      <c r="D1124">
        <v>5.7</v>
      </c>
      <c r="E1124">
        <f>IF(D1124&gt;=1,martianeum[[#This Row],[zawartosc]] * 0.01 *martianeum[[#This Row],[masa '[kg']]],0)</f>
        <v>1.5219</v>
      </c>
    </row>
    <row r="1125" spans="1:6" x14ac:dyDescent="0.25">
      <c r="A1125" s="1">
        <v>49764</v>
      </c>
      <c r="B1125" t="s">
        <v>7</v>
      </c>
      <c r="C1125">
        <v>22.2</v>
      </c>
      <c r="D1125">
        <v>0.9</v>
      </c>
      <c r="E1125">
        <f>IF(D1125&gt;=1,martianeum[[#This Row],[zawartosc]] * 0.01 *martianeum[[#This Row],[masa '[kg']]],0)</f>
        <v>0</v>
      </c>
    </row>
    <row r="1126" spans="1:6" x14ac:dyDescent="0.25">
      <c r="A1126" s="1">
        <v>49765</v>
      </c>
      <c r="B1126" t="s">
        <v>12</v>
      </c>
      <c r="C1126">
        <v>25.5</v>
      </c>
      <c r="D1126">
        <v>5.8</v>
      </c>
      <c r="E1126">
        <f>IF(D1126&gt;=1,martianeum[[#This Row],[zawartosc]] * 0.01 *martianeum[[#This Row],[masa '[kg']]],0)</f>
        <v>1.4789999999999999</v>
      </c>
    </row>
    <row r="1127" spans="1:6" x14ac:dyDescent="0.25">
      <c r="A1127" s="1">
        <v>49766</v>
      </c>
      <c r="B1127" t="s">
        <v>18</v>
      </c>
      <c r="C1127">
        <v>23.5</v>
      </c>
      <c r="D1127">
        <v>32</v>
      </c>
      <c r="E1127">
        <f>IF(D1127&gt;=1,martianeum[[#This Row],[zawartosc]] * 0.01 *martianeum[[#This Row],[masa '[kg']]],0)</f>
        <v>7.5200000000000005</v>
      </c>
    </row>
    <row r="1128" spans="1:6" x14ac:dyDescent="0.25">
      <c r="A1128" s="1">
        <v>49767</v>
      </c>
      <c r="B1128" t="s">
        <v>4</v>
      </c>
      <c r="C1128">
        <v>28.4</v>
      </c>
      <c r="D1128">
        <v>5.7</v>
      </c>
      <c r="E1128">
        <f>IF(D1128&gt;=1,martianeum[[#This Row],[zawartosc]] * 0.01 *martianeum[[#This Row],[masa '[kg']]],0)</f>
        <v>1.6188</v>
      </c>
      <c r="F1128">
        <f t="shared" ref="F1128" si="159">SUM(C1122:C1128)</f>
        <v>174.00000000000003</v>
      </c>
    </row>
    <row r="1129" spans="1:6" x14ac:dyDescent="0.25">
      <c r="A1129" s="1">
        <v>49768</v>
      </c>
      <c r="B1129" t="s">
        <v>21</v>
      </c>
      <c r="C1129">
        <v>13.7</v>
      </c>
      <c r="D1129">
        <v>6</v>
      </c>
      <c r="E1129">
        <f>IF(D1129&gt;=1,martianeum[[#This Row],[zawartosc]] * 0.01 *martianeum[[#This Row],[masa '[kg']]],0)</f>
        <v>0.82199999999999995</v>
      </c>
    </row>
    <row r="1130" spans="1:6" x14ac:dyDescent="0.25">
      <c r="A1130" s="1">
        <v>49769</v>
      </c>
      <c r="B1130" t="s">
        <v>8</v>
      </c>
      <c r="C1130">
        <v>22.1</v>
      </c>
      <c r="D1130">
        <v>11.7</v>
      </c>
      <c r="E1130">
        <f>IF(D1130&gt;=1,martianeum[[#This Row],[zawartosc]] * 0.01 *martianeum[[#This Row],[masa '[kg']]],0)</f>
        <v>2.5857000000000001</v>
      </c>
    </row>
    <row r="1131" spans="1:6" x14ac:dyDescent="0.25">
      <c r="A1131" s="1">
        <v>49770</v>
      </c>
      <c r="B1131" t="s">
        <v>10</v>
      </c>
      <c r="C1131">
        <v>16.899999999999999</v>
      </c>
      <c r="D1131">
        <v>18.2</v>
      </c>
      <c r="E1131">
        <f>IF(D1131&gt;=1,martianeum[[#This Row],[zawartosc]] * 0.01 *martianeum[[#This Row],[masa '[kg']]],0)</f>
        <v>3.0757999999999996</v>
      </c>
    </row>
    <row r="1132" spans="1:6" x14ac:dyDescent="0.25">
      <c r="A1132" s="1">
        <v>49771</v>
      </c>
      <c r="B1132" t="s">
        <v>21</v>
      </c>
      <c r="C1132">
        <v>28</v>
      </c>
      <c r="D1132">
        <v>0</v>
      </c>
      <c r="E1132">
        <f>IF(D1132&gt;=1,martianeum[[#This Row],[zawartosc]] * 0.01 *martianeum[[#This Row],[masa '[kg']]],0)</f>
        <v>0</v>
      </c>
    </row>
    <row r="1133" spans="1:6" x14ac:dyDescent="0.25">
      <c r="A1133" s="1">
        <v>49772</v>
      </c>
      <c r="B1133" t="s">
        <v>9</v>
      </c>
      <c r="C1133">
        <v>13.5</v>
      </c>
      <c r="D1133">
        <v>3.7</v>
      </c>
      <c r="E1133">
        <f>IF(D1133&gt;=1,martianeum[[#This Row],[zawartosc]] * 0.01 *martianeum[[#This Row],[masa '[kg']]],0)</f>
        <v>0.49950000000000006</v>
      </c>
    </row>
    <row r="1134" spans="1:6" x14ac:dyDescent="0.25">
      <c r="A1134" s="1">
        <v>49773</v>
      </c>
      <c r="B1134" t="s">
        <v>18</v>
      </c>
      <c r="C1134">
        <v>13.4</v>
      </c>
      <c r="D1134">
        <v>22.5</v>
      </c>
      <c r="E1134">
        <f>IF(D1134&gt;=1,martianeum[[#This Row],[zawartosc]] * 0.01 *martianeum[[#This Row],[masa '[kg']]],0)</f>
        <v>3.0150000000000001</v>
      </c>
    </row>
    <row r="1135" spans="1:6" x14ac:dyDescent="0.25">
      <c r="A1135" s="1">
        <v>49774</v>
      </c>
      <c r="B1135" t="s">
        <v>5</v>
      </c>
      <c r="C1135">
        <v>19.899999999999999</v>
      </c>
      <c r="D1135">
        <v>11.6</v>
      </c>
      <c r="E1135">
        <f>IF(D1135&gt;=1,martianeum[[#This Row],[zawartosc]] * 0.01 *martianeum[[#This Row],[masa '[kg']]],0)</f>
        <v>2.3083999999999998</v>
      </c>
      <c r="F1135">
        <f t="shared" ref="F1135" si="160">SUM(C1129:C1135)</f>
        <v>127.5</v>
      </c>
    </row>
    <row r="1136" spans="1:6" x14ac:dyDescent="0.25">
      <c r="A1136" s="1">
        <v>49775</v>
      </c>
      <c r="B1136" t="s">
        <v>6</v>
      </c>
      <c r="C1136">
        <v>24.2</v>
      </c>
      <c r="D1136">
        <v>11</v>
      </c>
      <c r="E1136">
        <f>IF(D1136&gt;=1,martianeum[[#This Row],[zawartosc]] * 0.01 *martianeum[[#This Row],[masa '[kg']]],0)</f>
        <v>2.6619999999999999</v>
      </c>
    </row>
    <row r="1137" spans="1:6" x14ac:dyDescent="0.25">
      <c r="A1137" s="1">
        <v>49776</v>
      </c>
      <c r="B1137" t="s">
        <v>26</v>
      </c>
      <c r="C1137">
        <v>20.399999999999999</v>
      </c>
      <c r="D1137">
        <v>0</v>
      </c>
      <c r="E1137">
        <f>IF(D1137&gt;=1,martianeum[[#This Row],[zawartosc]] * 0.01 *martianeum[[#This Row],[masa '[kg']]],0)</f>
        <v>0</v>
      </c>
    </row>
    <row r="1138" spans="1:6" x14ac:dyDescent="0.25">
      <c r="A1138" s="1">
        <v>49777</v>
      </c>
      <c r="B1138" t="s">
        <v>26</v>
      </c>
      <c r="C1138">
        <v>16.600000000000001</v>
      </c>
      <c r="D1138">
        <v>3.9</v>
      </c>
      <c r="E1138">
        <f>IF(D1138&gt;=1,martianeum[[#This Row],[zawartosc]] * 0.01 *martianeum[[#This Row],[masa '[kg']]],0)</f>
        <v>0.64740000000000009</v>
      </c>
    </row>
    <row r="1139" spans="1:6" x14ac:dyDescent="0.25">
      <c r="A1139" s="1">
        <v>49778</v>
      </c>
      <c r="B1139" t="s">
        <v>32</v>
      </c>
      <c r="C1139">
        <v>14.3</v>
      </c>
      <c r="D1139">
        <v>0</v>
      </c>
      <c r="E1139">
        <f>IF(D1139&gt;=1,martianeum[[#This Row],[zawartosc]] * 0.01 *martianeum[[#This Row],[masa '[kg']]],0)</f>
        <v>0</v>
      </c>
    </row>
    <row r="1140" spans="1:6" x14ac:dyDescent="0.25">
      <c r="A1140" s="1">
        <v>49779</v>
      </c>
      <c r="B1140" t="s">
        <v>25</v>
      </c>
      <c r="C1140">
        <v>24.4</v>
      </c>
      <c r="D1140">
        <v>4.4000000000000004</v>
      </c>
      <c r="E1140">
        <f>IF(D1140&gt;=1,martianeum[[#This Row],[zawartosc]] * 0.01 *martianeum[[#This Row],[masa '[kg']]],0)</f>
        <v>1.0736000000000001</v>
      </c>
    </row>
    <row r="1141" spans="1:6" x14ac:dyDescent="0.25">
      <c r="A1141" s="1">
        <v>49780</v>
      </c>
      <c r="B1141" t="s">
        <v>9</v>
      </c>
      <c r="C1141">
        <v>26.7</v>
      </c>
      <c r="D1141">
        <v>30.4</v>
      </c>
      <c r="E1141">
        <f>IF(D1141&gt;=1,martianeum[[#This Row],[zawartosc]] * 0.01 *martianeum[[#This Row],[masa '[kg']]],0)</f>
        <v>8.1167999999999996</v>
      </c>
    </row>
    <row r="1142" spans="1:6" x14ac:dyDescent="0.25">
      <c r="A1142" s="1">
        <v>49781</v>
      </c>
      <c r="B1142" t="s">
        <v>12</v>
      </c>
      <c r="C1142">
        <v>20.100000000000001</v>
      </c>
      <c r="D1142">
        <v>3.1</v>
      </c>
      <c r="E1142">
        <f>IF(D1142&gt;=1,martianeum[[#This Row],[zawartosc]] * 0.01 *martianeum[[#This Row],[masa '[kg']]],0)</f>
        <v>0.6231000000000001</v>
      </c>
      <c r="F1142">
        <f t="shared" ref="F1142" si="161">SUM(C1136:C1142)</f>
        <v>146.70000000000002</v>
      </c>
    </row>
    <row r="1143" spans="1:6" x14ac:dyDescent="0.25">
      <c r="A1143" s="1">
        <v>49782</v>
      </c>
      <c r="B1143" t="s">
        <v>5</v>
      </c>
      <c r="C1143">
        <v>13.5</v>
      </c>
      <c r="D1143">
        <v>6.9</v>
      </c>
      <c r="E1143">
        <f>IF(D1143&gt;=1,martianeum[[#This Row],[zawartosc]] * 0.01 *martianeum[[#This Row],[masa '[kg']]],0)</f>
        <v>0.93150000000000011</v>
      </c>
    </row>
    <row r="1144" spans="1:6" x14ac:dyDescent="0.25">
      <c r="A1144" s="1">
        <v>49783</v>
      </c>
      <c r="B1144" t="s">
        <v>6</v>
      </c>
      <c r="C1144">
        <v>18.8</v>
      </c>
      <c r="D1144">
        <v>21.5</v>
      </c>
      <c r="E1144">
        <f>IF(D1144&gt;=1,martianeum[[#This Row],[zawartosc]] * 0.01 *martianeum[[#This Row],[masa '[kg']]],0)</f>
        <v>4.0419999999999998</v>
      </c>
    </row>
    <row r="1145" spans="1:6" x14ac:dyDescent="0.25">
      <c r="A1145" s="1">
        <v>49784</v>
      </c>
      <c r="B1145" t="s">
        <v>18</v>
      </c>
      <c r="C1145">
        <v>18</v>
      </c>
      <c r="D1145">
        <v>13.9</v>
      </c>
      <c r="E1145">
        <f>IF(D1145&gt;=1,martianeum[[#This Row],[zawartosc]] * 0.01 *martianeum[[#This Row],[masa '[kg']]],0)</f>
        <v>2.5020000000000002</v>
      </c>
    </row>
    <row r="1146" spans="1:6" x14ac:dyDescent="0.25">
      <c r="A1146" s="1">
        <v>49785</v>
      </c>
      <c r="B1146" t="s">
        <v>26</v>
      </c>
      <c r="C1146">
        <v>16.899999999999999</v>
      </c>
      <c r="D1146">
        <v>1.8</v>
      </c>
      <c r="E1146">
        <f>IF(D1146&gt;=1,martianeum[[#This Row],[zawartosc]] * 0.01 *martianeum[[#This Row],[masa '[kg']]],0)</f>
        <v>0.30420000000000003</v>
      </c>
    </row>
    <row r="1147" spans="1:6" x14ac:dyDescent="0.25">
      <c r="A1147" s="1">
        <v>49786</v>
      </c>
      <c r="B1147" t="s">
        <v>5</v>
      </c>
      <c r="C1147">
        <v>23.7</v>
      </c>
      <c r="D1147">
        <v>13</v>
      </c>
      <c r="E1147">
        <f>IF(D1147&gt;=1,martianeum[[#This Row],[zawartosc]] * 0.01 *martianeum[[#This Row],[masa '[kg']]],0)</f>
        <v>3.081</v>
      </c>
    </row>
    <row r="1148" spans="1:6" x14ac:dyDescent="0.25">
      <c r="A1148" s="1">
        <v>49787</v>
      </c>
      <c r="B1148" t="s">
        <v>31</v>
      </c>
      <c r="C1148">
        <v>17.600000000000001</v>
      </c>
      <c r="D1148">
        <v>0.6</v>
      </c>
      <c r="E1148">
        <f>IF(D1148&gt;=1,martianeum[[#This Row],[zawartosc]] * 0.01 *martianeum[[#This Row],[masa '[kg']]],0)</f>
        <v>0</v>
      </c>
    </row>
    <row r="1149" spans="1:6" x14ac:dyDescent="0.25">
      <c r="A1149" s="1">
        <v>49788</v>
      </c>
      <c r="B1149" t="s">
        <v>6</v>
      </c>
      <c r="C1149">
        <v>29.1</v>
      </c>
      <c r="D1149">
        <v>8.3000000000000007</v>
      </c>
      <c r="E1149">
        <f>IF(D1149&gt;=1,martianeum[[#This Row],[zawartosc]] * 0.01 *martianeum[[#This Row],[masa '[kg']]],0)</f>
        <v>2.4153000000000002</v>
      </c>
      <c r="F1149">
        <f t="shared" ref="F1149" si="162">SUM(C1143:C1149)</f>
        <v>137.6</v>
      </c>
    </row>
    <row r="1150" spans="1:6" x14ac:dyDescent="0.25">
      <c r="A1150" s="1">
        <v>49789</v>
      </c>
      <c r="B1150" t="s">
        <v>8</v>
      </c>
      <c r="C1150">
        <v>26.8</v>
      </c>
      <c r="D1150">
        <v>11.2</v>
      </c>
      <c r="E1150">
        <f>IF(D1150&gt;=1,martianeum[[#This Row],[zawartosc]] * 0.01 *martianeum[[#This Row],[masa '[kg']]],0)</f>
        <v>3.0015999999999998</v>
      </c>
    </row>
    <row r="1151" spans="1:6" x14ac:dyDescent="0.25">
      <c r="A1151" s="1">
        <v>49790</v>
      </c>
      <c r="B1151" t="s">
        <v>17</v>
      </c>
      <c r="C1151">
        <v>10.5</v>
      </c>
      <c r="D1151">
        <v>0</v>
      </c>
      <c r="E1151">
        <f>IF(D1151&gt;=1,martianeum[[#This Row],[zawartosc]] * 0.01 *martianeum[[#This Row],[masa '[kg']]],0)</f>
        <v>0</v>
      </c>
    </row>
    <row r="1152" spans="1:6" x14ac:dyDescent="0.25">
      <c r="A1152" s="1">
        <v>49791</v>
      </c>
      <c r="B1152" t="s">
        <v>10</v>
      </c>
      <c r="C1152">
        <v>13.5</v>
      </c>
      <c r="D1152">
        <v>0</v>
      </c>
      <c r="E1152">
        <f>IF(D1152&gt;=1,martianeum[[#This Row],[zawartosc]] * 0.01 *martianeum[[#This Row],[masa '[kg']]],0)</f>
        <v>0</v>
      </c>
    </row>
    <row r="1153" spans="1:6" x14ac:dyDescent="0.25">
      <c r="A1153" s="1">
        <v>49792</v>
      </c>
      <c r="B1153" t="s">
        <v>9</v>
      </c>
      <c r="C1153">
        <v>14</v>
      </c>
      <c r="D1153">
        <v>22</v>
      </c>
      <c r="E1153">
        <f>IF(D1153&gt;=1,martianeum[[#This Row],[zawartosc]] * 0.01 *martianeum[[#This Row],[masa '[kg']]],0)</f>
        <v>3.08</v>
      </c>
    </row>
    <row r="1154" spans="1:6" x14ac:dyDescent="0.25">
      <c r="A1154" s="1">
        <v>49793</v>
      </c>
      <c r="B1154" t="s">
        <v>10</v>
      </c>
      <c r="C1154">
        <v>26.7</v>
      </c>
      <c r="D1154">
        <v>8</v>
      </c>
      <c r="E1154">
        <f>IF(D1154&gt;=1,martianeum[[#This Row],[zawartosc]] * 0.01 *martianeum[[#This Row],[masa '[kg']]],0)</f>
        <v>2.1360000000000001</v>
      </c>
    </row>
    <row r="1155" spans="1:6" x14ac:dyDescent="0.25">
      <c r="A1155" s="1">
        <v>49794</v>
      </c>
      <c r="B1155" t="s">
        <v>25</v>
      </c>
      <c r="C1155">
        <v>11.2</v>
      </c>
      <c r="D1155">
        <v>6.1</v>
      </c>
      <c r="E1155">
        <f>IF(D1155&gt;=1,martianeum[[#This Row],[zawartosc]] * 0.01 *martianeum[[#This Row],[masa '[kg']]],0)</f>
        <v>0.68319999999999992</v>
      </c>
    </row>
    <row r="1156" spans="1:6" x14ac:dyDescent="0.25">
      <c r="A1156" s="1">
        <v>49795</v>
      </c>
      <c r="B1156" t="s">
        <v>26</v>
      </c>
      <c r="C1156">
        <v>24.7</v>
      </c>
      <c r="D1156">
        <v>0</v>
      </c>
      <c r="E1156">
        <f>IF(D1156&gt;=1,martianeum[[#This Row],[zawartosc]] * 0.01 *martianeum[[#This Row],[masa '[kg']]],0)</f>
        <v>0</v>
      </c>
      <c r="F1156">
        <f t="shared" ref="F1156" si="163">SUM(C1150:C1156)</f>
        <v>127.4</v>
      </c>
    </row>
    <row r="1157" spans="1:6" x14ac:dyDescent="0.25">
      <c r="A1157" s="1">
        <v>49796</v>
      </c>
      <c r="B1157" t="s">
        <v>28</v>
      </c>
      <c r="C1157">
        <v>27.2</v>
      </c>
      <c r="D1157">
        <v>0.3</v>
      </c>
      <c r="E1157">
        <f>IF(D1157&gt;=1,martianeum[[#This Row],[zawartosc]] * 0.01 *martianeum[[#This Row],[masa '[kg']]],0)</f>
        <v>0</v>
      </c>
    </row>
    <row r="1158" spans="1:6" x14ac:dyDescent="0.25">
      <c r="A1158" s="1">
        <v>49797</v>
      </c>
      <c r="B1158" t="s">
        <v>29</v>
      </c>
      <c r="C1158">
        <v>11</v>
      </c>
      <c r="D1158">
        <v>0</v>
      </c>
      <c r="E1158">
        <f>IF(D1158&gt;=1,martianeum[[#This Row],[zawartosc]] * 0.01 *martianeum[[#This Row],[masa '[kg']]],0)</f>
        <v>0</v>
      </c>
    </row>
    <row r="1159" spans="1:6" x14ac:dyDescent="0.25">
      <c r="A1159" s="1">
        <v>49798</v>
      </c>
      <c r="B1159" t="s">
        <v>11</v>
      </c>
      <c r="C1159">
        <v>10.9</v>
      </c>
      <c r="D1159">
        <v>4.4000000000000004</v>
      </c>
      <c r="E1159">
        <f>IF(D1159&gt;=1,martianeum[[#This Row],[zawartosc]] * 0.01 *martianeum[[#This Row],[masa '[kg']]],0)</f>
        <v>0.47960000000000008</v>
      </c>
    </row>
    <row r="1160" spans="1:6" x14ac:dyDescent="0.25">
      <c r="A1160" s="1">
        <v>49799</v>
      </c>
      <c r="B1160" t="s">
        <v>6</v>
      </c>
      <c r="C1160">
        <v>27.4</v>
      </c>
      <c r="D1160">
        <v>6</v>
      </c>
      <c r="E1160">
        <f>IF(D1160&gt;=1,martianeum[[#This Row],[zawartosc]] * 0.01 *martianeum[[#This Row],[masa '[kg']]],0)</f>
        <v>1.6439999999999999</v>
      </c>
    </row>
    <row r="1161" spans="1:6" x14ac:dyDescent="0.25">
      <c r="A1161" s="1">
        <v>49800</v>
      </c>
      <c r="B1161" t="s">
        <v>5</v>
      </c>
      <c r="C1161">
        <v>20</v>
      </c>
      <c r="D1161">
        <v>7.6</v>
      </c>
      <c r="E1161">
        <f>IF(D1161&gt;=1,martianeum[[#This Row],[zawartosc]] * 0.01 *martianeum[[#This Row],[masa '[kg']]],0)</f>
        <v>1.52</v>
      </c>
    </row>
    <row r="1162" spans="1:6" x14ac:dyDescent="0.25">
      <c r="A1162" s="1">
        <v>49801</v>
      </c>
      <c r="B1162" t="s">
        <v>17</v>
      </c>
      <c r="C1162">
        <v>23.5</v>
      </c>
      <c r="D1162">
        <v>2.5</v>
      </c>
      <c r="E1162">
        <f>IF(D1162&gt;=1,martianeum[[#This Row],[zawartosc]] * 0.01 *martianeum[[#This Row],[masa '[kg']]],0)</f>
        <v>0.58750000000000002</v>
      </c>
    </row>
    <row r="1163" spans="1:6" x14ac:dyDescent="0.25">
      <c r="A1163" s="1">
        <v>49802</v>
      </c>
      <c r="B1163" t="s">
        <v>10</v>
      </c>
      <c r="C1163">
        <v>28.5</v>
      </c>
      <c r="D1163">
        <v>0</v>
      </c>
      <c r="E1163">
        <f>IF(D1163&gt;=1,martianeum[[#This Row],[zawartosc]] * 0.01 *martianeum[[#This Row],[masa '[kg']]],0)</f>
        <v>0</v>
      </c>
      <c r="F1163">
        <f t="shared" ref="F1163" si="164">SUM(C1157:C1163)</f>
        <v>148.5</v>
      </c>
    </row>
    <row r="1164" spans="1:6" x14ac:dyDescent="0.25">
      <c r="A1164" s="1">
        <v>49803</v>
      </c>
      <c r="B1164" t="s">
        <v>26</v>
      </c>
      <c r="C1164">
        <v>10.8</v>
      </c>
      <c r="D1164">
        <v>5.8</v>
      </c>
      <c r="E1164">
        <f>IF(D1164&gt;=1,martianeum[[#This Row],[zawartosc]] * 0.01 *martianeum[[#This Row],[masa '[kg']]],0)</f>
        <v>0.62639999999999996</v>
      </c>
    </row>
    <row r="1165" spans="1:6" x14ac:dyDescent="0.25">
      <c r="A1165" s="1">
        <v>49804</v>
      </c>
      <c r="B1165" t="s">
        <v>14</v>
      </c>
      <c r="C1165">
        <v>18.899999999999999</v>
      </c>
      <c r="D1165">
        <v>9.5</v>
      </c>
      <c r="E1165">
        <f>IF(D1165&gt;=1,martianeum[[#This Row],[zawartosc]] * 0.01 *martianeum[[#This Row],[masa '[kg']]],0)</f>
        <v>1.7954999999999999</v>
      </c>
    </row>
    <row r="1166" spans="1:6" x14ac:dyDescent="0.25">
      <c r="A1166" s="1">
        <v>49805</v>
      </c>
      <c r="B1166" t="s">
        <v>12</v>
      </c>
      <c r="C1166">
        <v>24</v>
      </c>
      <c r="D1166">
        <v>4</v>
      </c>
      <c r="E1166">
        <f>IF(D1166&gt;=1,martianeum[[#This Row],[zawartosc]] * 0.01 *martianeum[[#This Row],[masa '[kg']]],0)</f>
        <v>0.96</v>
      </c>
    </row>
    <row r="1167" spans="1:6" x14ac:dyDescent="0.25">
      <c r="A1167" s="1">
        <v>49806</v>
      </c>
      <c r="B1167" t="s">
        <v>11</v>
      </c>
      <c r="C1167">
        <v>12.7</v>
      </c>
      <c r="D1167">
        <v>3</v>
      </c>
      <c r="E1167">
        <f>IF(D1167&gt;=1,martianeum[[#This Row],[zawartosc]] * 0.01 *martianeum[[#This Row],[masa '[kg']]],0)</f>
        <v>0.38099999999999995</v>
      </c>
    </row>
    <row r="1168" spans="1:6" x14ac:dyDescent="0.25">
      <c r="A1168" s="1">
        <v>49807</v>
      </c>
      <c r="B1168" t="s">
        <v>6</v>
      </c>
      <c r="C1168">
        <v>13.4</v>
      </c>
      <c r="D1168">
        <v>6.2</v>
      </c>
      <c r="E1168">
        <f>IF(D1168&gt;=1,martianeum[[#This Row],[zawartosc]] * 0.01 *martianeum[[#This Row],[masa '[kg']]],0)</f>
        <v>0.83080000000000009</v>
      </c>
    </row>
    <row r="1169" spans="1:6" x14ac:dyDescent="0.25">
      <c r="A1169" s="1">
        <v>49808</v>
      </c>
      <c r="B1169" t="s">
        <v>9</v>
      </c>
      <c r="C1169">
        <v>15.9</v>
      </c>
      <c r="D1169">
        <v>0</v>
      </c>
      <c r="E1169">
        <f>IF(D1169&gt;=1,martianeum[[#This Row],[zawartosc]] * 0.01 *martianeum[[#This Row],[masa '[kg']]],0)</f>
        <v>0</v>
      </c>
    </row>
    <row r="1170" spans="1:6" x14ac:dyDescent="0.25">
      <c r="A1170" s="1">
        <v>49809</v>
      </c>
      <c r="B1170" t="s">
        <v>10</v>
      </c>
      <c r="C1170">
        <v>19.399999999999999</v>
      </c>
      <c r="D1170">
        <v>21.2</v>
      </c>
      <c r="E1170">
        <f>IF(D1170&gt;=1,martianeum[[#This Row],[zawartosc]] * 0.01 *martianeum[[#This Row],[masa '[kg']]],0)</f>
        <v>4.1128</v>
      </c>
      <c r="F1170">
        <f t="shared" ref="F1170" si="165">SUM(C1164:C1170)</f>
        <v>115.10000000000002</v>
      </c>
    </row>
    <row r="1171" spans="1:6" x14ac:dyDescent="0.25">
      <c r="A1171" s="1">
        <v>49810</v>
      </c>
      <c r="B1171" t="s">
        <v>14</v>
      </c>
      <c r="C1171">
        <v>16.3</v>
      </c>
      <c r="D1171">
        <v>17.600000000000001</v>
      </c>
      <c r="E1171">
        <f>IF(D1171&gt;=1,martianeum[[#This Row],[zawartosc]] * 0.01 *martianeum[[#This Row],[masa '[kg']]],0)</f>
        <v>2.8688000000000002</v>
      </c>
    </row>
    <row r="1172" spans="1:6" x14ac:dyDescent="0.25">
      <c r="A1172" s="1">
        <v>49811</v>
      </c>
      <c r="B1172" t="s">
        <v>10</v>
      </c>
      <c r="C1172">
        <v>28</v>
      </c>
      <c r="D1172">
        <v>20.399999999999999</v>
      </c>
      <c r="E1172">
        <f>IF(D1172&gt;=1,martianeum[[#This Row],[zawartosc]] * 0.01 *martianeum[[#This Row],[masa '[kg']]],0)</f>
        <v>5.7119999999999997</v>
      </c>
    </row>
    <row r="1173" spans="1:6" x14ac:dyDescent="0.25">
      <c r="A1173" s="1">
        <v>49812</v>
      </c>
      <c r="B1173" t="s">
        <v>11</v>
      </c>
      <c r="C1173">
        <v>19</v>
      </c>
      <c r="D1173">
        <v>5.2</v>
      </c>
      <c r="E1173">
        <f>IF(D1173&gt;=1,martianeum[[#This Row],[zawartosc]] * 0.01 *martianeum[[#This Row],[masa '[kg']]],0)</f>
        <v>0.9880000000000001</v>
      </c>
    </row>
    <row r="1174" spans="1:6" x14ac:dyDescent="0.25">
      <c r="A1174" s="1">
        <v>49813</v>
      </c>
      <c r="B1174" t="s">
        <v>26</v>
      </c>
      <c r="C1174">
        <v>24.1</v>
      </c>
      <c r="D1174">
        <v>4.8</v>
      </c>
      <c r="E1174">
        <f>IF(D1174&gt;=1,martianeum[[#This Row],[zawartosc]] * 0.01 *martianeum[[#This Row],[masa '[kg']]],0)</f>
        <v>1.1568000000000001</v>
      </c>
    </row>
    <row r="1175" spans="1:6" x14ac:dyDescent="0.25">
      <c r="A1175" s="1">
        <v>49814</v>
      </c>
      <c r="B1175" t="s">
        <v>9</v>
      </c>
      <c r="C1175">
        <v>15.2</v>
      </c>
      <c r="D1175">
        <v>25.7</v>
      </c>
      <c r="E1175">
        <f>IF(D1175&gt;=1,martianeum[[#This Row],[zawartosc]] * 0.01 *martianeum[[#This Row],[masa '[kg']]],0)</f>
        <v>3.9064000000000001</v>
      </c>
    </row>
    <row r="1176" spans="1:6" x14ac:dyDescent="0.25">
      <c r="A1176" s="1">
        <v>49815</v>
      </c>
      <c r="B1176" t="s">
        <v>10</v>
      </c>
      <c r="C1176">
        <v>16.3</v>
      </c>
      <c r="D1176">
        <v>21</v>
      </c>
      <c r="E1176">
        <f>IF(D1176&gt;=1,martianeum[[#This Row],[zawartosc]] * 0.01 *martianeum[[#This Row],[masa '[kg']]],0)</f>
        <v>3.423</v>
      </c>
    </row>
    <row r="1177" spans="1:6" x14ac:dyDescent="0.25">
      <c r="A1177" s="1">
        <v>49816</v>
      </c>
      <c r="B1177" t="s">
        <v>6</v>
      </c>
      <c r="C1177">
        <v>26.9</v>
      </c>
      <c r="D1177">
        <v>0</v>
      </c>
      <c r="E1177">
        <f>IF(D1177&gt;=1,martianeum[[#This Row],[zawartosc]] * 0.01 *martianeum[[#This Row],[masa '[kg']]],0)</f>
        <v>0</v>
      </c>
      <c r="F1177">
        <f t="shared" ref="F1177" si="166">SUM(C1171:C1177)</f>
        <v>145.80000000000001</v>
      </c>
    </row>
    <row r="1178" spans="1:6" x14ac:dyDescent="0.25">
      <c r="A1178" s="1">
        <v>49817</v>
      </c>
      <c r="B1178" t="s">
        <v>8</v>
      </c>
      <c r="C1178">
        <v>25</v>
      </c>
      <c r="D1178">
        <v>0.5</v>
      </c>
      <c r="E1178">
        <f>IF(D1178&gt;=1,martianeum[[#This Row],[zawartosc]] * 0.01 *martianeum[[#This Row],[masa '[kg']]],0)</f>
        <v>0</v>
      </c>
    </row>
    <row r="1179" spans="1:6" x14ac:dyDescent="0.25">
      <c r="A1179" s="1">
        <v>49818</v>
      </c>
      <c r="B1179" t="s">
        <v>16</v>
      </c>
      <c r="C1179">
        <v>25.1</v>
      </c>
      <c r="D1179">
        <v>5.2</v>
      </c>
      <c r="E1179">
        <f>IF(D1179&gt;=1,martianeum[[#This Row],[zawartosc]] * 0.01 *martianeum[[#This Row],[masa '[kg']]],0)</f>
        <v>1.3052000000000001</v>
      </c>
    </row>
    <row r="1180" spans="1:6" x14ac:dyDescent="0.25">
      <c r="A1180" s="1">
        <v>49819</v>
      </c>
      <c r="B1180" t="s">
        <v>11</v>
      </c>
      <c r="C1180">
        <v>29.2</v>
      </c>
      <c r="D1180">
        <v>7.1</v>
      </c>
      <c r="E1180">
        <f>IF(D1180&gt;=1,martianeum[[#This Row],[zawartosc]] * 0.01 *martianeum[[#This Row],[masa '[kg']]],0)</f>
        <v>2.0731999999999999</v>
      </c>
    </row>
    <row r="1181" spans="1:6" x14ac:dyDescent="0.25">
      <c r="A1181" s="1">
        <v>49820</v>
      </c>
      <c r="B1181" t="s">
        <v>12</v>
      </c>
      <c r="C1181">
        <v>18.100000000000001</v>
      </c>
      <c r="D1181">
        <v>5.0999999999999996</v>
      </c>
      <c r="E1181">
        <f>IF(D1181&gt;=1,martianeum[[#This Row],[zawartosc]] * 0.01 *martianeum[[#This Row],[masa '[kg']]],0)</f>
        <v>0.92310000000000003</v>
      </c>
    </row>
    <row r="1182" spans="1:6" x14ac:dyDescent="0.25">
      <c r="A1182" s="1">
        <v>49821</v>
      </c>
      <c r="B1182" t="s">
        <v>10</v>
      </c>
      <c r="C1182">
        <v>12.5</v>
      </c>
      <c r="D1182">
        <v>0</v>
      </c>
      <c r="E1182">
        <f>IF(D1182&gt;=1,martianeum[[#This Row],[zawartosc]] * 0.01 *martianeum[[#This Row],[masa '[kg']]],0)</f>
        <v>0</v>
      </c>
    </row>
    <row r="1183" spans="1:6" x14ac:dyDescent="0.25">
      <c r="A1183" s="1">
        <v>49822</v>
      </c>
      <c r="B1183" t="s">
        <v>10</v>
      </c>
      <c r="C1183">
        <v>19.100000000000001</v>
      </c>
      <c r="D1183">
        <v>0.3</v>
      </c>
      <c r="E1183">
        <f>IF(D1183&gt;=1,martianeum[[#This Row],[zawartosc]] * 0.01 *martianeum[[#This Row],[masa '[kg']]],0)</f>
        <v>0</v>
      </c>
    </row>
    <row r="1184" spans="1:6" x14ac:dyDescent="0.25">
      <c r="A1184" s="1">
        <v>49823</v>
      </c>
      <c r="B1184" t="s">
        <v>18</v>
      </c>
      <c r="C1184">
        <v>27.4</v>
      </c>
      <c r="D1184">
        <v>0</v>
      </c>
      <c r="E1184">
        <f>IF(D1184&gt;=1,martianeum[[#This Row],[zawartosc]] * 0.01 *martianeum[[#This Row],[masa '[kg']]],0)</f>
        <v>0</v>
      </c>
      <c r="F1184">
        <f t="shared" ref="F1184" si="167">SUM(C1178:C1184)</f>
        <v>156.4</v>
      </c>
    </row>
    <row r="1185" spans="1:6" x14ac:dyDescent="0.25">
      <c r="A1185" s="1">
        <v>49824</v>
      </c>
      <c r="B1185" t="s">
        <v>6</v>
      </c>
      <c r="C1185">
        <v>21.1</v>
      </c>
      <c r="D1185">
        <v>10.4</v>
      </c>
      <c r="E1185">
        <f>IF(D1185&gt;=1,martianeum[[#This Row],[zawartosc]] * 0.01 *martianeum[[#This Row],[masa '[kg']]],0)</f>
        <v>2.1944000000000004</v>
      </c>
    </row>
    <row r="1186" spans="1:6" x14ac:dyDescent="0.25">
      <c r="A1186" s="1">
        <v>49825</v>
      </c>
      <c r="B1186" t="s">
        <v>26</v>
      </c>
      <c r="C1186">
        <v>13.4</v>
      </c>
      <c r="D1186">
        <v>0</v>
      </c>
      <c r="E1186">
        <f>IF(D1186&gt;=1,martianeum[[#This Row],[zawartosc]] * 0.01 *martianeum[[#This Row],[masa '[kg']]],0)</f>
        <v>0</v>
      </c>
    </row>
    <row r="1187" spans="1:6" x14ac:dyDescent="0.25">
      <c r="A1187" s="1">
        <v>49826</v>
      </c>
      <c r="B1187" t="s">
        <v>4</v>
      </c>
      <c r="C1187">
        <v>11.9</v>
      </c>
      <c r="D1187">
        <v>7.3</v>
      </c>
      <c r="E1187">
        <f>IF(D1187&gt;=1,martianeum[[#This Row],[zawartosc]] * 0.01 *martianeum[[#This Row],[masa '[kg']]],0)</f>
        <v>0.86869999999999992</v>
      </c>
    </row>
    <row r="1188" spans="1:6" x14ac:dyDescent="0.25">
      <c r="A1188" s="1">
        <v>49827</v>
      </c>
      <c r="B1188" t="s">
        <v>12</v>
      </c>
      <c r="C1188">
        <v>20.399999999999999</v>
      </c>
      <c r="D1188">
        <v>4.3</v>
      </c>
      <c r="E1188">
        <f>IF(D1188&gt;=1,martianeum[[#This Row],[zawartosc]] * 0.01 *martianeum[[#This Row],[masa '[kg']]],0)</f>
        <v>0.87719999999999987</v>
      </c>
    </row>
    <row r="1189" spans="1:6" x14ac:dyDescent="0.25">
      <c r="A1189" s="1">
        <v>49828</v>
      </c>
      <c r="B1189" t="s">
        <v>6</v>
      </c>
      <c r="C1189">
        <v>29.5</v>
      </c>
      <c r="D1189">
        <v>18.600000000000001</v>
      </c>
      <c r="E1189">
        <f>IF(D1189&gt;=1,martianeum[[#This Row],[zawartosc]] * 0.01 *martianeum[[#This Row],[masa '[kg']]],0)</f>
        <v>5.487000000000001</v>
      </c>
    </row>
    <row r="1190" spans="1:6" x14ac:dyDescent="0.25">
      <c r="A1190" s="1">
        <v>49829</v>
      </c>
      <c r="B1190" t="s">
        <v>11</v>
      </c>
      <c r="C1190">
        <v>24.1</v>
      </c>
      <c r="D1190">
        <v>5</v>
      </c>
      <c r="E1190">
        <f>IF(D1190&gt;=1,martianeum[[#This Row],[zawartosc]] * 0.01 *martianeum[[#This Row],[masa '[kg']]],0)</f>
        <v>1.2050000000000001</v>
      </c>
    </row>
    <row r="1191" spans="1:6" x14ac:dyDescent="0.25">
      <c r="A1191" s="1">
        <v>49830</v>
      </c>
      <c r="B1191" t="s">
        <v>13</v>
      </c>
      <c r="C1191">
        <v>11.5</v>
      </c>
      <c r="D1191">
        <v>3.6</v>
      </c>
      <c r="E1191">
        <f>IF(D1191&gt;=1,martianeum[[#This Row],[zawartosc]] * 0.01 *martianeum[[#This Row],[masa '[kg']]],0)</f>
        <v>0.41400000000000003</v>
      </c>
      <c r="F1191">
        <f t="shared" ref="F1191" si="168">SUM(C1185:C1191)</f>
        <v>131.9</v>
      </c>
    </row>
    <row r="1192" spans="1:6" x14ac:dyDescent="0.25">
      <c r="A1192" s="1">
        <v>49831</v>
      </c>
      <c r="B1192" t="s">
        <v>24</v>
      </c>
      <c r="C1192">
        <v>21.2</v>
      </c>
      <c r="D1192">
        <v>1.8</v>
      </c>
      <c r="E1192">
        <f>IF(D1192&gt;=1,martianeum[[#This Row],[zawartosc]] * 0.01 *martianeum[[#This Row],[masa '[kg']]],0)</f>
        <v>0.38160000000000005</v>
      </c>
    </row>
    <row r="1193" spans="1:6" x14ac:dyDescent="0.25">
      <c r="A1193" s="1">
        <v>49832</v>
      </c>
      <c r="B1193" t="s">
        <v>9</v>
      </c>
      <c r="C1193">
        <v>22.2</v>
      </c>
      <c r="D1193">
        <v>40.299999999999997</v>
      </c>
      <c r="E1193">
        <f>IF(D1193&gt;=1,martianeum[[#This Row],[zawartosc]] * 0.01 *martianeum[[#This Row],[masa '[kg']]],0)</f>
        <v>8.9465999999999983</v>
      </c>
    </row>
    <row r="1194" spans="1:6" x14ac:dyDescent="0.25">
      <c r="A1194" s="1">
        <v>49833</v>
      </c>
      <c r="B1194" t="s">
        <v>9</v>
      </c>
      <c r="C1194">
        <v>14.6</v>
      </c>
      <c r="D1194">
        <v>2.6</v>
      </c>
      <c r="E1194">
        <f>IF(D1194&gt;=1,martianeum[[#This Row],[zawartosc]] * 0.01 *martianeum[[#This Row],[masa '[kg']]],0)</f>
        <v>0.37960000000000005</v>
      </c>
    </row>
    <row r="1195" spans="1:6" x14ac:dyDescent="0.25">
      <c r="A1195" s="1">
        <v>49834</v>
      </c>
      <c r="B1195" t="s">
        <v>12</v>
      </c>
      <c r="C1195">
        <v>23.3</v>
      </c>
      <c r="D1195">
        <v>8.1</v>
      </c>
      <c r="E1195">
        <f>IF(D1195&gt;=1,martianeum[[#This Row],[zawartosc]] * 0.01 *martianeum[[#This Row],[masa '[kg']]],0)</f>
        <v>1.8873000000000002</v>
      </c>
    </row>
    <row r="1196" spans="1:6" x14ac:dyDescent="0.25">
      <c r="A1196" s="1">
        <v>49835</v>
      </c>
      <c r="B1196" t="s">
        <v>12</v>
      </c>
      <c r="C1196">
        <v>16.2</v>
      </c>
      <c r="D1196">
        <v>10.4</v>
      </c>
      <c r="E1196">
        <f>IF(D1196&gt;=1,martianeum[[#This Row],[zawartosc]] * 0.01 *martianeum[[#This Row],[masa '[kg']]],0)</f>
        <v>1.6848000000000001</v>
      </c>
    </row>
    <row r="1197" spans="1:6" x14ac:dyDescent="0.25">
      <c r="A1197" s="1">
        <v>49836</v>
      </c>
      <c r="B1197" t="s">
        <v>9</v>
      </c>
      <c r="C1197">
        <v>25.9</v>
      </c>
      <c r="D1197">
        <v>0</v>
      </c>
      <c r="E1197">
        <f>IF(D1197&gt;=1,martianeum[[#This Row],[zawartosc]] * 0.01 *martianeum[[#This Row],[masa '[kg']]],0)</f>
        <v>0</v>
      </c>
    </row>
    <row r="1198" spans="1:6" x14ac:dyDescent="0.25">
      <c r="A1198" s="1">
        <v>49837</v>
      </c>
      <c r="B1198" t="s">
        <v>4</v>
      </c>
      <c r="C1198">
        <v>14.6</v>
      </c>
      <c r="D1198">
        <v>7</v>
      </c>
      <c r="E1198">
        <f>IF(D1198&gt;=1,martianeum[[#This Row],[zawartosc]] * 0.01 *martianeum[[#This Row],[masa '[kg']]],0)</f>
        <v>1.022</v>
      </c>
      <c r="F1198">
        <f t="shared" ref="F1198" si="169">SUM(C1192:C1198)</f>
        <v>138</v>
      </c>
    </row>
    <row r="1199" spans="1:6" x14ac:dyDescent="0.25">
      <c r="A1199" s="1">
        <v>49838</v>
      </c>
      <c r="B1199" t="s">
        <v>17</v>
      </c>
      <c r="C1199">
        <v>15.1</v>
      </c>
      <c r="D1199">
        <v>11.7</v>
      </c>
      <c r="E1199">
        <f>IF(D1199&gt;=1,martianeum[[#This Row],[zawartosc]] * 0.01 *martianeum[[#This Row],[masa '[kg']]],0)</f>
        <v>1.7666999999999999</v>
      </c>
    </row>
    <row r="1200" spans="1:6" x14ac:dyDescent="0.25">
      <c r="A1200" s="1">
        <v>49839</v>
      </c>
      <c r="B1200" t="s">
        <v>18</v>
      </c>
      <c r="C1200">
        <v>14.1</v>
      </c>
      <c r="D1200">
        <v>6.5</v>
      </c>
      <c r="E1200">
        <f>IF(D1200&gt;=1,martianeum[[#This Row],[zawartosc]] * 0.01 *martianeum[[#This Row],[masa '[kg']]],0)</f>
        <v>0.91649999999999998</v>
      </c>
    </row>
    <row r="1201" spans="1:6" x14ac:dyDescent="0.25">
      <c r="A1201" s="1">
        <v>49840</v>
      </c>
      <c r="B1201" t="s">
        <v>26</v>
      </c>
      <c r="C1201">
        <v>22.1</v>
      </c>
      <c r="D1201">
        <v>1.8</v>
      </c>
      <c r="E1201">
        <f>IF(D1201&gt;=1,martianeum[[#This Row],[zawartosc]] * 0.01 *martianeum[[#This Row],[masa '[kg']]],0)</f>
        <v>0.3978000000000001</v>
      </c>
    </row>
    <row r="1202" spans="1:6" x14ac:dyDescent="0.25">
      <c r="A1202" s="1">
        <v>49841</v>
      </c>
      <c r="B1202" t="s">
        <v>10</v>
      </c>
      <c r="C1202">
        <v>27.2</v>
      </c>
      <c r="D1202">
        <v>21.9</v>
      </c>
      <c r="E1202">
        <f>IF(D1202&gt;=1,martianeum[[#This Row],[zawartosc]] * 0.01 *martianeum[[#This Row],[masa '[kg']]],0)</f>
        <v>5.9567999999999994</v>
      </c>
    </row>
    <row r="1203" spans="1:6" x14ac:dyDescent="0.25">
      <c r="A1203" s="1">
        <v>49842</v>
      </c>
      <c r="B1203" t="s">
        <v>5</v>
      </c>
      <c r="C1203">
        <v>10.8</v>
      </c>
      <c r="D1203">
        <v>0</v>
      </c>
      <c r="E1203">
        <f>IF(D1203&gt;=1,martianeum[[#This Row],[zawartosc]] * 0.01 *martianeum[[#This Row],[masa '[kg']]],0)</f>
        <v>0</v>
      </c>
    </row>
    <row r="1204" spans="1:6" x14ac:dyDescent="0.25">
      <c r="A1204" s="1">
        <v>49843</v>
      </c>
      <c r="B1204" t="s">
        <v>6</v>
      </c>
      <c r="C1204">
        <v>24.6</v>
      </c>
      <c r="D1204">
        <v>0</v>
      </c>
      <c r="E1204">
        <f>IF(D1204&gt;=1,martianeum[[#This Row],[zawartosc]] * 0.01 *martianeum[[#This Row],[masa '[kg']]],0)</f>
        <v>0</v>
      </c>
    </row>
    <row r="1205" spans="1:6" x14ac:dyDescent="0.25">
      <c r="A1205" s="1">
        <v>49844</v>
      </c>
      <c r="B1205" t="s">
        <v>9</v>
      </c>
      <c r="C1205">
        <v>27.8</v>
      </c>
      <c r="D1205">
        <v>26.3</v>
      </c>
      <c r="E1205">
        <f>IF(D1205&gt;=1,martianeum[[#This Row],[zawartosc]] * 0.01 *martianeum[[#This Row],[masa '[kg']]],0)</f>
        <v>7.3114000000000008</v>
      </c>
      <c r="F1205">
        <f t="shared" ref="F1205" si="170">SUM(C1199:C1205)</f>
        <v>141.70000000000002</v>
      </c>
    </row>
    <row r="1206" spans="1:6" x14ac:dyDescent="0.25">
      <c r="A1206" s="1">
        <v>49845</v>
      </c>
      <c r="B1206" t="s">
        <v>13</v>
      </c>
      <c r="C1206">
        <v>12.9</v>
      </c>
      <c r="D1206">
        <v>2.8</v>
      </c>
      <c r="E1206">
        <f>IF(D1206&gt;=1,martianeum[[#This Row],[zawartosc]] * 0.01 *martianeum[[#This Row],[masa '[kg']]],0)</f>
        <v>0.36119999999999997</v>
      </c>
    </row>
    <row r="1207" spans="1:6" x14ac:dyDescent="0.25">
      <c r="A1207" s="1">
        <v>49846</v>
      </c>
      <c r="B1207" t="s">
        <v>12</v>
      </c>
      <c r="C1207">
        <v>13.9</v>
      </c>
      <c r="D1207">
        <v>0.6</v>
      </c>
      <c r="E1207">
        <f>IF(D1207&gt;=1,martianeum[[#This Row],[zawartosc]] * 0.01 *martianeum[[#This Row],[masa '[kg']]],0)</f>
        <v>0</v>
      </c>
    </row>
    <row r="1208" spans="1:6" x14ac:dyDescent="0.25">
      <c r="A1208" s="1">
        <v>49847</v>
      </c>
      <c r="B1208" t="s">
        <v>28</v>
      </c>
      <c r="C1208">
        <v>27.6</v>
      </c>
      <c r="D1208">
        <v>0.6</v>
      </c>
      <c r="E1208">
        <f>IF(D1208&gt;=1,martianeum[[#This Row],[zawartosc]] * 0.01 *martianeum[[#This Row],[masa '[kg']]],0)</f>
        <v>0</v>
      </c>
    </row>
    <row r="1209" spans="1:6" x14ac:dyDescent="0.25">
      <c r="A1209" s="1">
        <v>49848</v>
      </c>
      <c r="B1209" t="s">
        <v>10</v>
      </c>
      <c r="C1209">
        <v>18.600000000000001</v>
      </c>
      <c r="D1209">
        <v>21.5</v>
      </c>
      <c r="E1209">
        <f>IF(D1209&gt;=1,martianeum[[#This Row],[zawartosc]] * 0.01 *martianeum[[#This Row],[masa '[kg']]],0)</f>
        <v>3.9990000000000001</v>
      </c>
    </row>
    <row r="1210" spans="1:6" x14ac:dyDescent="0.25">
      <c r="A1210" s="1">
        <v>49849</v>
      </c>
      <c r="B1210" t="s">
        <v>5</v>
      </c>
      <c r="C1210">
        <v>17.8</v>
      </c>
      <c r="D1210">
        <v>0</v>
      </c>
      <c r="E1210">
        <f>IF(D1210&gt;=1,martianeum[[#This Row],[zawartosc]] * 0.01 *martianeum[[#This Row],[masa '[kg']]],0)</f>
        <v>0</v>
      </c>
    </row>
    <row r="1211" spans="1:6" x14ac:dyDescent="0.25">
      <c r="A1211" s="1">
        <v>49850</v>
      </c>
      <c r="B1211" t="s">
        <v>14</v>
      </c>
      <c r="C1211">
        <v>20.8</v>
      </c>
      <c r="D1211">
        <v>8.5</v>
      </c>
      <c r="E1211">
        <f>IF(D1211&gt;=1,martianeum[[#This Row],[zawartosc]] * 0.01 *martianeum[[#This Row],[masa '[kg']]],0)</f>
        <v>1.7680000000000002</v>
      </c>
    </row>
    <row r="1212" spans="1:6" x14ac:dyDescent="0.25">
      <c r="A1212" s="1">
        <v>49851</v>
      </c>
      <c r="B1212" t="s">
        <v>21</v>
      </c>
      <c r="C1212">
        <v>16.399999999999999</v>
      </c>
      <c r="D1212">
        <v>6.8</v>
      </c>
      <c r="E1212">
        <f>IF(D1212&gt;=1,martianeum[[#This Row],[zawartosc]] * 0.01 *martianeum[[#This Row],[masa '[kg']]],0)</f>
        <v>1.1152</v>
      </c>
      <c r="F1212">
        <f t="shared" ref="F1212" si="171">SUM(C1206:C1212)</f>
        <v>128</v>
      </c>
    </row>
    <row r="1213" spans="1:6" x14ac:dyDescent="0.25">
      <c r="A1213" s="1">
        <v>49852</v>
      </c>
      <c r="B1213" t="s">
        <v>26</v>
      </c>
      <c r="C1213">
        <v>14.6</v>
      </c>
      <c r="D1213">
        <v>0</v>
      </c>
      <c r="E1213">
        <f>IF(D1213&gt;=1,martianeum[[#This Row],[zawartosc]] * 0.01 *martianeum[[#This Row],[masa '[kg']]],0)</f>
        <v>0</v>
      </c>
    </row>
    <row r="1214" spans="1:6" x14ac:dyDescent="0.25">
      <c r="A1214" s="1">
        <v>49853</v>
      </c>
      <c r="B1214" t="s">
        <v>8</v>
      </c>
      <c r="C1214">
        <v>27.1</v>
      </c>
      <c r="D1214">
        <v>1.2</v>
      </c>
      <c r="E1214">
        <f>IF(D1214&gt;=1,martianeum[[#This Row],[zawartosc]] * 0.01 *martianeum[[#This Row],[masa '[kg']]],0)</f>
        <v>0.32520000000000004</v>
      </c>
    </row>
    <row r="1215" spans="1:6" x14ac:dyDescent="0.25">
      <c r="A1215" s="1">
        <v>49854</v>
      </c>
      <c r="B1215" t="s">
        <v>9</v>
      </c>
      <c r="C1215">
        <v>18.3</v>
      </c>
      <c r="D1215">
        <v>3.7</v>
      </c>
      <c r="E1215">
        <f>IF(D1215&gt;=1,martianeum[[#This Row],[zawartosc]] * 0.01 *martianeum[[#This Row],[masa '[kg']]],0)</f>
        <v>0.67710000000000015</v>
      </c>
    </row>
    <row r="1216" spans="1:6" x14ac:dyDescent="0.25">
      <c r="A1216" s="1">
        <v>49855</v>
      </c>
      <c r="B1216" t="s">
        <v>28</v>
      </c>
      <c r="C1216">
        <v>27.1</v>
      </c>
      <c r="D1216">
        <v>0.2</v>
      </c>
      <c r="E1216">
        <f>IF(D1216&gt;=1,martianeum[[#This Row],[zawartosc]] * 0.01 *martianeum[[#This Row],[masa '[kg']]],0)</f>
        <v>0</v>
      </c>
    </row>
    <row r="1217" spans="1:6" x14ac:dyDescent="0.25">
      <c r="A1217" s="1">
        <v>49856</v>
      </c>
      <c r="B1217" t="s">
        <v>14</v>
      </c>
      <c r="C1217">
        <v>12.9</v>
      </c>
      <c r="D1217">
        <v>10.199999999999999</v>
      </c>
      <c r="E1217">
        <f>IF(D1217&gt;=1,martianeum[[#This Row],[zawartosc]] * 0.01 *martianeum[[#This Row],[masa '[kg']]],0)</f>
        <v>1.3157999999999999</v>
      </c>
    </row>
    <row r="1218" spans="1:6" x14ac:dyDescent="0.25">
      <c r="A1218" s="1">
        <v>49857</v>
      </c>
      <c r="B1218" t="s">
        <v>18</v>
      </c>
      <c r="C1218">
        <v>19.100000000000001</v>
      </c>
      <c r="D1218">
        <v>19.600000000000001</v>
      </c>
      <c r="E1218">
        <f>IF(D1218&gt;=1,martianeum[[#This Row],[zawartosc]] * 0.01 *martianeum[[#This Row],[masa '[kg']]],0)</f>
        <v>3.7436000000000003</v>
      </c>
    </row>
    <row r="1219" spans="1:6" x14ac:dyDescent="0.25">
      <c r="A1219" s="1">
        <v>49858</v>
      </c>
      <c r="B1219" t="s">
        <v>5</v>
      </c>
      <c r="C1219">
        <v>19.2</v>
      </c>
      <c r="D1219">
        <v>3.6</v>
      </c>
      <c r="E1219">
        <f>IF(D1219&gt;=1,martianeum[[#This Row],[zawartosc]] * 0.01 *martianeum[[#This Row],[masa '[kg']]],0)</f>
        <v>0.69120000000000004</v>
      </c>
      <c r="F1219">
        <f t="shared" ref="F1219" si="172">SUM(C1213:C1219)</f>
        <v>138.29999999999998</v>
      </c>
    </row>
    <row r="1220" spans="1:6" x14ac:dyDescent="0.25">
      <c r="A1220" s="1">
        <v>49859</v>
      </c>
      <c r="B1220" t="s">
        <v>8</v>
      </c>
      <c r="C1220">
        <v>25.2</v>
      </c>
      <c r="D1220">
        <v>0</v>
      </c>
      <c r="E1220">
        <f>IF(D1220&gt;=1,martianeum[[#This Row],[zawartosc]] * 0.01 *martianeum[[#This Row],[masa '[kg']]],0)</f>
        <v>0</v>
      </c>
    </row>
    <row r="1221" spans="1:6" x14ac:dyDescent="0.25">
      <c r="A1221" s="1">
        <v>49860</v>
      </c>
      <c r="B1221" t="s">
        <v>14</v>
      </c>
      <c r="C1221">
        <v>13.5</v>
      </c>
      <c r="D1221">
        <v>6.3</v>
      </c>
      <c r="E1221">
        <f>IF(D1221&gt;=1,martianeum[[#This Row],[zawartosc]] * 0.01 *martianeum[[#This Row],[masa '[kg']]],0)</f>
        <v>0.85050000000000003</v>
      </c>
    </row>
    <row r="1222" spans="1:6" x14ac:dyDescent="0.25">
      <c r="A1222" s="1">
        <v>49861</v>
      </c>
      <c r="B1222" t="s">
        <v>11</v>
      </c>
      <c r="C1222">
        <v>19.2</v>
      </c>
      <c r="D1222">
        <v>7.7</v>
      </c>
      <c r="E1222">
        <f>IF(D1222&gt;=1,martianeum[[#This Row],[zawartosc]] * 0.01 *martianeum[[#This Row],[masa '[kg']]],0)</f>
        <v>1.4783999999999999</v>
      </c>
    </row>
    <row r="1223" spans="1:6" x14ac:dyDescent="0.25">
      <c r="A1223" s="1">
        <v>49862</v>
      </c>
      <c r="B1223" t="s">
        <v>13</v>
      </c>
      <c r="C1223">
        <v>24.1</v>
      </c>
      <c r="D1223">
        <v>7.8</v>
      </c>
      <c r="E1223">
        <f>IF(D1223&gt;=1,martianeum[[#This Row],[zawartosc]] * 0.01 *martianeum[[#This Row],[masa '[kg']]],0)</f>
        <v>1.8798000000000001</v>
      </c>
    </row>
    <row r="1224" spans="1:6" x14ac:dyDescent="0.25">
      <c r="A1224" s="1">
        <v>49863</v>
      </c>
      <c r="B1224" t="s">
        <v>9</v>
      </c>
      <c r="C1224">
        <v>17.8</v>
      </c>
      <c r="D1224">
        <v>13.4</v>
      </c>
      <c r="E1224">
        <f>IF(D1224&gt;=1,martianeum[[#This Row],[zawartosc]] * 0.01 *martianeum[[#This Row],[masa '[kg']]],0)</f>
        <v>2.3852000000000002</v>
      </c>
    </row>
    <row r="1225" spans="1:6" x14ac:dyDescent="0.25">
      <c r="A1225" s="1">
        <v>49864</v>
      </c>
      <c r="B1225" t="s">
        <v>6</v>
      </c>
      <c r="C1225">
        <v>24.7</v>
      </c>
      <c r="D1225">
        <v>21.1</v>
      </c>
      <c r="E1225">
        <f>IF(D1225&gt;=1,martianeum[[#This Row],[zawartosc]] * 0.01 *martianeum[[#This Row],[masa '[kg']]],0)</f>
        <v>5.2117000000000004</v>
      </c>
    </row>
    <row r="1226" spans="1:6" x14ac:dyDescent="0.25">
      <c r="A1226" s="1">
        <v>49865</v>
      </c>
      <c r="B1226" t="s">
        <v>19</v>
      </c>
      <c r="C1226">
        <v>16.8</v>
      </c>
      <c r="D1226">
        <v>0</v>
      </c>
      <c r="E1226">
        <f>IF(D1226&gt;=1,martianeum[[#This Row],[zawartosc]] * 0.01 *martianeum[[#This Row],[masa '[kg']]],0)</f>
        <v>0</v>
      </c>
      <c r="F1226">
        <f t="shared" ref="F1226" si="173">SUM(C1220:C1226)</f>
        <v>141.30000000000001</v>
      </c>
    </row>
    <row r="1227" spans="1:6" x14ac:dyDescent="0.25">
      <c r="A1227" s="1">
        <v>49866</v>
      </c>
      <c r="B1227" t="s">
        <v>4</v>
      </c>
      <c r="C1227">
        <v>10.7</v>
      </c>
      <c r="D1227">
        <v>3</v>
      </c>
      <c r="E1227">
        <f>IF(D1227&gt;=1,martianeum[[#This Row],[zawartosc]] * 0.01 *martianeum[[#This Row],[masa '[kg']]],0)</f>
        <v>0.32099999999999995</v>
      </c>
    </row>
    <row r="1228" spans="1:6" x14ac:dyDescent="0.25">
      <c r="A1228" s="1">
        <v>49867</v>
      </c>
      <c r="B1228" t="s">
        <v>5</v>
      </c>
      <c r="C1228">
        <v>29.3</v>
      </c>
      <c r="D1228">
        <v>8.3000000000000007</v>
      </c>
      <c r="E1228">
        <f>IF(D1228&gt;=1,martianeum[[#This Row],[zawartosc]] * 0.01 *martianeum[[#This Row],[masa '[kg']]],0)</f>
        <v>2.4319000000000002</v>
      </c>
    </row>
    <row r="1229" spans="1:6" x14ac:dyDescent="0.25">
      <c r="A1229" s="1">
        <v>49868</v>
      </c>
      <c r="B1229" t="s">
        <v>24</v>
      </c>
      <c r="C1229">
        <v>28.2</v>
      </c>
      <c r="D1229">
        <v>0</v>
      </c>
      <c r="E1229">
        <f>IF(D1229&gt;=1,martianeum[[#This Row],[zawartosc]] * 0.01 *martianeum[[#This Row],[masa '[kg']]],0)</f>
        <v>0</v>
      </c>
    </row>
    <row r="1230" spans="1:6" x14ac:dyDescent="0.25">
      <c r="A1230" s="1">
        <v>49869</v>
      </c>
      <c r="B1230" t="s">
        <v>9</v>
      </c>
      <c r="C1230">
        <v>17.3</v>
      </c>
      <c r="D1230">
        <v>33.6</v>
      </c>
      <c r="E1230">
        <f>IF(D1230&gt;=1,martianeum[[#This Row],[zawartosc]] * 0.01 *martianeum[[#This Row],[masa '[kg']]],0)</f>
        <v>5.8128000000000002</v>
      </c>
    </row>
    <row r="1231" spans="1:6" x14ac:dyDescent="0.25">
      <c r="A1231" s="1">
        <v>49870</v>
      </c>
      <c r="B1231" t="s">
        <v>5</v>
      </c>
      <c r="C1231">
        <v>24.6</v>
      </c>
      <c r="D1231">
        <v>0</v>
      </c>
      <c r="E1231">
        <f>IF(D1231&gt;=1,martianeum[[#This Row],[zawartosc]] * 0.01 *martianeum[[#This Row],[masa '[kg']]],0)</f>
        <v>0</v>
      </c>
    </row>
    <row r="1232" spans="1:6" x14ac:dyDescent="0.25">
      <c r="A1232" s="1">
        <v>49871</v>
      </c>
      <c r="B1232" t="s">
        <v>11</v>
      </c>
      <c r="C1232">
        <v>12.6</v>
      </c>
      <c r="D1232">
        <v>0.6</v>
      </c>
      <c r="E1232">
        <f>IF(D1232&gt;=1,martianeum[[#This Row],[zawartosc]] * 0.01 *martianeum[[#This Row],[masa '[kg']]],0)</f>
        <v>0</v>
      </c>
    </row>
    <row r="1233" spans="1:6" x14ac:dyDescent="0.25">
      <c r="A1233" s="1">
        <v>49872</v>
      </c>
      <c r="B1233" t="s">
        <v>18</v>
      </c>
      <c r="C1233">
        <v>27.3</v>
      </c>
      <c r="D1233">
        <v>0</v>
      </c>
      <c r="E1233">
        <f>IF(D1233&gt;=1,martianeum[[#This Row],[zawartosc]] * 0.01 *martianeum[[#This Row],[masa '[kg']]],0)</f>
        <v>0</v>
      </c>
      <c r="F1233">
        <f t="shared" ref="F1233" si="174">SUM(C1227:C1233)</f>
        <v>150</v>
      </c>
    </row>
    <row r="1234" spans="1:6" x14ac:dyDescent="0.25">
      <c r="A1234" s="1">
        <v>49873</v>
      </c>
      <c r="B1234" t="s">
        <v>7</v>
      </c>
      <c r="C1234">
        <v>14.4</v>
      </c>
      <c r="D1234">
        <v>2</v>
      </c>
      <c r="E1234">
        <f>IF(D1234&gt;=1,martianeum[[#This Row],[zawartosc]] * 0.01 *martianeum[[#This Row],[masa '[kg']]],0)</f>
        <v>0.28800000000000003</v>
      </c>
    </row>
    <row r="1235" spans="1:6" x14ac:dyDescent="0.25">
      <c r="A1235" s="1">
        <v>49874</v>
      </c>
      <c r="B1235" t="s">
        <v>9</v>
      </c>
      <c r="C1235">
        <v>11.2</v>
      </c>
      <c r="D1235">
        <v>32.6</v>
      </c>
      <c r="E1235">
        <f>IF(D1235&gt;=1,martianeum[[#This Row],[zawartosc]] * 0.01 *martianeum[[#This Row],[masa '[kg']]],0)</f>
        <v>3.6511999999999998</v>
      </c>
    </row>
    <row r="1236" spans="1:6" x14ac:dyDescent="0.25">
      <c r="A1236" s="1">
        <v>49875</v>
      </c>
      <c r="B1236" t="s">
        <v>18</v>
      </c>
      <c r="C1236">
        <v>11.4</v>
      </c>
      <c r="D1236">
        <v>5.5</v>
      </c>
      <c r="E1236">
        <f>IF(D1236&gt;=1,martianeum[[#This Row],[zawartosc]] * 0.01 *martianeum[[#This Row],[masa '[kg']]],0)</f>
        <v>0.627</v>
      </c>
    </row>
    <row r="1237" spans="1:6" x14ac:dyDescent="0.25">
      <c r="A1237" s="1">
        <v>49876</v>
      </c>
      <c r="B1237" t="s">
        <v>13</v>
      </c>
      <c r="C1237">
        <v>22.9</v>
      </c>
      <c r="D1237">
        <v>0</v>
      </c>
      <c r="E1237">
        <f>IF(D1237&gt;=1,martianeum[[#This Row],[zawartosc]] * 0.01 *martianeum[[#This Row],[masa '[kg']]],0)</f>
        <v>0</v>
      </c>
    </row>
    <row r="1238" spans="1:6" x14ac:dyDescent="0.25">
      <c r="A1238" s="1">
        <v>49877</v>
      </c>
      <c r="B1238" t="s">
        <v>6</v>
      </c>
      <c r="C1238">
        <v>14.3</v>
      </c>
      <c r="D1238">
        <v>13.2</v>
      </c>
      <c r="E1238">
        <f>IF(D1238&gt;=1,martianeum[[#This Row],[zawartosc]] * 0.01 *martianeum[[#This Row],[masa '[kg']]],0)</f>
        <v>1.8876000000000002</v>
      </c>
    </row>
    <row r="1239" spans="1:6" x14ac:dyDescent="0.25">
      <c r="A1239" s="1">
        <v>49878</v>
      </c>
      <c r="B1239" t="s">
        <v>9</v>
      </c>
      <c r="C1239">
        <v>22.9</v>
      </c>
      <c r="D1239">
        <v>22.9</v>
      </c>
      <c r="E1239">
        <f>IF(D1239&gt;=1,martianeum[[#This Row],[zawartosc]] * 0.01 *martianeum[[#This Row],[masa '[kg']]],0)</f>
        <v>5.2440999999999995</v>
      </c>
    </row>
    <row r="1240" spans="1:6" x14ac:dyDescent="0.25">
      <c r="A1240" s="1">
        <v>49879</v>
      </c>
      <c r="B1240" t="s">
        <v>10</v>
      </c>
      <c r="C1240">
        <v>11.8</v>
      </c>
      <c r="D1240">
        <v>0</v>
      </c>
      <c r="E1240">
        <f>IF(D1240&gt;=1,martianeum[[#This Row],[zawartosc]] * 0.01 *martianeum[[#This Row],[masa '[kg']]],0)</f>
        <v>0</v>
      </c>
      <c r="F1240">
        <f t="shared" ref="F1240" si="175">SUM(C1234:C1240)</f>
        <v>108.89999999999999</v>
      </c>
    </row>
    <row r="1241" spans="1:6" x14ac:dyDescent="0.25">
      <c r="A1241" s="1">
        <v>49880</v>
      </c>
      <c r="B1241" t="s">
        <v>17</v>
      </c>
      <c r="C1241">
        <v>24.5</v>
      </c>
      <c r="D1241">
        <v>0</v>
      </c>
      <c r="E1241">
        <f>IF(D1241&gt;=1,martianeum[[#This Row],[zawartosc]] * 0.01 *martianeum[[#This Row],[masa '[kg']]],0)</f>
        <v>0</v>
      </c>
    </row>
    <row r="1242" spans="1:6" x14ac:dyDescent="0.25">
      <c r="A1242" s="1">
        <v>49881</v>
      </c>
      <c r="B1242" t="s">
        <v>14</v>
      </c>
      <c r="C1242">
        <v>25.5</v>
      </c>
      <c r="D1242">
        <v>19.3</v>
      </c>
      <c r="E1242">
        <f>IF(D1242&gt;=1,martianeum[[#This Row],[zawartosc]] * 0.01 *martianeum[[#This Row],[masa '[kg']]],0)</f>
        <v>4.9215</v>
      </c>
    </row>
    <row r="1243" spans="1:6" x14ac:dyDescent="0.25">
      <c r="A1243" s="1">
        <v>49882</v>
      </c>
      <c r="B1243" t="s">
        <v>18</v>
      </c>
      <c r="C1243">
        <v>14.7</v>
      </c>
      <c r="D1243">
        <v>18.3</v>
      </c>
      <c r="E1243">
        <f>IF(D1243&gt;=1,martianeum[[#This Row],[zawartosc]] * 0.01 *martianeum[[#This Row],[masa '[kg']]],0)</f>
        <v>2.6901000000000002</v>
      </c>
    </row>
    <row r="1244" spans="1:6" x14ac:dyDescent="0.25">
      <c r="A1244" s="1">
        <v>49883</v>
      </c>
      <c r="B1244" t="s">
        <v>14</v>
      </c>
      <c r="C1244">
        <v>28.7</v>
      </c>
      <c r="D1244">
        <v>0</v>
      </c>
      <c r="E1244">
        <f>IF(D1244&gt;=1,martianeum[[#This Row],[zawartosc]] * 0.01 *martianeum[[#This Row],[masa '[kg']]],0)</f>
        <v>0</v>
      </c>
    </row>
    <row r="1245" spans="1:6" x14ac:dyDescent="0.25">
      <c r="A1245" s="1">
        <v>49884</v>
      </c>
      <c r="B1245" t="s">
        <v>9</v>
      </c>
      <c r="C1245">
        <v>16.7</v>
      </c>
      <c r="D1245">
        <v>0</v>
      </c>
      <c r="E1245">
        <f>IF(D1245&gt;=1,martianeum[[#This Row],[zawartosc]] * 0.01 *martianeum[[#This Row],[masa '[kg']]],0)</f>
        <v>0</v>
      </c>
    </row>
    <row r="1246" spans="1:6" x14ac:dyDescent="0.25">
      <c r="A1246" s="1">
        <v>49885</v>
      </c>
      <c r="B1246" t="s">
        <v>14</v>
      </c>
      <c r="C1246">
        <v>17.399999999999999</v>
      </c>
      <c r="D1246">
        <v>13.7</v>
      </c>
      <c r="E1246">
        <f>IF(D1246&gt;=1,martianeum[[#This Row],[zawartosc]] * 0.01 *martianeum[[#This Row],[masa '[kg']]],0)</f>
        <v>2.3837999999999995</v>
      </c>
    </row>
    <row r="1247" spans="1:6" x14ac:dyDescent="0.25">
      <c r="A1247" s="1">
        <v>49886</v>
      </c>
      <c r="B1247" t="s">
        <v>9</v>
      </c>
      <c r="C1247">
        <v>15.6</v>
      </c>
      <c r="D1247">
        <v>0</v>
      </c>
      <c r="E1247">
        <f>IF(D1247&gt;=1,martianeum[[#This Row],[zawartosc]] * 0.01 *martianeum[[#This Row],[masa '[kg']]],0)</f>
        <v>0</v>
      </c>
      <c r="F1247">
        <f t="shared" ref="F1247" si="176">SUM(C1241:C1247)</f>
        <v>143.1</v>
      </c>
    </row>
    <row r="1248" spans="1:6" x14ac:dyDescent="0.25">
      <c r="A1248" s="1">
        <v>49887</v>
      </c>
      <c r="B1248" t="s">
        <v>18</v>
      </c>
      <c r="C1248">
        <v>21.7</v>
      </c>
      <c r="D1248">
        <v>0</v>
      </c>
      <c r="E1248">
        <f>IF(D1248&gt;=1,martianeum[[#This Row],[zawartosc]] * 0.01 *martianeum[[#This Row],[masa '[kg']]],0)</f>
        <v>0</v>
      </c>
    </row>
    <row r="1249" spans="1:6" x14ac:dyDescent="0.25">
      <c r="A1249" s="1">
        <v>49888</v>
      </c>
      <c r="B1249" t="s">
        <v>6</v>
      </c>
      <c r="C1249">
        <v>26</v>
      </c>
      <c r="D1249">
        <v>0</v>
      </c>
      <c r="E1249">
        <f>IF(D1249&gt;=1,martianeum[[#This Row],[zawartosc]] * 0.01 *martianeum[[#This Row],[masa '[kg']]],0)</f>
        <v>0</v>
      </c>
    </row>
    <row r="1250" spans="1:6" x14ac:dyDescent="0.25">
      <c r="A1250" s="1">
        <v>49889</v>
      </c>
      <c r="B1250" t="s">
        <v>21</v>
      </c>
      <c r="C1250">
        <v>24.5</v>
      </c>
      <c r="D1250">
        <v>9</v>
      </c>
      <c r="E1250">
        <f>IF(D1250&gt;=1,martianeum[[#This Row],[zawartosc]] * 0.01 *martianeum[[#This Row],[masa '[kg']]],0)</f>
        <v>2.2050000000000001</v>
      </c>
    </row>
    <row r="1251" spans="1:6" x14ac:dyDescent="0.25">
      <c r="A1251" s="1">
        <v>49890</v>
      </c>
      <c r="B1251" t="s">
        <v>16</v>
      </c>
      <c r="C1251">
        <v>23.2</v>
      </c>
      <c r="D1251">
        <v>0</v>
      </c>
      <c r="E1251">
        <f>IF(D1251&gt;=1,martianeum[[#This Row],[zawartosc]] * 0.01 *martianeum[[#This Row],[masa '[kg']]],0)</f>
        <v>0</v>
      </c>
    </row>
    <row r="1252" spans="1:6" x14ac:dyDescent="0.25">
      <c r="A1252" s="1">
        <v>49891</v>
      </c>
      <c r="B1252" t="s">
        <v>23</v>
      </c>
      <c r="C1252">
        <v>17.600000000000001</v>
      </c>
      <c r="D1252">
        <v>0.8</v>
      </c>
      <c r="E1252">
        <f>IF(D1252&gt;=1,martianeum[[#This Row],[zawartosc]] * 0.01 *martianeum[[#This Row],[masa '[kg']]],0)</f>
        <v>0</v>
      </c>
    </row>
    <row r="1253" spans="1:6" x14ac:dyDescent="0.25">
      <c r="A1253" s="1">
        <v>49892</v>
      </c>
      <c r="B1253" t="s">
        <v>6</v>
      </c>
      <c r="C1253">
        <v>13.9</v>
      </c>
      <c r="D1253">
        <v>8.8000000000000007</v>
      </c>
      <c r="E1253">
        <f>IF(D1253&gt;=1,martianeum[[#This Row],[zawartosc]] * 0.01 *martianeum[[#This Row],[masa '[kg']]],0)</f>
        <v>1.2232000000000001</v>
      </c>
    </row>
    <row r="1254" spans="1:6" x14ac:dyDescent="0.25">
      <c r="A1254" s="1">
        <v>49893</v>
      </c>
      <c r="B1254" t="s">
        <v>26</v>
      </c>
      <c r="C1254">
        <v>20.7</v>
      </c>
      <c r="D1254">
        <v>4.3</v>
      </c>
      <c r="E1254">
        <f>IF(D1254&gt;=1,martianeum[[#This Row],[zawartosc]] * 0.01 *martianeum[[#This Row],[masa '[kg']]],0)</f>
        <v>0.89009999999999989</v>
      </c>
      <c r="F1254">
        <f t="shared" ref="F1254" si="177">SUM(C1248:C1254)</f>
        <v>147.6</v>
      </c>
    </row>
    <row r="1255" spans="1:6" x14ac:dyDescent="0.25">
      <c r="A1255" s="1">
        <v>49894</v>
      </c>
      <c r="B1255" t="s">
        <v>4</v>
      </c>
      <c r="C1255">
        <v>10.1</v>
      </c>
      <c r="D1255">
        <v>1.7</v>
      </c>
      <c r="E1255">
        <f>IF(D1255&gt;=1,martianeum[[#This Row],[zawartosc]] * 0.01 *martianeum[[#This Row],[masa '[kg']]],0)</f>
        <v>0.17170000000000002</v>
      </c>
    </row>
    <row r="1256" spans="1:6" x14ac:dyDescent="0.25">
      <c r="A1256" s="1">
        <v>49895</v>
      </c>
      <c r="B1256" t="s">
        <v>6</v>
      </c>
      <c r="C1256">
        <v>26.2</v>
      </c>
      <c r="D1256">
        <v>22.7</v>
      </c>
      <c r="E1256">
        <f>IF(D1256&gt;=1,martianeum[[#This Row],[zawartosc]] * 0.01 *martianeum[[#This Row],[masa '[kg']]],0)</f>
        <v>5.9474</v>
      </c>
    </row>
    <row r="1257" spans="1:6" x14ac:dyDescent="0.25">
      <c r="A1257" s="1">
        <v>49896</v>
      </c>
      <c r="B1257" t="s">
        <v>18</v>
      </c>
      <c r="C1257">
        <v>27.6</v>
      </c>
      <c r="D1257">
        <v>13.8</v>
      </c>
      <c r="E1257">
        <f>IF(D1257&gt;=1,martianeum[[#This Row],[zawartosc]] * 0.01 *martianeum[[#This Row],[masa '[kg']]],0)</f>
        <v>3.8088000000000006</v>
      </c>
    </row>
    <row r="1258" spans="1:6" x14ac:dyDescent="0.25">
      <c r="A1258" s="1">
        <v>49897</v>
      </c>
      <c r="B1258" t="s">
        <v>5</v>
      </c>
      <c r="C1258">
        <v>20.6</v>
      </c>
      <c r="D1258">
        <v>4.7</v>
      </c>
      <c r="E1258">
        <f>IF(D1258&gt;=1,martianeum[[#This Row],[zawartosc]] * 0.01 *martianeum[[#This Row],[masa '[kg']]],0)</f>
        <v>0.96820000000000006</v>
      </c>
    </row>
    <row r="1259" spans="1:6" x14ac:dyDescent="0.25">
      <c r="A1259" s="1">
        <v>49898</v>
      </c>
      <c r="B1259" t="s">
        <v>8</v>
      </c>
      <c r="C1259">
        <v>21.4</v>
      </c>
      <c r="D1259">
        <v>5</v>
      </c>
      <c r="E1259">
        <f>IF(D1259&gt;=1,martianeum[[#This Row],[zawartosc]] * 0.01 *martianeum[[#This Row],[masa '[kg']]],0)</f>
        <v>1.07</v>
      </c>
    </row>
    <row r="1260" spans="1:6" x14ac:dyDescent="0.25">
      <c r="A1260" s="1">
        <v>49899</v>
      </c>
      <c r="B1260" t="s">
        <v>5</v>
      </c>
      <c r="C1260">
        <v>17.100000000000001</v>
      </c>
      <c r="D1260">
        <v>0</v>
      </c>
      <c r="E1260">
        <f>IF(D1260&gt;=1,martianeum[[#This Row],[zawartosc]] * 0.01 *martianeum[[#This Row],[masa '[kg']]],0)</f>
        <v>0</v>
      </c>
    </row>
    <row r="1261" spans="1:6" x14ac:dyDescent="0.25">
      <c r="A1261" s="1">
        <v>49900</v>
      </c>
      <c r="B1261" t="s">
        <v>9</v>
      </c>
      <c r="C1261">
        <v>19.5</v>
      </c>
      <c r="D1261">
        <v>20.5</v>
      </c>
      <c r="E1261">
        <f>IF(D1261&gt;=1,martianeum[[#This Row],[zawartosc]] * 0.01 *martianeum[[#This Row],[masa '[kg']]],0)</f>
        <v>3.9975000000000005</v>
      </c>
      <c r="F1261">
        <f t="shared" ref="F1261" si="178">SUM(C1255:C1261)</f>
        <v>142.5</v>
      </c>
    </row>
    <row r="1262" spans="1:6" x14ac:dyDescent="0.25">
      <c r="A1262" s="1">
        <v>49901</v>
      </c>
      <c r="B1262" t="s">
        <v>12</v>
      </c>
      <c r="C1262">
        <v>15.9</v>
      </c>
      <c r="D1262">
        <v>0</v>
      </c>
      <c r="E1262">
        <f>IF(D1262&gt;=1,martianeum[[#This Row],[zawartosc]] * 0.01 *martianeum[[#This Row],[masa '[kg']]],0)</f>
        <v>0</v>
      </c>
    </row>
    <row r="1263" spans="1:6" x14ac:dyDescent="0.25">
      <c r="A1263" s="1">
        <v>49902</v>
      </c>
      <c r="B1263" t="s">
        <v>9</v>
      </c>
      <c r="C1263">
        <v>21.1</v>
      </c>
      <c r="D1263">
        <v>46.8</v>
      </c>
      <c r="E1263">
        <f>IF(D1263&gt;=1,martianeum[[#This Row],[zawartosc]] * 0.01 *martianeum[[#This Row],[masa '[kg']]],0)</f>
        <v>9.8748000000000005</v>
      </c>
    </row>
    <row r="1264" spans="1:6" x14ac:dyDescent="0.25">
      <c r="A1264" s="1">
        <v>49903</v>
      </c>
      <c r="B1264" t="s">
        <v>18</v>
      </c>
      <c r="C1264">
        <v>20.2</v>
      </c>
      <c r="D1264">
        <v>36.6</v>
      </c>
      <c r="E1264">
        <f>IF(D1264&gt;=1,martianeum[[#This Row],[zawartosc]] * 0.01 *martianeum[[#This Row],[masa '[kg']]],0)</f>
        <v>7.3932000000000011</v>
      </c>
    </row>
    <row r="1265" spans="1:6" x14ac:dyDescent="0.25">
      <c r="A1265" s="1">
        <v>49904</v>
      </c>
      <c r="B1265" t="s">
        <v>11</v>
      </c>
      <c r="C1265">
        <v>25</v>
      </c>
      <c r="D1265">
        <v>7.8</v>
      </c>
      <c r="E1265">
        <f>IF(D1265&gt;=1,martianeum[[#This Row],[zawartosc]] * 0.01 *martianeum[[#This Row],[masa '[kg']]],0)</f>
        <v>1.95</v>
      </c>
    </row>
    <row r="1266" spans="1:6" x14ac:dyDescent="0.25">
      <c r="A1266" s="1">
        <v>49905</v>
      </c>
      <c r="B1266" t="s">
        <v>9</v>
      </c>
      <c r="C1266">
        <v>22.1</v>
      </c>
      <c r="D1266">
        <v>8.8000000000000007</v>
      </c>
      <c r="E1266">
        <f>IF(D1266&gt;=1,martianeum[[#This Row],[zawartosc]] * 0.01 *martianeum[[#This Row],[masa '[kg']]],0)</f>
        <v>1.9448000000000003</v>
      </c>
    </row>
    <row r="1267" spans="1:6" x14ac:dyDescent="0.25">
      <c r="A1267" s="1">
        <v>49906</v>
      </c>
      <c r="B1267" t="s">
        <v>32</v>
      </c>
      <c r="C1267">
        <v>28.9</v>
      </c>
      <c r="D1267">
        <v>0.5</v>
      </c>
      <c r="E1267">
        <f>IF(D1267&gt;=1,martianeum[[#This Row],[zawartosc]] * 0.01 *martianeum[[#This Row],[masa '[kg']]],0)</f>
        <v>0</v>
      </c>
    </row>
    <row r="1268" spans="1:6" x14ac:dyDescent="0.25">
      <c r="A1268" s="1">
        <v>49907</v>
      </c>
      <c r="B1268" t="s">
        <v>10</v>
      </c>
      <c r="C1268">
        <v>19.600000000000001</v>
      </c>
      <c r="D1268">
        <v>0</v>
      </c>
      <c r="E1268">
        <f>IF(D1268&gt;=1,martianeum[[#This Row],[zawartosc]] * 0.01 *martianeum[[#This Row],[masa '[kg']]],0)</f>
        <v>0</v>
      </c>
      <c r="F1268">
        <f t="shared" ref="F1268" si="179">SUM(C1262:C1268)</f>
        <v>152.80000000000001</v>
      </c>
    </row>
    <row r="1269" spans="1:6" x14ac:dyDescent="0.25">
      <c r="A1269" s="1">
        <v>49908</v>
      </c>
      <c r="B1269" t="s">
        <v>6</v>
      </c>
      <c r="C1269">
        <v>18</v>
      </c>
      <c r="D1269">
        <v>13.2</v>
      </c>
      <c r="E1269">
        <f>IF(D1269&gt;=1,martianeum[[#This Row],[zawartosc]] * 0.01 *martianeum[[#This Row],[masa '[kg']]],0)</f>
        <v>2.3760000000000003</v>
      </c>
    </row>
    <row r="1270" spans="1:6" x14ac:dyDescent="0.25">
      <c r="A1270" s="1">
        <v>49909</v>
      </c>
      <c r="B1270" t="s">
        <v>11</v>
      </c>
      <c r="C1270">
        <v>28.3</v>
      </c>
      <c r="D1270">
        <v>0</v>
      </c>
      <c r="E1270">
        <f>IF(D1270&gt;=1,martianeum[[#This Row],[zawartosc]] * 0.01 *martianeum[[#This Row],[masa '[kg']]],0)</f>
        <v>0</v>
      </c>
    </row>
    <row r="1271" spans="1:6" x14ac:dyDescent="0.25">
      <c r="A1271" s="1">
        <v>49910</v>
      </c>
      <c r="B1271" t="s">
        <v>5</v>
      </c>
      <c r="C1271">
        <v>25.2</v>
      </c>
      <c r="D1271">
        <v>0</v>
      </c>
      <c r="E1271">
        <f>IF(D1271&gt;=1,martianeum[[#This Row],[zawartosc]] * 0.01 *martianeum[[#This Row],[masa '[kg']]],0)</f>
        <v>0</v>
      </c>
    </row>
    <row r="1272" spans="1:6" x14ac:dyDescent="0.25">
      <c r="A1272" s="1">
        <v>49911</v>
      </c>
      <c r="B1272" t="s">
        <v>9</v>
      </c>
      <c r="C1272">
        <v>22.5</v>
      </c>
      <c r="D1272">
        <v>0</v>
      </c>
      <c r="E1272">
        <f>IF(D1272&gt;=1,martianeum[[#This Row],[zawartosc]] * 0.01 *martianeum[[#This Row],[masa '[kg']]],0)</f>
        <v>0</v>
      </c>
    </row>
    <row r="1273" spans="1:6" x14ac:dyDescent="0.25">
      <c r="A1273" s="1">
        <v>49912</v>
      </c>
      <c r="B1273" t="s">
        <v>12</v>
      </c>
      <c r="C1273">
        <v>19.899999999999999</v>
      </c>
      <c r="D1273">
        <v>6.7</v>
      </c>
      <c r="E1273">
        <f>IF(D1273&gt;=1,martianeum[[#This Row],[zawartosc]] * 0.01 *martianeum[[#This Row],[masa '[kg']]],0)</f>
        <v>1.3332999999999999</v>
      </c>
    </row>
    <row r="1274" spans="1:6" x14ac:dyDescent="0.25">
      <c r="A1274" s="1">
        <v>49913</v>
      </c>
      <c r="B1274" t="s">
        <v>10</v>
      </c>
      <c r="C1274">
        <v>10.8</v>
      </c>
      <c r="D1274">
        <v>19.600000000000001</v>
      </c>
      <c r="E1274">
        <f>IF(D1274&gt;=1,martianeum[[#This Row],[zawartosc]] * 0.01 *martianeum[[#This Row],[masa '[kg']]],0)</f>
        <v>2.1168</v>
      </c>
    </row>
    <row r="1275" spans="1:6" x14ac:dyDescent="0.25">
      <c r="A1275" s="1">
        <v>49914</v>
      </c>
      <c r="B1275" t="s">
        <v>18</v>
      </c>
      <c r="C1275">
        <v>18.399999999999999</v>
      </c>
      <c r="D1275">
        <v>0.6</v>
      </c>
      <c r="E1275">
        <f>IF(D1275&gt;=1,martianeum[[#This Row],[zawartosc]] * 0.01 *martianeum[[#This Row],[masa '[kg']]],0)</f>
        <v>0</v>
      </c>
      <c r="F1275">
        <f t="shared" ref="F1275" si="180">SUM(C1269:C1275)</f>
        <v>143.1</v>
      </c>
    </row>
    <row r="1276" spans="1:6" x14ac:dyDescent="0.25">
      <c r="A1276" s="1">
        <v>49915</v>
      </c>
      <c r="B1276" t="s">
        <v>25</v>
      </c>
      <c r="C1276">
        <v>27.6</v>
      </c>
      <c r="D1276">
        <v>3.7</v>
      </c>
      <c r="E1276">
        <f>IF(D1276&gt;=1,martianeum[[#This Row],[zawartosc]] * 0.01 *martianeum[[#This Row],[masa '[kg']]],0)</f>
        <v>1.0212000000000001</v>
      </c>
    </row>
    <row r="1277" spans="1:6" x14ac:dyDescent="0.25">
      <c r="A1277" s="1">
        <v>49916</v>
      </c>
      <c r="B1277" t="s">
        <v>25</v>
      </c>
      <c r="C1277">
        <v>11.3</v>
      </c>
      <c r="D1277">
        <v>1.9</v>
      </c>
      <c r="E1277">
        <f>IF(D1277&gt;=1,martianeum[[#This Row],[zawartosc]] * 0.01 *martianeum[[#This Row],[masa '[kg']]],0)</f>
        <v>0.2147</v>
      </c>
    </row>
    <row r="1278" spans="1:6" x14ac:dyDescent="0.25">
      <c r="A1278" s="1">
        <v>49917</v>
      </c>
      <c r="B1278" t="s">
        <v>25</v>
      </c>
      <c r="C1278">
        <v>28.7</v>
      </c>
      <c r="D1278">
        <v>0</v>
      </c>
      <c r="E1278">
        <f>IF(D1278&gt;=1,martianeum[[#This Row],[zawartosc]] * 0.01 *martianeum[[#This Row],[masa '[kg']]],0)</f>
        <v>0</v>
      </c>
    </row>
    <row r="1279" spans="1:6" x14ac:dyDescent="0.25">
      <c r="A1279" s="1">
        <v>49918</v>
      </c>
      <c r="B1279" t="s">
        <v>20</v>
      </c>
      <c r="C1279">
        <v>15</v>
      </c>
      <c r="D1279">
        <v>1.7</v>
      </c>
      <c r="E1279">
        <f>IF(D1279&gt;=1,martianeum[[#This Row],[zawartosc]] * 0.01 *martianeum[[#This Row],[masa '[kg']]],0)</f>
        <v>0.255</v>
      </c>
    </row>
    <row r="1280" spans="1:6" x14ac:dyDescent="0.25">
      <c r="A1280" s="1">
        <v>49919</v>
      </c>
      <c r="B1280" t="s">
        <v>6</v>
      </c>
      <c r="C1280">
        <v>15.1</v>
      </c>
      <c r="D1280">
        <v>13.5</v>
      </c>
      <c r="E1280">
        <f>IF(D1280&gt;=1,martianeum[[#This Row],[zawartosc]] * 0.01 *martianeum[[#This Row],[masa '[kg']]],0)</f>
        <v>2.0385</v>
      </c>
    </row>
    <row r="1281" spans="1:6" x14ac:dyDescent="0.25">
      <c r="A1281" s="1">
        <v>49920</v>
      </c>
      <c r="B1281" t="s">
        <v>18</v>
      </c>
      <c r="C1281">
        <v>19.399999999999999</v>
      </c>
      <c r="D1281">
        <v>29.6</v>
      </c>
      <c r="E1281">
        <f>IF(D1281&gt;=1,martianeum[[#This Row],[zawartosc]] * 0.01 *martianeum[[#This Row],[masa '[kg']]],0)</f>
        <v>5.7423999999999999</v>
      </c>
    </row>
    <row r="1282" spans="1:6" x14ac:dyDescent="0.25">
      <c r="A1282" s="1">
        <v>49921</v>
      </c>
      <c r="B1282" t="s">
        <v>6</v>
      </c>
      <c r="C1282">
        <v>21.9</v>
      </c>
      <c r="D1282">
        <v>1.6</v>
      </c>
      <c r="E1282">
        <f>IF(D1282&gt;=1,martianeum[[#This Row],[zawartosc]] * 0.01 *martianeum[[#This Row],[masa '[kg']]],0)</f>
        <v>0.35039999999999999</v>
      </c>
      <c r="F1282">
        <f t="shared" ref="F1282" si="181">SUM(C1276:C1282)</f>
        <v>139</v>
      </c>
    </row>
    <row r="1283" spans="1:6" x14ac:dyDescent="0.25">
      <c r="A1283" s="1">
        <v>49922</v>
      </c>
      <c r="B1283" t="s">
        <v>17</v>
      </c>
      <c r="C1283">
        <v>19.399999999999999</v>
      </c>
      <c r="D1283">
        <v>9.8000000000000007</v>
      </c>
      <c r="E1283">
        <f>IF(D1283&gt;=1,martianeum[[#This Row],[zawartosc]] * 0.01 *martianeum[[#This Row],[masa '[kg']]],0)</f>
        <v>1.9012</v>
      </c>
    </row>
    <row r="1284" spans="1:6" x14ac:dyDescent="0.25">
      <c r="A1284" s="1">
        <v>49923</v>
      </c>
      <c r="B1284" t="s">
        <v>6</v>
      </c>
      <c r="C1284">
        <v>21.8</v>
      </c>
      <c r="D1284">
        <v>18.5</v>
      </c>
      <c r="E1284">
        <f>IF(D1284&gt;=1,martianeum[[#This Row],[zawartosc]] * 0.01 *martianeum[[#This Row],[masa '[kg']]],0)</f>
        <v>4.0330000000000004</v>
      </c>
    </row>
    <row r="1285" spans="1:6" x14ac:dyDescent="0.25">
      <c r="A1285" s="1">
        <v>49924</v>
      </c>
      <c r="B1285" t="s">
        <v>16</v>
      </c>
      <c r="C1285">
        <v>29.3</v>
      </c>
      <c r="D1285">
        <v>2.8</v>
      </c>
      <c r="E1285">
        <f>IF(D1285&gt;=1,martianeum[[#This Row],[zawartosc]] * 0.01 *martianeum[[#This Row],[masa '[kg']]],0)</f>
        <v>0.82039999999999991</v>
      </c>
    </row>
    <row r="1286" spans="1:6" x14ac:dyDescent="0.25">
      <c r="A1286" s="1">
        <v>49925</v>
      </c>
      <c r="B1286" t="s">
        <v>18</v>
      </c>
      <c r="C1286">
        <v>14.4</v>
      </c>
      <c r="D1286">
        <v>0</v>
      </c>
      <c r="E1286">
        <f>IF(D1286&gt;=1,martianeum[[#This Row],[zawartosc]] * 0.01 *martianeum[[#This Row],[masa '[kg']]],0)</f>
        <v>0</v>
      </c>
    </row>
    <row r="1287" spans="1:6" x14ac:dyDescent="0.25">
      <c r="A1287" s="1">
        <v>49926</v>
      </c>
      <c r="B1287" t="s">
        <v>9</v>
      </c>
      <c r="C1287">
        <v>14.5</v>
      </c>
      <c r="D1287">
        <v>0</v>
      </c>
      <c r="E1287">
        <f>IF(D1287&gt;=1,martianeum[[#This Row],[zawartosc]] * 0.01 *martianeum[[#This Row],[masa '[kg']]],0)</f>
        <v>0</v>
      </c>
    </row>
    <row r="1288" spans="1:6" x14ac:dyDescent="0.25">
      <c r="A1288" s="1">
        <v>49927</v>
      </c>
      <c r="B1288" t="s">
        <v>14</v>
      </c>
      <c r="C1288">
        <v>18.399999999999999</v>
      </c>
      <c r="D1288">
        <v>10.1</v>
      </c>
      <c r="E1288">
        <f>IF(D1288&gt;=1,martianeum[[#This Row],[zawartosc]] * 0.01 *martianeum[[#This Row],[masa '[kg']]],0)</f>
        <v>1.8583999999999998</v>
      </c>
    </row>
    <row r="1289" spans="1:6" x14ac:dyDescent="0.25">
      <c r="A1289" s="1">
        <v>49928</v>
      </c>
      <c r="B1289" t="s">
        <v>17</v>
      </c>
      <c r="C1289">
        <v>29.8</v>
      </c>
      <c r="D1289">
        <v>0</v>
      </c>
      <c r="E1289">
        <f>IF(D1289&gt;=1,martianeum[[#This Row],[zawartosc]] * 0.01 *martianeum[[#This Row],[masa '[kg']]],0)</f>
        <v>0</v>
      </c>
      <c r="F1289">
        <f t="shared" ref="F1289" si="182">SUM(C1283:C1289)</f>
        <v>147.60000000000002</v>
      </c>
    </row>
    <row r="1290" spans="1:6" x14ac:dyDescent="0.25">
      <c r="A1290" s="1">
        <v>49929</v>
      </c>
      <c r="B1290" t="s">
        <v>6</v>
      </c>
      <c r="C1290">
        <v>27.3</v>
      </c>
      <c r="D1290">
        <v>18.600000000000001</v>
      </c>
      <c r="E1290">
        <f>IF(D1290&gt;=1,martianeum[[#This Row],[zawartosc]] * 0.01 *martianeum[[#This Row],[masa '[kg']]],0)</f>
        <v>5.0778000000000008</v>
      </c>
    </row>
    <row r="1291" spans="1:6" x14ac:dyDescent="0.25">
      <c r="A1291" s="1">
        <v>49930</v>
      </c>
      <c r="B1291" t="s">
        <v>8</v>
      </c>
      <c r="C1291">
        <v>22.7</v>
      </c>
      <c r="D1291">
        <v>0</v>
      </c>
      <c r="E1291">
        <f>IF(D1291&gt;=1,martianeum[[#This Row],[zawartosc]] * 0.01 *martianeum[[#This Row],[masa '[kg']]],0)</f>
        <v>0</v>
      </c>
    </row>
    <row r="1292" spans="1:6" x14ac:dyDescent="0.25">
      <c r="A1292" s="1">
        <v>49931</v>
      </c>
      <c r="B1292" t="s">
        <v>9</v>
      </c>
      <c r="C1292">
        <v>27.3</v>
      </c>
      <c r="D1292">
        <v>18.399999999999999</v>
      </c>
      <c r="E1292">
        <f>IF(D1292&gt;=1,martianeum[[#This Row],[zawartosc]] * 0.01 *martianeum[[#This Row],[masa '[kg']]],0)</f>
        <v>5.0232000000000001</v>
      </c>
    </row>
    <row r="1293" spans="1:6" x14ac:dyDescent="0.25">
      <c r="A1293" s="1">
        <v>49932</v>
      </c>
      <c r="B1293" t="s">
        <v>17</v>
      </c>
      <c r="C1293">
        <v>12.9</v>
      </c>
      <c r="D1293">
        <v>0</v>
      </c>
      <c r="E1293">
        <f>IF(D1293&gt;=1,martianeum[[#This Row],[zawartosc]] * 0.01 *martianeum[[#This Row],[masa '[kg']]],0)</f>
        <v>0</v>
      </c>
    </row>
    <row r="1294" spans="1:6" x14ac:dyDescent="0.25">
      <c r="A1294" s="1">
        <v>49933</v>
      </c>
      <c r="B1294" t="s">
        <v>18</v>
      </c>
      <c r="C1294">
        <v>24.3</v>
      </c>
      <c r="D1294">
        <v>1.9</v>
      </c>
      <c r="E1294">
        <f>IF(D1294&gt;=1,martianeum[[#This Row],[zawartosc]] * 0.01 *martianeum[[#This Row],[masa '[kg']]],0)</f>
        <v>0.4617</v>
      </c>
    </row>
    <row r="1295" spans="1:6" x14ac:dyDescent="0.25">
      <c r="A1295" s="1">
        <v>49934</v>
      </c>
      <c r="B1295" t="s">
        <v>17</v>
      </c>
      <c r="C1295">
        <v>20.6</v>
      </c>
      <c r="D1295">
        <v>14.6</v>
      </c>
      <c r="E1295">
        <f>IF(D1295&gt;=1,martianeum[[#This Row],[zawartosc]] * 0.01 *martianeum[[#This Row],[masa '[kg']]],0)</f>
        <v>3.0076000000000001</v>
      </c>
    </row>
    <row r="1296" spans="1:6" x14ac:dyDescent="0.25">
      <c r="A1296" s="1">
        <v>49935</v>
      </c>
      <c r="B1296" t="s">
        <v>4</v>
      </c>
      <c r="C1296">
        <v>24.2</v>
      </c>
      <c r="D1296">
        <v>0</v>
      </c>
      <c r="E1296">
        <f>IF(D1296&gt;=1,martianeum[[#This Row],[zawartosc]] * 0.01 *martianeum[[#This Row],[masa '[kg']]],0)</f>
        <v>0</v>
      </c>
      <c r="F1296">
        <f t="shared" ref="F1296" si="183">SUM(C1290:C1296)</f>
        <v>159.29999999999998</v>
      </c>
    </row>
    <row r="1297" spans="1:6" x14ac:dyDescent="0.25">
      <c r="A1297" s="1">
        <v>49936</v>
      </c>
      <c r="B1297" t="s">
        <v>9</v>
      </c>
      <c r="C1297">
        <v>15.2</v>
      </c>
      <c r="D1297">
        <v>0</v>
      </c>
      <c r="E1297">
        <f>IF(D1297&gt;=1,martianeum[[#This Row],[zawartosc]] * 0.01 *martianeum[[#This Row],[masa '[kg']]],0)</f>
        <v>0</v>
      </c>
    </row>
    <row r="1298" spans="1:6" x14ac:dyDescent="0.25">
      <c r="A1298" s="1">
        <v>49937</v>
      </c>
      <c r="B1298" t="s">
        <v>24</v>
      </c>
      <c r="C1298">
        <v>27.3</v>
      </c>
      <c r="D1298">
        <v>2.5</v>
      </c>
      <c r="E1298">
        <f>IF(D1298&gt;=1,martianeum[[#This Row],[zawartosc]] * 0.01 *martianeum[[#This Row],[masa '[kg']]],0)</f>
        <v>0.68250000000000011</v>
      </c>
    </row>
    <row r="1299" spans="1:6" x14ac:dyDescent="0.25">
      <c r="A1299" s="1">
        <v>49938</v>
      </c>
      <c r="B1299" t="s">
        <v>24</v>
      </c>
      <c r="C1299">
        <v>28</v>
      </c>
      <c r="D1299">
        <v>0</v>
      </c>
      <c r="E1299">
        <f>IF(D1299&gt;=1,martianeum[[#This Row],[zawartosc]] * 0.01 *martianeum[[#This Row],[masa '[kg']]],0)</f>
        <v>0</v>
      </c>
    </row>
    <row r="1300" spans="1:6" x14ac:dyDescent="0.25">
      <c r="A1300" s="1">
        <v>49939</v>
      </c>
      <c r="B1300" t="s">
        <v>30</v>
      </c>
      <c r="C1300">
        <v>16.100000000000001</v>
      </c>
      <c r="D1300">
        <v>0</v>
      </c>
      <c r="E1300">
        <f>IF(D1300&gt;=1,martianeum[[#This Row],[zawartosc]] * 0.01 *martianeum[[#This Row],[masa '[kg']]],0)</f>
        <v>0</v>
      </c>
    </row>
    <row r="1301" spans="1:6" x14ac:dyDescent="0.25">
      <c r="A1301" s="1">
        <v>49940</v>
      </c>
      <c r="B1301" t="s">
        <v>18</v>
      </c>
      <c r="C1301">
        <v>18.8</v>
      </c>
      <c r="D1301">
        <v>16.899999999999999</v>
      </c>
      <c r="E1301">
        <f>IF(D1301&gt;=1,martianeum[[#This Row],[zawartosc]] * 0.01 *martianeum[[#This Row],[masa '[kg']]],0)</f>
        <v>3.1772</v>
      </c>
    </row>
    <row r="1302" spans="1:6" x14ac:dyDescent="0.25">
      <c r="A1302" s="1">
        <v>49941</v>
      </c>
      <c r="B1302" t="s">
        <v>9</v>
      </c>
      <c r="C1302">
        <v>13.2</v>
      </c>
      <c r="D1302">
        <v>10.4</v>
      </c>
      <c r="E1302">
        <f>IF(D1302&gt;=1,martianeum[[#This Row],[zawartosc]] * 0.01 *martianeum[[#This Row],[masa '[kg']]],0)</f>
        <v>1.3728</v>
      </c>
    </row>
    <row r="1303" spans="1:6" x14ac:dyDescent="0.25">
      <c r="A1303" s="1">
        <v>49942</v>
      </c>
      <c r="B1303" t="s">
        <v>4</v>
      </c>
      <c r="C1303">
        <v>17.899999999999999</v>
      </c>
      <c r="D1303">
        <v>3.5</v>
      </c>
      <c r="E1303">
        <f>IF(D1303&gt;=1,martianeum[[#This Row],[zawartosc]] * 0.01 *martianeum[[#This Row],[masa '[kg']]],0)</f>
        <v>0.62650000000000006</v>
      </c>
      <c r="F1303">
        <f t="shared" ref="F1303" si="184">SUM(C1297:C1303)</f>
        <v>136.5</v>
      </c>
    </row>
    <row r="1304" spans="1:6" x14ac:dyDescent="0.25">
      <c r="A1304" s="1">
        <v>49943</v>
      </c>
      <c r="B1304" t="s">
        <v>6</v>
      </c>
      <c r="C1304">
        <v>18.3</v>
      </c>
      <c r="D1304">
        <v>16.7</v>
      </c>
      <c r="E1304">
        <f>IF(D1304&gt;=1,martianeum[[#This Row],[zawartosc]] * 0.01 *martianeum[[#This Row],[masa '[kg']]],0)</f>
        <v>3.0561000000000003</v>
      </c>
    </row>
    <row r="1305" spans="1:6" x14ac:dyDescent="0.25">
      <c r="A1305" s="1">
        <v>49944</v>
      </c>
      <c r="B1305" t="s">
        <v>16</v>
      </c>
      <c r="C1305">
        <v>25.7</v>
      </c>
      <c r="D1305">
        <v>2</v>
      </c>
      <c r="E1305">
        <f>IF(D1305&gt;=1,martianeum[[#This Row],[zawartosc]] * 0.01 *martianeum[[#This Row],[masa '[kg']]],0)</f>
        <v>0.51400000000000001</v>
      </c>
    </row>
    <row r="1306" spans="1:6" x14ac:dyDescent="0.25">
      <c r="A1306" s="1">
        <v>49945</v>
      </c>
      <c r="B1306" t="s">
        <v>9</v>
      </c>
      <c r="C1306">
        <v>29.2</v>
      </c>
      <c r="D1306">
        <v>31.5</v>
      </c>
      <c r="E1306">
        <f>IF(D1306&gt;=1,martianeum[[#This Row],[zawartosc]] * 0.01 *martianeum[[#This Row],[masa '[kg']]],0)</f>
        <v>9.1980000000000004</v>
      </c>
    </row>
    <row r="1307" spans="1:6" x14ac:dyDescent="0.25">
      <c r="A1307" s="1">
        <v>49946</v>
      </c>
      <c r="B1307" t="s">
        <v>6</v>
      </c>
      <c r="C1307">
        <v>21.5</v>
      </c>
      <c r="D1307">
        <v>0</v>
      </c>
      <c r="E1307">
        <f>IF(D1307&gt;=1,martianeum[[#This Row],[zawartosc]] * 0.01 *martianeum[[#This Row],[masa '[kg']]],0)</f>
        <v>0</v>
      </c>
    </row>
    <row r="1308" spans="1:6" x14ac:dyDescent="0.25">
      <c r="A1308" s="1">
        <v>49947</v>
      </c>
      <c r="B1308" t="s">
        <v>10</v>
      </c>
      <c r="C1308">
        <v>29.5</v>
      </c>
      <c r="D1308">
        <v>12.2</v>
      </c>
      <c r="E1308">
        <f>IF(D1308&gt;=1,martianeum[[#This Row],[zawartosc]] * 0.01 *martianeum[[#This Row],[masa '[kg']]],0)</f>
        <v>3.5989999999999998</v>
      </c>
    </row>
    <row r="1309" spans="1:6" x14ac:dyDescent="0.25">
      <c r="A1309" s="1">
        <v>49948</v>
      </c>
      <c r="B1309" t="s">
        <v>6</v>
      </c>
      <c r="C1309">
        <v>17.7</v>
      </c>
      <c r="D1309">
        <v>10.1</v>
      </c>
      <c r="E1309">
        <f>IF(D1309&gt;=1,martianeum[[#This Row],[zawartosc]] * 0.01 *martianeum[[#This Row],[masa '[kg']]],0)</f>
        <v>1.7876999999999998</v>
      </c>
    </row>
    <row r="1310" spans="1:6" x14ac:dyDescent="0.25">
      <c r="A1310" s="1">
        <v>49949</v>
      </c>
      <c r="B1310" t="s">
        <v>18</v>
      </c>
      <c r="C1310">
        <v>26.7</v>
      </c>
      <c r="D1310">
        <v>1.2</v>
      </c>
      <c r="E1310">
        <f>IF(D1310&gt;=1,martianeum[[#This Row],[zawartosc]] * 0.01 *martianeum[[#This Row],[masa '[kg']]],0)</f>
        <v>0.32040000000000002</v>
      </c>
      <c r="F1310">
        <f t="shared" ref="F1310" si="185">SUM(C1304:C1310)</f>
        <v>168.6</v>
      </c>
    </row>
    <row r="1311" spans="1:6" x14ac:dyDescent="0.25">
      <c r="A1311" s="1">
        <v>49950</v>
      </c>
      <c r="B1311" t="s">
        <v>9</v>
      </c>
      <c r="C1311">
        <v>13.3</v>
      </c>
      <c r="D1311">
        <v>0.5</v>
      </c>
      <c r="E1311">
        <f>IF(D1311&gt;=1,martianeum[[#This Row],[zawartosc]] * 0.01 *martianeum[[#This Row],[masa '[kg']]],0)</f>
        <v>0</v>
      </c>
    </row>
    <row r="1312" spans="1:6" x14ac:dyDescent="0.25">
      <c r="A1312" s="1">
        <v>49951</v>
      </c>
      <c r="B1312" t="s">
        <v>6</v>
      </c>
      <c r="C1312">
        <v>13.4</v>
      </c>
      <c r="D1312">
        <v>23.4</v>
      </c>
      <c r="E1312">
        <f>IF(D1312&gt;=1,martianeum[[#This Row],[zawartosc]] * 0.01 *martianeum[[#This Row],[masa '[kg']]],0)</f>
        <v>3.1355999999999997</v>
      </c>
    </row>
    <row r="1313" spans="1:6" x14ac:dyDescent="0.25">
      <c r="A1313" s="1">
        <v>49952</v>
      </c>
      <c r="B1313" t="s">
        <v>10</v>
      </c>
      <c r="C1313">
        <v>22.1</v>
      </c>
      <c r="D1313">
        <v>17.7</v>
      </c>
      <c r="E1313">
        <f>IF(D1313&gt;=1,martianeum[[#This Row],[zawartosc]] * 0.01 *martianeum[[#This Row],[masa '[kg']]],0)</f>
        <v>3.9117000000000002</v>
      </c>
    </row>
    <row r="1314" spans="1:6" x14ac:dyDescent="0.25">
      <c r="A1314" s="1">
        <v>49953</v>
      </c>
      <c r="B1314" t="s">
        <v>21</v>
      </c>
      <c r="C1314">
        <v>11.4</v>
      </c>
      <c r="D1314">
        <v>0</v>
      </c>
      <c r="E1314">
        <f>IF(D1314&gt;=1,martianeum[[#This Row],[zawartosc]] * 0.01 *martianeum[[#This Row],[masa '[kg']]],0)</f>
        <v>0</v>
      </c>
    </row>
    <row r="1315" spans="1:6" x14ac:dyDescent="0.25">
      <c r="A1315" s="1">
        <v>49954</v>
      </c>
      <c r="B1315" t="s">
        <v>14</v>
      </c>
      <c r="C1315">
        <v>26</v>
      </c>
      <c r="D1315">
        <v>4.9000000000000004</v>
      </c>
      <c r="E1315">
        <f>IF(D1315&gt;=1,martianeum[[#This Row],[zawartosc]] * 0.01 *martianeum[[#This Row],[masa '[kg']]],0)</f>
        <v>1.274</v>
      </c>
    </row>
    <row r="1316" spans="1:6" x14ac:dyDescent="0.25">
      <c r="A1316" s="1">
        <v>49955</v>
      </c>
      <c r="B1316" t="s">
        <v>14</v>
      </c>
      <c r="C1316">
        <v>27.8</v>
      </c>
      <c r="D1316">
        <v>6.7</v>
      </c>
      <c r="E1316">
        <f>IF(D1316&gt;=1,martianeum[[#This Row],[zawartosc]] * 0.01 *martianeum[[#This Row],[masa '[kg']]],0)</f>
        <v>1.8626000000000003</v>
      </c>
    </row>
    <row r="1317" spans="1:6" x14ac:dyDescent="0.25">
      <c r="A1317" s="1">
        <v>49956</v>
      </c>
      <c r="B1317" t="s">
        <v>6</v>
      </c>
      <c r="C1317">
        <v>29.3</v>
      </c>
      <c r="D1317">
        <v>1.7</v>
      </c>
      <c r="E1317">
        <f>IF(D1317&gt;=1,martianeum[[#This Row],[zawartosc]] * 0.01 *martianeum[[#This Row],[masa '[kg']]],0)</f>
        <v>0.49810000000000004</v>
      </c>
      <c r="F1317">
        <f t="shared" ref="F1317" si="186">SUM(C1311:C1317)</f>
        <v>143.30000000000001</v>
      </c>
    </row>
    <row r="1318" spans="1:6" x14ac:dyDescent="0.25">
      <c r="A1318" s="1">
        <v>49957</v>
      </c>
      <c r="B1318" t="s">
        <v>22</v>
      </c>
      <c r="C1318">
        <v>24.7</v>
      </c>
      <c r="D1318">
        <v>2.5</v>
      </c>
      <c r="E1318">
        <f>IF(D1318&gt;=1,martianeum[[#This Row],[zawartosc]] * 0.01 *martianeum[[#This Row],[masa '[kg']]],0)</f>
        <v>0.61750000000000005</v>
      </c>
    </row>
    <row r="1319" spans="1:6" x14ac:dyDescent="0.25">
      <c r="A1319" s="1">
        <v>49958</v>
      </c>
      <c r="B1319" t="s">
        <v>3</v>
      </c>
      <c r="C1319">
        <v>16.600000000000001</v>
      </c>
      <c r="D1319">
        <v>0.1</v>
      </c>
      <c r="E1319">
        <f>IF(D1319&gt;=1,martianeum[[#This Row],[zawartosc]] * 0.01 *martianeum[[#This Row],[masa '[kg']]],0)</f>
        <v>0</v>
      </c>
    </row>
    <row r="1320" spans="1:6" x14ac:dyDescent="0.25">
      <c r="A1320" s="1">
        <v>49959</v>
      </c>
      <c r="B1320" t="s">
        <v>17</v>
      </c>
      <c r="C1320">
        <v>27.5</v>
      </c>
      <c r="D1320">
        <v>0</v>
      </c>
      <c r="E1320">
        <f>IF(D1320&gt;=1,martianeum[[#This Row],[zawartosc]] * 0.01 *martianeum[[#This Row],[masa '[kg']]],0)</f>
        <v>0</v>
      </c>
    </row>
    <row r="1321" spans="1:6" x14ac:dyDescent="0.25">
      <c r="A1321" s="1">
        <v>49960</v>
      </c>
      <c r="B1321" t="s">
        <v>14</v>
      </c>
      <c r="C1321">
        <v>22.7</v>
      </c>
      <c r="D1321">
        <v>0</v>
      </c>
      <c r="E1321">
        <f>IF(D1321&gt;=1,martianeum[[#This Row],[zawartosc]] * 0.01 *martianeum[[#This Row],[masa '[kg']]],0)</f>
        <v>0</v>
      </c>
    </row>
    <row r="1322" spans="1:6" x14ac:dyDescent="0.25">
      <c r="A1322" s="1">
        <v>49961</v>
      </c>
      <c r="B1322" t="s">
        <v>11</v>
      </c>
      <c r="C1322">
        <v>20.100000000000001</v>
      </c>
      <c r="D1322">
        <v>10.5</v>
      </c>
      <c r="E1322">
        <f>IF(D1322&gt;=1,martianeum[[#This Row],[zawartosc]] * 0.01 *martianeum[[#This Row],[masa '[kg']]],0)</f>
        <v>2.1105</v>
      </c>
    </row>
    <row r="1323" spans="1:6" x14ac:dyDescent="0.25">
      <c r="A1323" s="1">
        <v>49962</v>
      </c>
      <c r="B1323" t="s">
        <v>6</v>
      </c>
      <c r="C1323">
        <v>16.100000000000001</v>
      </c>
      <c r="D1323">
        <v>8.1</v>
      </c>
      <c r="E1323">
        <f>IF(D1323&gt;=1,martianeum[[#This Row],[zawartosc]] * 0.01 *martianeum[[#This Row],[masa '[kg']]],0)</f>
        <v>1.3041000000000003</v>
      </c>
    </row>
    <row r="1324" spans="1:6" x14ac:dyDescent="0.25">
      <c r="A1324" s="1">
        <v>49963</v>
      </c>
      <c r="B1324" t="s">
        <v>6</v>
      </c>
      <c r="C1324">
        <v>13.9</v>
      </c>
      <c r="D1324">
        <v>0</v>
      </c>
      <c r="E1324">
        <f>IF(D1324&gt;=1,martianeum[[#This Row],[zawartosc]] * 0.01 *martianeum[[#This Row],[masa '[kg']]],0)</f>
        <v>0</v>
      </c>
      <c r="F1324">
        <f t="shared" ref="F1324" si="187">SUM(C1318:C1324)</f>
        <v>141.6</v>
      </c>
    </row>
    <row r="1325" spans="1:6" x14ac:dyDescent="0.25">
      <c r="A1325" s="1">
        <v>49964</v>
      </c>
      <c r="B1325" t="s">
        <v>11</v>
      </c>
      <c r="C1325">
        <v>22.3</v>
      </c>
      <c r="D1325">
        <v>0</v>
      </c>
      <c r="E1325">
        <f>IF(D1325&gt;=1,martianeum[[#This Row],[zawartosc]] * 0.01 *martianeum[[#This Row],[masa '[kg']]],0)</f>
        <v>0</v>
      </c>
    </row>
    <row r="1326" spans="1:6" x14ac:dyDescent="0.25">
      <c r="A1326" s="1">
        <v>49965</v>
      </c>
      <c r="B1326" t="s">
        <v>25</v>
      </c>
      <c r="C1326">
        <v>13</v>
      </c>
      <c r="D1326">
        <v>0</v>
      </c>
      <c r="E1326">
        <f>IF(D1326&gt;=1,martianeum[[#This Row],[zawartosc]] * 0.01 *martianeum[[#This Row],[masa '[kg']]],0)</f>
        <v>0</v>
      </c>
    </row>
    <row r="1327" spans="1:6" x14ac:dyDescent="0.25">
      <c r="A1327" s="1">
        <v>49966</v>
      </c>
      <c r="B1327" t="s">
        <v>10</v>
      </c>
      <c r="C1327">
        <v>16.2</v>
      </c>
      <c r="D1327">
        <v>0</v>
      </c>
      <c r="E1327">
        <f>IF(D1327&gt;=1,martianeum[[#This Row],[zawartosc]] * 0.01 *martianeum[[#This Row],[masa '[kg']]],0)</f>
        <v>0</v>
      </c>
    </row>
    <row r="1328" spans="1:6" x14ac:dyDescent="0.25">
      <c r="A1328" s="1">
        <v>49967</v>
      </c>
      <c r="B1328" t="s">
        <v>13</v>
      </c>
      <c r="C1328">
        <v>24.8</v>
      </c>
      <c r="D1328">
        <v>0</v>
      </c>
      <c r="E1328">
        <f>IF(D1328&gt;=1,martianeum[[#This Row],[zawartosc]] * 0.01 *martianeum[[#This Row],[masa '[kg']]],0)</f>
        <v>0</v>
      </c>
    </row>
    <row r="1329" spans="1:6" x14ac:dyDescent="0.25">
      <c r="A1329" s="1">
        <v>49968</v>
      </c>
      <c r="B1329" t="s">
        <v>12</v>
      </c>
      <c r="C1329">
        <v>29.7</v>
      </c>
      <c r="D1329">
        <v>0</v>
      </c>
      <c r="E1329">
        <f>IF(D1329&gt;=1,martianeum[[#This Row],[zawartosc]] * 0.01 *martianeum[[#This Row],[masa '[kg']]],0)</f>
        <v>0</v>
      </c>
    </row>
    <row r="1330" spans="1:6" x14ac:dyDescent="0.25">
      <c r="A1330" s="1">
        <v>49969</v>
      </c>
      <c r="B1330" t="s">
        <v>9</v>
      </c>
      <c r="C1330">
        <v>17.600000000000001</v>
      </c>
      <c r="D1330">
        <v>14.7</v>
      </c>
      <c r="E1330">
        <f>IF(D1330&gt;=1,martianeum[[#This Row],[zawartosc]] * 0.01 *martianeum[[#This Row],[masa '[kg']]],0)</f>
        <v>2.5872000000000002</v>
      </c>
    </row>
    <row r="1331" spans="1:6" x14ac:dyDescent="0.25">
      <c r="A1331" s="1">
        <v>49970</v>
      </c>
      <c r="B1331" t="s">
        <v>9</v>
      </c>
      <c r="C1331">
        <v>10.4</v>
      </c>
      <c r="D1331">
        <v>27.7</v>
      </c>
      <c r="E1331">
        <f>IF(D1331&gt;=1,martianeum[[#This Row],[zawartosc]] * 0.01 *martianeum[[#This Row],[masa '[kg']]],0)</f>
        <v>2.8808000000000002</v>
      </c>
      <c r="F1331">
        <f t="shared" ref="F1331" si="188">SUM(C1325:C1331)</f>
        <v>134</v>
      </c>
    </row>
    <row r="1332" spans="1:6" x14ac:dyDescent="0.25">
      <c r="A1332" s="1">
        <v>49971</v>
      </c>
      <c r="B1332" t="s">
        <v>14</v>
      </c>
      <c r="C1332">
        <v>17</v>
      </c>
      <c r="D1332">
        <v>1.1000000000000001</v>
      </c>
      <c r="E1332">
        <f>IF(D1332&gt;=1,martianeum[[#This Row],[zawartosc]] * 0.01 *martianeum[[#This Row],[masa '[kg']]],0)</f>
        <v>0.18700000000000003</v>
      </c>
    </row>
    <row r="1333" spans="1:6" x14ac:dyDescent="0.25">
      <c r="A1333" s="1">
        <v>49972</v>
      </c>
      <c r="B1333" t="s">
        <v>17</v>
      </c>
      <c r="C1333">
        <v>15.7</v>
      </c>
      <c r="D1333">
        <v>5.9</v>
      </c>
      <c r="E1333">
        <f>IF(D1333&gt;=1,martianeum[[#This Row],[zawartosc]] * 0.01 *martianeum[[#This Row],[masa '[kg']]],0)</f>
        <v>0.92630000000000001</v>
      </c>
    </row>
    <row r="1334" spans="1:6" x14ac:dyDescent="0.25">
      <c r="A1334" s="1">
        <v>49973</v>
      </c>
      <c r="B1334" t="s">
        <v>18</v>
      </c>
      <c r="C1334">
        <v>23.8</v>
      </c>
      <c r="D1334">
        <v>4.3</v>
      </c>
      <c r="E1334">
        <f>IF(D1334&gt;=1,martianeum[[#This Row],[zawartosc]] * 0.01 *martianeum[[#This Row],[masa '[kg']]],0)</f>
        <v>1.0233999999999999</v>
      </c>
    </row>
    <row r="1335" spans="1:6" x14ac:dyDescent="0.25">
      <c r="A1335" s="1">
        <v>49974</v>
      </c>
      <c r="B1335" t="s">
        <v>10</v>
      </c>
      <c r="C1335">
        <v>16.2</v>
      </c>
      <c r="D1335">
        <v>8.6999999999999993</v>
      </c>
      <c r="E1335">
        <f>IF(D1335&gt;=1,martianeum[[#This Row],[zawartosc]] * 0.01 *martianeum[[#This Row],[masa '[kg']]],0)</f>
        <v>1.4093999999999998</v>
      </c>
    </row>
    <row r="1336" spans="1:6" x14ac:dyDescent="0.25">
      <c r="A1336" s="1">
        <v>49975</v>
      </c>
      <c r="B1336" t="s">
        <v>4</v>
      </c>
      <c r="C1336">
        <v>23.3</v>
      </c>
      <c r="D1336">
        <v>5.8</v>
      </c>
      <c r="E1336">
        <f>IF(D1336&gt;=1,martianeum[[#This Row],[zawartosc]] * 0.01 *martianeum[[#This Row],[masa '[kg']]],0)</f>
        <v>1.3513999999999999</v>
      </c>
    </row>
    <row r="1337" spans="1:6" x14ac:dyDescent="0.25">
      <c r="A1337" s="1">
        <v>49976</v>
      </c>
      <c r="B1337" t="s">
        <v>6</v>
      </c>
      <c r="C1337">
        <v>18.7</v>
      </c>
      <c r="D1337">
        <v>1.1000000000000001</v>
      </c>
      <c r="E1337">
        <f>IF(D1337&gt;=1,martianeum[[#This Row],[zawartosc]] * 0.01 *martianeum[[#This Row],[masa '[kg']]],0)</f>
        <v>0.20570000000000002</v>
      </c>
    </row>
    <row r="1338" spans="1:6" x14ac:dyDescent="0.25">
      <c r="A1338" s="1">
        <v>49977</v>
      </c>
      <c r="B1338" t="s">
        <v>16</v>
      </c>
      <c r="C1338">
        <v>27.9</v>
      </c>
      <c r="D1338">
        <v>2.6</v>
      </c>
      <c r="E1338">
        <f>IF(D1338&gt;=1,martianeum[[#This Row],[zawartosc]] * 0.01 *martianeum[[#This Row],[masa '[kg']]],0)</f>
        <v>0.72540000000000004</v>
      </c>
      <c r="F1338">
        <f t="shared" ref="F1338" si="189">SUM(C1332:C1338)</f>
        <v>142.6</v>
      </c>
    </row>
    <row r="1339" spans="1:6" x14ac:dyDescent="0.25">
      <c r="A1339" s="1">
        <v>49978</v>
      </c>
      <c r="B1339" t="s">
        <v>17</v>
      </c>
      <c r="C1339">
        <v>19.8</v>
      </c>
      <c r="D1339">
        <v>0</v>
      </c>
      <c r="E1339">
        <f>IF(D1339&gt;=1,martianeum[[#This Row],[zawartosc]] * 0.01 *martianeum[[#This Row],[masa '[kg']]],0)</f>
        <v>0</v>
      </c>
    </row>
    <row r="1340" spans="1:6" x14ac:dyDescent="0.25">
      <c r="A1340" s="1">
        <v>49979</v>
      </c>
      <c r="B1340" t="s">
        <v>10</v>
      </c>
      <c r="C1340">
        <v>16.7</v>
      </c>
      <c r="D1340">
        <v>3.5</v>
      </c>
      <c r="E1340">
        <f>IF(D1340&gt;=1,martianeum[[#This Row],[zawartosc]] * 0.01 *martianeum[[#This Row],[masa '[kg']]],0)</f>
        <v>0.58450000000000002</v>
      </c>
    </row>
    <row r="1341" spans="1:6" x14ac:dyDescent="0.25">
      <c r="A1341" s="1">
        <v>49980</v>
      </c>
      <c r="B1341" t="s">
        <v>22</v>
      </c>
      <c r="C1341">
        <v>28.6</v>
      </c>
      <c r="D1341">
        <v>0</v>
      </c>
      <c r="E1341">
        <f>IF(D1341&gt;=1,martianeum[[#This Row],[zawartosc]] * 0.01 *martianeum[[#This Row],[masa '[kg']]],0)</f>
        <v>0</v>
      </c>
    </row>
    <row r="1342" spans="1:6" x14ac:dyDescent="0.25">
      <c r="A1342" s="1">
        <v>49981</v>
      </c>
      <c r="B1342" t="s">
        <v>9</v>
      </c>
      <c r="C1342">
        <v>10.8</v>
      </c>
      <c r="D1342">
        <v>32.9</v>
      </c>
      <c r="E1342">
        <f>IF(D1342&gt;=1,martianeum[[#This Row],[zawartosc]] * 0.01 *martianeum[[#This Row],[masa '[kg']]],0)</f>
        <v>3.5532000000000004</v>
      </c>
    </row>
    <row r="1343" spans="1:6" x14ac:dyDescent="0.25">
      <c r="A1343" s="1">
        <v>49982</v>
      </c>
      <c r="B1343" t="s">
        <v>17</v>
      </c>
      <c r="C1343">
        <v>12.8</v>
      </c>
      <c r="D1343">
        <v>0</v>
      </c>
      <c r="E1343">
        <f>IF(D1343&gt;=1,martianeum[[#This Row],[zawartosc]] * 0.01 *martianeum[[#This Row],[masa '[kg']]],0)</f>
        <v>0</v>
      </c>
    </row>
    <row r="1344" spans="1:6" x14ac:dyDescent="0.25">
      <c r="A1344" s="1">
        <v>49983</v>
      </c>
      <c r="B1344" t="s">
        <v>25</v>
      </c>
      <c r="C1344">
        <v>17.600000000000001</v>
      </c>
      <c r="D1344">
        <v>0</v>
      </c>
      <c r="E1344">
        <f>IF(D1344&gt;=1,martianeum[[#This Row],[zawartosc]] * 0.01 *martianeum[[#This Row],[masa '[kg']]],0)</f>
        <v>0</v>
      </c>
    </row>
    <row r="1345" spans="1:6" x14ac:dyDescent="0.25">
      <c r="A1345" s="1">
        <v>49984</v>
      </c>
      <c r="B1345" t="s">
        <v>21</v>
      </c>
      <c r="C1345">
        <v>24.1</v>
      </c>
      <c r="D1345">
        <v>0</v>
      </c>
      <c r="E1345">
        <f>IF(D1345&gt;=1,martianeum[[#This Row],[zawartosc]] * 0.01 *martianeum[[#This Row],[masa '[kg']]],0)</f>
        <v>0</v>
      </c>
      <c r="F1345">
        <f t="shared" ref="F1345" si="190">SUM(C1339:C1345)</f>
        <v>130.39999999999998</v>
      </c>
    </row>
    <row r="1346" spans="1:6" x14ac:dyDescent="0.25">
      <c r="A1346" s="1">
        <v>49985</v>
      </c>
      <c r="B1346" t="s">
        <v>10</v>
      </c>
      <c r="C1346">
        <v>11.4</v>
      </c>
      <c r="D1346">
        <v>18.2</v>
      </c>
      <c r="E1346">
        <f>IF(D1346&gt;=1,martianeum[[#This Row],[zawartosc]] * 0.01 *martianeum[[#This Row],[masa '[kg']]],0)</f>
        <v>2.0748000000000002</v>
      </c>
    </row>
    <row r="1347" spans="1:6" x14ac:dyDescent="0.25">
      <c r="A1347" s="1">
        <v>49986</v>
      </c>
      <c r="B1347" t="s">
        <v>8</v>
      </c>
      <c r="C1347">
        <v>21.9</v>
      </c>
      <c r="D1347">
        <v>5.4</v>
      </c>
      <c r="E1347">
        <f>IF(D1347&gt;=1,martianeum[[#This Row],[zawartosc]] * 0.01 *martianeum[[#This Row],[masa '[kg']]],0)</f>
        <v>1.1826000000000001</v>
      </c>
    </row>
    <row r="1348" spans="1:6" x14ac:dyDescent="0.25">
      <c r="A1348" s="1">
        <v>49987</v>
      </c>
      <c r="B1348" t="s">
        <v>25</v>
      </c>
      <c r="C1348">
        <v>16.8</v>
      </c>
      <c r="D1348">
        <v>1.6</v>
      </c>
      <c r="E1348">
        <f>IF(D1348&gt;=1,martianeum[[#This Row],[zawartosc]] * 0.01 *martianeum[[#This Row],[masa '[kg']]],0)</f>
        <v>0.26880000000000004</v>
      </c>
    </row>
    <row r="1349" spans="1:6" x14ac:dyDescent="0.25">
      <c r="A1349" s="1">
        <v>49988</v>
      </c>
      <c r="B1349" t="s">
        <v>5</v>
      </c>
      <c r="C1349">
        <v>26</v>
      </c>
      <c r="D1349">
        <v>0</v>
      </c>
      <c r="E1349">
        <f>IF(D1349&gt;=1,martianeum[[#This Row],[zawartosc]] * 0.01 *martianeum[[#This Row],[masa '[kg']]],0)</f>
        <v>0</v>
      </c>
    </row>
    <row r="1350" spans="1:6" x14ac:dyDescent="0.25">
      <c r="A1350" s="1">
        <v>49989</v>
      </c>
      <c r="B1350" t="s">
        <v>10</v>
      </c>
      <c r="C1350">
        <v>20.2</v>
      </c>
      <c r="D1350">
        <v>10</v>
      </c>
      <c r="E1350">
        <f>IF(D1350&gt;=1,martianeum[[#This Row],[zawartosc]] * 0.01 *martianeum[[#This Row],[masa '[kg']]],0)</f>
        <v>2.02</v>
      </c>
    </row>
    <row r="1351" spans="1:6" x14ac:dyDescent="0.25">
      <c r="A1351" s="1">
        <v>49990</v>
      </c>
      <c r="B1351" t="s">
        <v>18</v>
      </c>
      <c r="C1351">
        <v>20.3</v>
      </c>
      <c r="D1351">
        <v>37.799999999999997</v>
      </c>
      <c r="E1351">
        <f>IF(D1351&gt;=1,martianeum[[#This Row],[zawartosc]] * 0.01 *martianeum[[#This Row],[masa '[kg']]],0)</f>
        <v>7.6734</v>
      </c>
    </row>
    <row r="1352" spans="1:6" x14ac:dyDescent="0.25">
      <c r="A1352" s="1">
        <v>49991</v>
      </c>
      <c r="B1352" t="s">
        <v>6</v>
      </c>
      <c r="C1352">
        <v>27.5</v>
      </c>
      <c r="D1352">
        <v>20.8</v>
      </c>
      <c r="E1352">
        <f>IF(D1352&gt;=1,martianeum[[#This Row],[zawartosc]] * 0.01 *martianeum[[#This Row],[masa '[kg']]],0)</f>
        <v>5.7200000000000006</v>
      </c>
      <c r="F1352">
        <f t="shared" ref="F1352" si="191">SUM(C1346:C1352)</f>
        <v>144.1</v>
      </c>
    </row>
    <row r="1353" spans="1:6" x14ac:dyDescent="0.25">
      <c r="A1353" s="1">
        <v>49992</v>
      </c>
      <c r="B1353" t="s">
        <v>18</v>
      </c>
      <c r="C1353">
        <v>24.2</v>
      </c>
      <c r="D1353">
        <v>2.9</v>
      </c>
      <c r="E1353">
        <f>IF(D1353&gt;=1,martianeum[[#This Row],[zawartosc]] * 0.01 *martianeum[[#This Row],[masa '[kg']]],0)</f>
        <v>0.70179999999999998</v>
      </c>
    </row>
    <row r="1354" spans="1:6" x14ac:dyDescent="0.25">
      <c r="A1354" s="1">
        <v>49993</v>
      </c>
      <c r="B1354" t="s">
        <v>10</v>
      </c>
      <c r="C1354">
        <v>10.7</v>
      </c>
      <c r="D1354">
        <v>14.3</v>
      </c>
      <c r="E1354">
        <f>IF(D1354&gt;=1,martianeum[[#This Row],[zawartosc]] * 0.01 *martianeum[[#This Row],[masa '[kg']]],0)</f>
        <v>1.5301</v>
      </c>
    </row>
    <row r="1355" spans="1:6" x14ac:dyDescent="0.25">
      <c r="A1355" s="1">
        <v>49994</v>
      </c>
      <c r="B1355" t="s">
        <v>18</v>
      </c>
      <c r="C1355">
        <v>17.3</v>
      </c>
      <c r="D1355">
        <v>0</v>
      </c>
      <c r="E1355">
        <f>IF(D1355&gt;=1,martianeum[[#This Row],[zawartosc]] * 0.01 *martianeum[[#This Row],[masa '[kg']]],0)</f>
        <v>0</v>
      </c>
    </row>
    <row r="1356" spans="1:6" x14ac:dyDescent="0.25">
      <c r="A1356" s="1">
        <v>49995</v>
      </c>
      <c r="B1356" t="s">
        <v>10</v>
      </c>
      <c r="C1356">
        <v>13.5</v>
      </c>
      <c r="D1356">
        <v>21.1</v>
      </c>
      <c r="E1356">
        <f>IF(D1356&gt;=1,martianeum[[#This Row],[zawartosc]] * 0.01 *martianeum[[#This Row],[masa '[kg']]],0)</f>
        <v>2.8485000000000005</v>
      </c>
    </row>
    <row r="1357" spans="1:6" x14ac:dyDescent="0.25">
      <c r="A1357" s="1">
        <v>49996</v>
      </c>
      <c r="B1357" t="s">
        <v>5</v>
      </c>
      <c r="C1357">
        <v>13.6</v>
      </c>
      <c r="D1357">
        <v>6</v>
      </c>
      <c r="E1357">
        <f>IF(D1357&gt;=1,martianeum[[#This Row],[zawartosc]] * 0.01 *martianeum[[#This Row],[masa '[kg']]],0)</f>
        <v>0.81599999999999995</v>
      </c>
    </row>
    <row r="1358" spans="1:6" x14ac:dyDescent="0.25">
      <c r="A1358" s="1">
        <v>49997</v>
      </c>
      <c r="B1358" t="s">
        <v>4</v>
      </c>
      <c r="C1358">
        <v>19.899999999999999</v>
      </c>
      <c r="D1358">
        <v>0</v>
      </c>
      <c r="E1358">
        <f>IF(D1358&gt;=1,martianeum[[#This Row],[zawartosc]] * 0.01 *martianeum[[#This Row],[masa '[kg']]],0)</f>
        <v>0</v>
      </c>
    </row>
    <row r="1359" spans="1:6" x14ac:dyDescent="0.25">
      <c r="A1359" s="1">
        <v>49998</v>
      </c>
      <c r="B1359" t="s">
        <v>17</v>
      </c>
      <c r="C1359">
        <v>13.1</v>
      </c>
      <c r="D1359">
        <v>10.199999999999999</v>
      </c>
      <c r="E1359">
        <f>IF(D1359&gt;=1,martianeum[[#This Row],[zawartosc]] * 0.01 *martianeum[[#This Row],[masa '[kg']]],0)</f>
        <v>1.3361999999999998</v>
      </c>
      <c r="F1359">
        <f t="shared" ref="F1359" si="192">SUM(C1353:C1359)</f>
        <v>112.29999999999998</v>
      </c>
    </row>
    <row r="1360" spans="1:6" x14ac:dyDescent="0.25">
      <c r="A1360" s="1">
        <v>49999</v>
      </c>
      <c r="B1360" t="s">
        <v>20</v>
      </c>
      <c r="C1360">
        <v>29.8</v>
      </c>
      <c r="D1360">
        <v>1.9</v>
      </c>
      <c r="E1360">
        <f>IF(D1360&gt;=1,martianeum[[#This Row],[zawartosc]] * 0.01 *martianeum[[#This Row],[masa '[kg']]],0)</f>
        <v>0.56620000000000004</v>
      </c>
    </row>
    <row r="1361" spans="1:6" x14ac:dyDescent="0.25">
      <c r="A1361" s="1">
        <v>50000</v>
      </c>
      <c r="B1361" t="s">
        <v>27</v>
      </c>
      <c r="C1361">
        <v>23.7</v>
      </c>
      <c r="D1361">
        <v>0.3</v>
      </c>
      <c r="E1361">
        <f>IF(D1361&gt;=1,martianeum[[#This Row],[zawartosc]] * 0.01 *martianeum[[#This Row],[masa '[kg']]],0)</f>
        <v>0</v>
      </c>
    </row>
    <row r="1362" spans="1:6" x14ac:dyDescent="0.25">
      <c r="A1362" s="1">
        <v>50001</v>
      </c>
      <c r="B1362" t="s">
        <v>18</v>
      </c>
      <c r="C1362">
        <v>14</v>
      </c>
      <c r="D1362">
        <v>0</v>
      </c>
      <c r="E1362">
        <f>IF(D1362&gt;=1,martianeum[[#This Row],[zawartosc]] * 0.01 *martianeum[[#This Row],[masa '[kg']]],0)</f>
        <v>0</v>
      </c>
    </row>
    <row r="1363" spans="1:6" x14ac:dyDescent="0.25">
      <c r="A1363" s="1">
        <v>50002</v>
      </c>
      <c r="B1363" t="s">
        <v>29</v>
      </c>
      <c r="C1363">
        <v>19</v>
      </c>
      <c r="D1363">
        <v>0.5</v>
      </c>
      <c r="E1363">
        <f>IF(D1363&gt;=1,martianeum[[#This Row],[zawartosc]] * 0.01 *martianeum[[#This Row],[masa '[kg']]],0)</f>
        <v>0</v>
      </c>
    </row>
    <row r="1364" spans="1:6" x14ac:dyDescent="0.25">
      <c r="A1364" s="1">
        <v>50003</v>
      </c>
      <c r="B1364" t="s">
        <v>31</v>
      </c>
      <c r="C1364">
        <v>23.9</v>
      </c>
      <c r="D1364">
        <v>0.5</v>
      </c>
      <c r="E1364">
        <f>IF(D1364&gt;=1,martianeum[[#This Row],[zawartosc]] * 0.01 *martianeum[[#This Row],[masa '[kg']]],0)</f>
        <v>0</v>
      </c>
    </row>
    <row r="1365" spans="1:6" x14ac:dyDescent="0.25">
      <c r="A1365" s="1">
        <v>50004</v>
      </c>
      <c r="B1365" t="s">
        <v>18</v>
      </c>
      <c r="C1365">
        <v>12.8</v>
      </c>
      <c r="D1365">
        <v>26.7</v>
      </c>
      <c r="E1365">
        <f>IF(D1365&gt;=1,martianeum[[#This Row],[zawartosc]] * 0.01 *martianeum[[#This Row],[masa '[kg']]],0)</f>
        <v>3.4176000000000002</v>
      </c>
    </row>
    <row r="1366" spans="1:6" x14ac:dyDescent="0.25">
      <c r="A1366" s="1">
        <v>50005</v>
      </c>
      <c r="B1366" t="s">
        <v>6</v>
      </c>
      <c r="C1366">
        <v>26.9</v>
      </c>
      <c r="D1366">
        <v>4.5</v>
      </c>
      <c r="E1366">
        <f>IF(D1366&gt;=1,martianeum[[#This Row],[zawartosc]] * 0.01 *martianeum[[#This Row],[masa '[kg']]],0)</f>
        <v>1.2104999999999999</v>
      </c>
      <c r="F1366">
        <f t="shared" ref="F1366" si="193">SUM(C1360:C1366)</f>
        <v>150.1</v>
      </c>
    </row>
    <row r="1367" spans="1:6" x14ac:dyDescent="0.25">
      <c r="A1367" s="1">
        <v>50006</v>
      </c>
      <c r="B1367" t="s">
        <v>25</v>
      </c>
      <c r="C1367">
        <v>10.6</v>
      </c>
      <c r="D1367">
        <v>0</v>
      </c>
      <c r="E1367">
        <f>IF(D1367&gt;=1,martianeum[[#This Row],[zawartosc]] * 0.01 *martianeum[[#This Row],[masa '[kg']]],0)</f>
        <v>0</v>
      </c>
    </row>
    <row r="1368" spans="1:6" x14ac:dyDescent="0.25">
      <c r="A1368" s="1">
        <v>50007</v>
      </c>
      <c r="B1368" t="s">
        <v>10</v>
      </c>
      <c r="C1368">
        <v>21.1</v>
      </c>
      <c r="D1368">
        <v>10.6</v>
      </c>
      <c r="E1368">
        <f>IF(D1368&gt;=1,martianeum[[#This Row],[zawartosc]] * 0.01 *martianeum[[#This Row],[masa '[kg']]],0)</f>
        <v>2.2366000000000001</v>
      </c>
    </row>
    <row r="1369" spans="1:6" x14ac:dyDescent="0.25">
      <c r="A1369" s="1">
        <v>50008</v>
      </c>
      <c r="B1369" t="s">
        <v>5</v>
      </c>
      <c r="C1369">
        <v>11.7</v>
      </c>
      <c r="D1369">
        <v>9.9</v>
      </c>
      <c r="E1369">
        <f>IF(D1369&gt;=1,martianeum[[#This Row],[zawartosc]] * 0.01 *martianeum[[#This Row],[masa '[kg']]],0)</f>
        <v>1.1582999999999999</v>
      </c>
    </row>
    <row r="1370" spans="1:6" x14ac:dyDescent="0.25">
      <c r="A1370" s="1">
        <v>50009</v>
      </c>
      <c r="B1370" t="s">
        <v>7</v>
      </c>
      <c r="C1370">
        <v>20.5</v>
      </c>
      <c r="D1370">
        <v>3.7</v>
      </c>
      <c r="E1370">
        <f>IF(D1370&gt;=1,martianeum[[#This Row],[zawartosc]] * 0.01 *martianeum[[#This Row],[masa '[kg']]],0)</f>
        <v>0.75850000000000006</v>
      </c>
    </row>
    <row r="1371" spans="1:6" x14ac:dyDescent="0.25">
      <c r="A1371" s="1">
        <v>50010</v>
      </c>
      <c r="B1371" t="s">
        <v>18</v>
      </c>
      <c r="C1371">
        <v>27.4</v>
      </c>
      <c r="D1371">
        <v>10.4</v>
      </c>
      <c r="E1371">
        <f>IF(D1371&gt;=1,martianeum[[#This Row],[zawartosc]] * 0.01 *martianeum[[#This Row],[masa '[kg']]],0)</f>
        <v>2.8496000000000001</v>
      </c>
    </row>
    <row r="1372" spans="1:6" x14ac:dyDescent="0.25">
      <c r="A1372" s="1">
        <v>50011</v>
      </c>
      <c r="B1372" t="s">
        <v>9</v>
      </c>
      <c r="C1372">
        <v>15.8</v>
      </c>
      <c r="D1372">
        <v>10.199999999999999</v>
      </c>
      <c r="E1372">
        <f>IF(D1372&gt;=1,martianeum[[#This Row],[zawartosc]] * 0.01 *martianeum[[#This Row],[masa '[kg']]],0)</f>
        <v>1.6115999999999999</v>
      </c>
    </row>
    <row r="1373" spans="1:6" x14ac:dyDescent="0.25">
      <c r="A1373" s="1">
        <v>50012</v>
      </c>
      <c r="B1373" t="s">
        <v>18</v>
      </c>
      <c r="C1373">
        <v>19.600000000000001</v>
      </c>
      <c r="D1373">
        <v>0</v>
      </c>
      <c r="E1373">
        <f>IF(D1373&gt;=1,martianeum[[#This Row],[zawartosc]] * 0.01 *martianeum[[#This Row],[masa '[kg']]],0)</f>
        <v>0</v>
      </c>
      <c r="F1373">
        <f t="shared" ref="F1373" si="194">SUM(C1367:C1373)</f>
        <v>126.70000000000002</v>
      </c>
    </row>
    <row r="1374" spans="1:6" x14ac:dyDescent="0.25">
      <c r="A1374" s="1">
        <v>50013</v>
      </c>
      <c r="B1374" t="s">
        <v>9</v>
      </c>
      <c r="C1374">
        <v>16.899999999999999</v>
      </c>
      <c r="D1374">
        <v>48.4</v>
      </c>
      <c r="E1374">
        <f>IF(D1374&gt;=1,martianeum[[#This Row],[zawartosc]] * 0.01 *martianeum[[#This Row],[masa '[kg']]],0)</f>
        <v>8.1795999999999989</v>
      </c>
    </row>
    <row r="1375" spans="1:6" x14ac:dyDescent="0.25">
      <c r="A1375" s="1">
        <v>50014</v>
      </c>
      <c r="B1375" t="s">
        <v>18</v>
      </c>
      <c r="C1375">
        <v>12.2</v>
      </c>
      <c r="D1375">
        <v>0</v>
      </c>
      <c r="E1375">
        <f>IF(D1375&gt;=1,martianeum[[#This Row],[zawartosc]] * 0.01 *martianeum[[#This Row],[masa '[kg']]],0)</f>
        <v>0</v>
      </c>
    </row>
    <row r="1376" spans="1:6" x14ac:dyDescent="0.25">
      <c r="A1376" s="1">
        <v>50015</v>
      </c>
      <c r="B1376" t="s">
        <v>9</v>
      </c>
      <c r="C1376">
        <v>16.600000000000001</v>
      </c>
      <c r="D1376">
        <v>14.1</v>
      </c>
      <c r="E1376">
        <f>IF(D1376&gt;=1,martianeum[[#This Row],[zawartosc]] * 0.01 *martianeum[[#This Row],[masa '[kg']]],0)</f>
        <v>2.3405999999999998</v>
      </c>
    </row>
    <row r="1377" spans="1:6" x14ac:dyDescent="0.25">
      <c r="A1377" s="1">
        <v>50016</v>
      </c>
      <c r="B1377" t="s">
        <v>10</v>
      </c>
      <c r="C1377">
        <v>27.6</v>
      </c>
      <c r="D1377">
        <v>0</v>
      </c>
      <c r="E1377">
        <f>IF(D1377&gt;=1,martianeum[[#This Row],[zawartosc]] * 0.01 *martianeum[[#This Row],[masa '[kg']]],0)</f>
        <v>0</v>
      </c>
    </row>
    <row r="1378" spans="1:6" x14ac:dyDescent="0.25">
      <c r="A1378" s="1">
        <v>50017</v>
      </c>
      <c r="B1378" t="s">
        <v>14</v>
      </c>
      <c r="C1378">
        <v>24.8</v>
      </c>
      <c r="D1378">
        <v>0</v>
      </c>
      <c r="E1378">
        <f>IF(D1378&gt;=1,martianeum[[#This Row],[zawartosc]] * 0.01 *martianeum[[#This Row],[masa '[kg']]],0)</f>
        <v>0</v>
      </c>
    </row>
    <row r="1379" spans="1:6" x14ac:dyDescent="0.25">
      <c r="A1379" s="1">
        <v>50018</v>
      </c>
      <c r="B1379" t="s">
        <v>9</v>
      </c>
      <c r="C1379">
        <v>23.1</v>
      </c>
      <c r="D1379">
        <v>29.8</v>
      </c>
      <c r="E1379">
        <f>IF(D1379&gt;=1,martianeum[[#This Row],[zawartosc]] * 0.01 *martianeum[[#This Row],[masa '[kg']]],0)</f>
        <v>6.8837999999999999</v>
      </c>
    </row>
    <row r="1380" spans="1:6" x14ac:dyDescent="0.25">
      <c r="A1380" s="1">
        <v>50019</v>
      </c>
      <c r="B1380" t="s">
        <v>26</v>
      </c>
      <c r="C1380">
        <v>12.4</v>
      </c>
      <c r="D1380">
        <v>6.1</v>
      </c>
      <c r="E1380">
        <f>IF(D1380&gt;=1,martianeum[[#This Row],[zawartosc]] * 0.01 *martianeum[[#This Row],[masa '[kg']]],0)</f>
        <v>0.75639999999999996</v>
      </c>
      <c r="F1380">
        <f t="shared" ref="F1380" si="195">SUM(C1374:C1380)</f>
        <v>133.60000000000002</v>
      </c>
    </row>
    <row r="1381" spans="1:6" x14ac:dyDescent="0.25">
      <c r="A1381" s="1">
        <v>50020</v>
      </c>
      <c r="B1381" t="s">
        <v>18</v>
      </c>
      <c r="C1381">
        <v>13.9</v>
      </c>
      <c r="D1381">
        <v>21.5</v>
      </c>
      <c r="E1381">
        <f>IF(D1381&gt;=1,martianeum[[#This Row],[zawartosc]] * 0.01 *martianeum[[#This Row],[masa '[kg']]],0)</f>
        <v>2.9885000000000002</v>
      </c>
    </row>
    <row r="1382" spans="1:6" x14ac:dyDescent="0.25">
      <c r="A1382" s="1">
        <v>50021</v>
      </c>
      <c r="B1382" t="s">
        <v>19</v>
      </c>
      <c r="C1382">
        <v>16.600000000000001</v>
      </c>
      <c r="D1382">
        <v>4.7</v>
      </c>
      <c r="E1382">
        <f>IF(D1382&gt;=1,martianeum[[#This Row],[zawartosc]] * 0.01 *martianeum[[#This Row],[masa '[kg']]],0)</f>
        <v>0.78020000000000012</v>
      </c>
    </row>
    <row r="1383" spans="1:6" x14ac:dyDescent="0.25">
      <c r="A1383" s="1">
        <v>50022</v>
      </c>
      <c r="B1383" t="s">
        <v>12</v>
      </c>
      <c r="C1383">
        <v>17.7</v>
      </c>
      <c r="D1383">
        <v>14</v>
      </c>
      <c r="E1383">
        <f>IF(D1383&gt;=1,martianeum[[#This Row],[zawartosc]] * 0.01 *martianeum[[#This Row],[masa '[kg']]],0)</f>
        <v>2.4780000000000002</v>
      </c>
    </row>
    <row r="1384" spans="1:6" x14ac:dyDescent="0.25">
      <c r="A1384" s="1">
        <v>50023</v>
      </c>
      <c r="B1384" t="s">
        <v>10</v>
      </c>
      <c r="C1384">
        <v>19</v>
      </c>
      <c r="D1384">
        <v>1.7</v>
      </c>
      <c r="E1384">
        <f>IF(D1384&gt;=1,martianeum[[#This Row],[zawartosc]] * 0.01 *martianeum[[#This Row],[masa '[kg']]],0)</f>
        <v>0.32300000000000001</v>
      </c>
    </row>
    <row r="1385" spans="1:6" x14ac:dyDescent="0.25">
      <c r="A1385" s="1">
        <v>50024</v>
      </c>
      <c r="B1385" t="s">
        <v>6</v>
      </c>
      <c r="C1385">
        <v>29.9</v>
      </c>
      <c r="D1385">
        <v>0</v>
      </c>
      <c r="E1385">
        <f>IF(D1385&gt;=1,martianeum[[#This Row],[zawartosc]] * 0.01 *martianeum[[#This Row],[masa '[kg']]],0)</f>
        <v>0</v>
      </c>
    </row>
    <row r="1386" spans="1:6" x14ac:dyDescent="0.25">
      <c r="A1386" s="1">
        <v>50025</v>
      </c>
      <c r="B1386" t="s">
        <v>18</v>
      </c>
      <c r="C1386">
        <v>23.7</v>
      </c>
      <c r="D1386">
        <v>31.4</v>
      </c>
      <c r="E1386">
        <f>IF(D1386&gt;=1,martianeum[[#This Row],[zawartosc]] * 0.01 *martianeum[[#This Row],[masa '[kg']]],0)</f>
        <v>7.4417999999999997</v>
      </c>
    </row>
    <row r="1387" spans="1:6" x14ac:dyDescent="0.25">
      <c r="A1387" s="1">
        <v>50026</v>
      </c>
      <c r="B1387" t="s">
        <v>9</v>
      </c>
      <c r="C1387">
        <v>25.4</v>
      </c>
      <c r="D1387">
        <v>0</v>
      </c>
      <c r="E1387">
        <f>IF(D1387&gt;=1,martianeum[[#This Row],[zawartosc]] * 0.01 *martianeum[[#This Row],[masa '[kg']]],0)</f>
        <v>0</v>
      </c>
      <c r="F1387">
        <f t="shared" ref="F1387" si="196">SUM(C1381:C1387)</f>
        <v>146.19999999999999</v>
      </c>
    </row>
    <row r="1388" spans="1:6" x14ac:dyDescent="0.25">
      <c r="A1388" s="1">
        <v>50027</v>
      </c>
      <c r="B1388" t="s">
        <v>17</v>
      </c>
      <c r="C1388">
        <v>24.3</v>
      </c>
      <c r="D1388">
        <v>15.8</v>
      </c>
      <c r="E1388">
        <f>IF(D1388&gt;=1,martianeum[[#This Row],[zawartosc]] * 0.01 *martianeum[[#This Row],[masa '[kg']]],0)</f>
        <v>3.8394000000000004</v>
      </c>
    </row>
    <row r="1389" spans="1:6" x14ac:dyDescent="0.25">
      <c r="A1389" s="1">
        <v>50028</v>
      </c>
      <c r="B1389" t="s">
        <v>6</v>
      </c>
      <c r="C1389">
        <v>10.8</v>
      </c>
      <c r="D1389">
        <v>0</v>
      </c>
      <c r="E1389">
        <f>IF(D1389&gt;=1,martianeum[[#This Row],[zawartosc]] * 0.01 *martianeum[[#This Row],[masa '[kg']]],0)</f>
        <v>0</v>
      </c>
    </row>
    <row r="1390" spans="1:6" x14ac:dyDescent="0.25">
      <c r="A1390" s="1">
        <v>50029</v>
      </c>
      <c r="B1390" t="s">
        <v>9</v>
      </c>
      <c r="C1390">
        <v>19</v>
      </c>
      <c r="D1390">
        <v>9.1</v>
      </c>
      <c r="E1390">
        <f>IF(D1390&gt;=1,martianeum[[#This Row],[zawartosc]] * 0.01 *martianeum[[#This Row],[masa '[kg']]],0)</f>
        <v>1.7289999999999999</v>
      </c>
    </row>
    <row r="1391" spans="1:6" x14ac:dyDescent="0.25">
      <c r="A1391" s="1">
        <v>50030</v>
      </c>
      <c r="B1391" t="s">
        <v>14</v>
      </c>
      <c r="C1391">
        <v>27.8</v>
      </c>
      <c r="D1391">
        <v>15.2</v>
      </c>
      <c r="E1391">
        <f>IF(D1391&gt;=1,martianeum[[#This Row],[zawartosc]] * 0.01 *martianeum[[#This Row],[masa '[kg']]],0)</f>
        <v>4.2256</v>
      </c>
    </row>
    <row r="1392" spans="1:6" x14ac:dyDescent="0.25">
      <c r="A1392" s="1">
        <v>50031</v>
      </c>
      <c r="B1392" t="s">
        <v>6</v>
      </c>
      <c r="C1392">
        <v>28.8</v>
      </c>
      <c r="D1392">
        <v>0</v>
      </c>
      <c r="E1392">
        <f>IF(D1392&gt;=1,martianeum[[#This Row],[zawartosc]] * 0.01 *martianeum[[#This Row],[masa '[kg']]],0)</f>
        <v>0</v>
      </c>
    </row>
    <row r="1393" spans="1:6" x14ac:dyDescent="0.25">
      <c r="A1393" s="1">
        <v>50032</v>
      </c>
      <c r="B1393" t="s">
        <v>4</v>
      </c>
      <c r="C1393">
        <v>12.6</v>
      </c>
      <c r="D1393">
        <v>0.8</v>
      </c>
      <c r="E1393">
        <f>IF(D1393&gt;=1,martianeum[[#This Row],[zawartosc]] * 0.01 *martianeum[[#This Row],[masa '[kg']]],0)</f>
        <v>0</v>
      </c>
    </row>
    <row r="1394" spans="1:6" x14ac:dyDescent="0.25">
      <c r="A1394" s="1">
        <v>50033</v>
      </c>
      <c r="B1394" t="s">
        <v>4</v>
      </c>
      <c r="C1394">
        <v>20.7</v>
      </c>
      <c r="D1394">
        <v>0</v>
      </c>
      <c r="E1394">
        <f>IF(D1394&gt;=1,martianeum[[#This Row],[zawartosc]] * 0.01 *martianeum[[#This Row],[masa '[kg']]],0)</f>
        <v>0</v>
      </c>
      <c r="F1394">
        <f t="shared" ref="F1394" si="197">SUM(C1388:C1394)</f>
        <v>144</v>
      </c>
    </row>
    <row r="1395" spans="1:6" x14ac:dyDescent="0.25">
      <c r="A1395" s="1">
        <v>50034</v>
      </c>
      <c r="B1395" t="s">
        <v>18</v>
      </c>
      <c r="C1395">
        <v>19.399999999999999</v>
      </c>
      <c r="D1395">
        <v>19.3</v>
      </c>
      <c r="E1395">
        <f>IF(D1395&gt;=1,martianeum[[#This Row],[zawartosc]] * 0.01 *martianeum[[#This Row],[masa '[kg']]],0)</f>
        <v>3.7441999999999998</v>
      </c>
    </row>
    <row r="1396" spans="1:6" x14ac:dyDescent="0.25">
      <c r="A1396" s="1">
        <v>50035</v>
      </c>
      <c r="B1396" t="s">
        <v>9</v>
      </c>
      <c r="C1396">
        <v>24.3</v>
      </c>
      <c r="D1396">
        <v>8.8000000000000007</v>
      </c>
      <c r="E1396">
        <f>IF(D1396&gt;=1,martianeum[[#This Row],[zawartosc]] * 0.01 *martianeum[[#This Row],[masa '[kg']]],0)</f>
        <v>2.1384000000000003</v>
      </c>
    </row>
    <row r="1397" spans="1:6" x14ac:dyDescent="0.25">
      <c r="A1397" s="1">
        <v>50036</v>
      </c>
      <c r="B1397" t="s">
        <v>18</v>
      </c>
      <c r="C1397">
        <v>21.2</v>
      </c>
      <c r="D1397">
        <v>36</v>
      </c>
      <c r="E1397">
        <f>IF(D1397&gt;=1,martianeum[[#This Row],[zawartosc]] * 0.01 *martianeum[[#This Row],[masa '[kg']]],0)</f>
        <v>7.6319999999999997</v>
      </c>
    </row>
    <row r="1398" spans="1:6" x14ac:dyDescent="0.25">
      <c r="A1398" s="1">
        <v>50037</v>
      </c>
      <c r="B1398" t="s">
        <v>4</v>
      </c>
      <c r="C1398">
        <v>28.4</v>
      </c>
      <c r="D1398">
        <v>0</v>
      </c>
      <c r="E1398">
        <f>IF(D1398&gt;=1,martianeum[[#This Row],[zawartosc]] * 0.01 *martianeum[[#This Row],[masa '[kg']]],0)</f>
        <v>0</v>
      </c>
    </row>
    <row r="1399" spans="1:6" x14ac:dyDescent="0.25">
      <c r="A1399" s="1">
        <v>50038</v>
      </c>
      <c r="B1399" t="s">
        <v>26</v>
      </c>
      <c r="C1399">
        <v>17.100000000000001</v>
      </c>
      <c r="D1399">
        <v>5.4</v>
      </c>
      <c r="E1399">
        <f>IF(D1399&gt;=1,martianeum[[#This Row],[zawartosc]] * 0.01 *martianeum[[#This Row],[masa '[kg']]],0)</f>
        <v>0.92340000000000022</v>
      </c>
    </row>
    <row r="1400" spans="1:6" x14ac:dyDescent="0.25">
      <c r="A1400" s="1">
        <v>50039</v>
      </c>
      <c r="B1400" t="s">
        <v>9</v>
      </c>
      <c r="C1400">
        <v>24.4</v>
      </c>
      <c r="D1400">
        <v>23.8</v>
      </c>
      <c r="E1400">
        <f>IF(D1400&gt;=1,martianeum[[#This Row],[zawartosc]] * 0.01 *martianeum[[#This Row],[masa '[kg']]],0)</f>
        <v>5.8071999999999999</v>
      </c>
    </row>
    <row r="1401" spans="1:6" x14ac:dyDescent="0.25">
      <c r="A1401" s="1">
        <v>50040</v>
      </c>
      <c r="B1401" t="s">
        <v>17</v>
      </c>
      <c r="C1401">
        <v>18.5</v>
      </c>
      <c r="D1401">
        <v>6</v>
      </c>
      <c r="E1401">
        <f>IF(D1401&gt;=1,martianeum[[#This Row],[zawartosc]] * 0.01 *martianeum[[#This Row],[masa '[kg']]],0)</f>
        <v>1.1099999999999999</v>
      </c>
      <c r="F1401">
        <f t="shared" ref="F1401" si="198">SUM(C1395:C1401)</f>
        <v>153.30000000000001</v>
      </c>
    </row>
    <row r="1402" spans="1:6" x14ac:dyDescent="0.25">
      <c r="A1402" s="1">
        <v>50041</v>
      </c>
      <c r="B1402" t="s">
        <v>18</v>
      </c>
      <c r="C1402">
        <v>24.1</v>
      </c>
      <c r="D1402">
        <v>21.5</v>
      </c>
      <c r="E1402">
        <f>IF(D1402&gt;=1,martianeum[[#This Row],[zawartosc]] * 0.01 *martianeum[[#This Row],[masa '[kg']]],0)</f>
        <v>5.1815000000000007</v>
      </c>
    </row>
    <row r="1403" spans="1:6" x14ac:dyDescent="0.25">
      <c r="A1403" s="1">
        <v>50042</v>
      </c>
      <c r="B1403" t="s">
        <v>21</v>
      </c>
      <c r="C1403">
        <v>17.899999999999999</v>
      </c>
      <c r="D1403">
        <v>5.4</v>
      </c>
      <c r="E1403">
        <f>IF(D1403&gt;=1,martianeum[[#This Row],[zawartosc]] * 0.01 *martianeum[[#This Row],[masa '[kg']]],0)</f>
        <v>0.96660000000000001</v>
      </c>
    </row>
    <row r="1404" spans="1:6" x14ac:dyDescent="0.25">
      <c r="A1404" s="1">
        <v>50043</v>
      </c>
      <c r="B1404" t="s">
        <v>21</v>
      </c>
      <c r="C1404">
        <v>15.8</v>
      </c>
      <c r="D1404">
        <v>7.4</v>
      </c>
      <c r="E1404">
        <f>IF(D1404&gt;=1,martianeum[[#This Row],[zawartosc]] * 0.01 *martianeum[[#This Row],[masa '[kg']]],0)</f>
        <v>1.1692000000000002</v>
      </c>
    </row>
    <row r="1405" spans="1:6" x14ac:dyDescent="0.25">
      <c r="A1405" s="1">
        <v>50044</v>
      </c>
      <c r="B1405" t="s">
        <v>29</v>
      </c>
      <c r="C1405">
        <v>19.600000000000001</v>
      </c>
      <c r="D1405">
        <v>0.3</v>
      </c>
      <c r="E1405">
        <f>IF(D1405&gt;=1,martianeum[[#This Row],[zawartosc]] * 0.01 *martianeum[[#This Row],[masa '[kg']]],0)</f>
        <v>0</v>
      </c>
    </row>
    <row r="1406" spans="1:6" x14ac:dyDescent="0.25">
      <c r="A1406" s="1">
        <v>50045</v>
      </c>
      <c r="B1406" t="s">
        <v>18</v>
      </c>
      <c r="C1406">
        <v>17.7</v>
      </c>
      <c r="D1406">
        <v>0</v>
      </c>
      <c r="E1406">
        <f>IF(D1406&gt;=1,martianeum[[#This Row],[zawartosc]] * 0.01 *martianeum[[#This Row],[masa '[kg']]],0)</f>
        <v>0</v>
      </c>
    </row>
    <row r="1407" spans="1:6" x14ac:dyDescent="0.25">
      <c r="A1407" s="1">
        <v>50046</v>
      </c>
      <c r="B1407" t="s">
        <v>26</v>
      </c>
      <c r="C1407">
        <v>19.899999999999999</v>
      </c>
      <c r="D1407">
        <v>4.7</v>
      </c>
      <c r="E1407">
        <f>IF(D1407&gt;=1,martianeum[[#This Row],[zawartosc]] * 0.01 *martianeum[[#This Row],[masa '[kg']]],0)</f>
        <v>0.93529999999999991</v>
      </c>
    </row>
    <row r="1408" spans="1:6" x14ac:dyDescent="0.25">
      <c r="A1408" s="1">
        <v>50047</v>
      </c>
      <c r="B1408" t="s">
        <v>4</v>
      </c>
      <c r="C1408">
        <v>10.6</v>
      </c>
      <c r="D1408">
        <v>4.8</v>
      </c>
      <c r="E1408">
        <f>IF(D1408&gt;=1,martianeum[[#This Row],[zawartosc]] * 0.01 *martianeum[[#This Row],[masa '[kg']]],0)</f>
        <v>0.50880000000000003</v>
      </c>
      <c r="F1408">
        <f t="shared" ref="F1408" si="199">SUM(C1402:C1408)</f>
        <v>125.6</v>
      </c>
    </row>
    <row r="1409" spans="1:6" x14ac:dyDescent="0.25">
      <c r="A1409" s="1">
        <v>50048</v>
      </c>
      <c r="B1409" t="s">
        <v>18</v>
      </c>
      <c r="C1409">
        <v>25.6</v>
      </c>
      <c r="D1409">
        <v>17.399999999999999</v>
      </c>
      <c r="E1409">
        <f>IF(D1409&gt;=1,martianeum[[#This Row],[zawartosc]] * 0.01 *martianeum[[#This Row],[masa '[kg']]],0)</f>
        <v>4.4543999999999997</v>
      </c>
    </row>
    <row r="1410" spans="1:6" x14ac:dyDescent="0.25">
      <c r="A1410" s="1">
        <v>50049</v>
      </c>
      <c r="B1410" t="s">
        <v>8</v>
      </c>
      <c r="C1410">
        <v>22.4</v>
      </c>
      <c r="D1410">
        <v>7.7</v>
      </c>
      <c r="E1410">
        <f>IF(D1410&gt;=1,martianeum[[#This Row],[zawartosc]] * 0.01 *martianeum[[#This Row],[masa '[kg']]],0)</f>
        <v>1.7247999999999999</v>
      </c>
    </row>
    <row r="1411" spans="1:6" x14ac:dyDescent="0.25">
      <c r="A1411" s="1">
        <v>50050</v>
      </c>
      <c r="B1411" t="s">
        <v>7</v>
      </c>
      <c r="C1411">
        <v>14.5</v>
      </c>
      <c r="D1411">
        <v>3.8</v>
      </c>
      <c r="E1411">
        <f>IF(D1411&gt;=1,martianeum[[#This Row],[zawartosc]] * 0.01 *martianeum[[#This Row],[masa '[kg']]],0)</f>
        <v>0.55099999999999993</v>
      </c>
    </row>
    <row r="1412" spans="1:6" x14ac:dyDescent="0.25">
      <c r="A1412" s="1">
        <v>50051</v>
      </c>
      <c r="B1412" t="s">
        <v>8</v>
      </c>
      <c r="C1412">
        <v>15</v>
      </c>
      <c r="D1412">
        <v>4.2</v>
      </c>
      <c r="E1412">
        <f>IF(D1412&gt;=1,martianeum[[#This Row],[zawartosc]] * 0.01 *martianeum[[#This Row],[masa '[kg']]],0)</f>
        <v>0.63</v>
      </c>
    </row>
    <row r="1413" spans="1:6" x14ac:dyDescent="0.25">
      <c r="A1413" s="1">
        <v>50052</v>
      </c>
      <c r="B1413" t="s">
        <v>12</v>
      </c>
      <c r="C1413">
        <v>24</v>
      </c>
      <c r="D1413">
        <v>11.5</v>
      </c>
      <c r="E1413">
        <f>IF(D1413&gt;=1,martianeum[[#This Row],[zawartosc]] * 0.01 *martianeum[[#This Row],[masa '[kg']]],0)</f>
        <v>2.7600000000000002</v>
      </c>
    </row>
    <row r="1414" spans="1:6" x14ac:dyDescent="0.25">
      <c r="A1414" s="1">
        <v>50053</v>
      </c>
      <c r="B1414" t="s">
        <v>22</v>
      </c>
      <c r="C1414">
        <v>20.7</v>
      </c>
      <c r="D1414">
        <v>2.9</v>
      </c>
      <c r="E1414">
        <f>IF(D1414&gt;=1,martianeum[[#This Row],[zawartosc]] * 0.01 *martianeum[[#This Row],[masa '[kg']]],0)</f>
        <v>0.60029999999999994</v>
      </c>
    </row>
    <row r="1415" spans="1:6" x14ac:dyDescent="0.25">
      <c r="A1415" s="1">
        <v>50054</v>
      </c>
      <c r="B1415" t="s">
        <v>27</v>
      </c>
      <c r="C1415">
        <v>13.5</v>
      </c>
      <c r="D1415">
        <v>0.7</v>
      </c>
      <c r="E1415">
        <f>IF(D1415&gt;=1,martianeum[[#This Row],[zawartosc]] * 0.01 *martianeum[[#This Row],[masa '[kg']]],0)</f>
        <v>0</v>
      </c>
      <c r="F1415">
        <f t="shared" ref="F1415" si="200">SUM(C1409:C1415)</f>
        <v>135.69999999999999</v>
      </c>
    </row>
    <row r="1416" spans="1:6" x14ac:dyDescent="0.25">
      <c r="A1416" s="1">
        <v>50055</v>
      </c>
      <c r="B1416" t="s">
        <v>18</v>
      </c>
      <c r="C1416">
        <v>23.7</v>
      </c>
      <c r="D1416">
        <v>13.1</v>
      </c>
      <c r="E1416">
        <f>IF(D1416&gt;=1,martianeum[[#This Row],[zawartosc]] * 0.01 *martianeum[[#This Row],[masa '[kg']]],0)</f>
        <v>3.1047000000000002</v>
      </c>
    </row>
    <row r="1417" spans="1:6" x14ac:dyDescent="0.25">
      <c r="A1417" s="1">
        <v>50056</v>
      </c>
      <c r="B1417" t="s">
        <v>9</v>
      </c>
      <c r="C1417">
        <v>12.1</v>
      </c>
      <c r="D1417">
        <v>36</v>
      </c>
      <c r="E1417">
        <f>IF(D1417&gt;=1,martianeum[[#This Row],[zawartosc]] * 0.01 *martianeum[[#This Row],[masa '[kg']]],0)</f>
        <v>4.3559999999999999</v>
      </c>
    </row>
    <row r="1418" spans="1:6" x14ac:dyDescent="0.25">
      <c r="A1418" s="1">
        <v>50057</v>
      </c>
      <c r="B1418" t="s">
        <v>12</v>
      </c>
      <c r="C1418">
        <v>21.8</v>
      </c>
      <c r="D1418">
        <v>10.9</v>
      </c>
      <c r="E1418">
        <f>IF(D1418&gt;=1,martianeum[[#This Row],[zawartosc]] * 0.01 *martianeum[[#This Row],[masa '[kg']]],0)</f>
        <v>2.3761999999999999</v>
      </c>
    </row>
    <row r="1419" spans="1:6" x14ac:dyDescent="0.25">
      <c r="A1419" s="1">
        <v>50058</v>
      </c>
      <c r="B1419" t="s">
        <v>21</v>
      </c>
      <c r="C1419">
        <v>17.399999999999999</v>
      </c>
      <c r="D1419">
        <v>0</v>
      </c>
      <c r="E1419">
        <f>IF(D1419&gt;=1,martianeum[[#This Row],[zawartosc]] * 0.01 *martianeum[[#This Row],[masa '[kg']]],0)</f>
        <v>0</v>
      </c>
    </row>
    <row r="1420" spans="1:6" x14ac:dyDescent="0.25">
      <c r="A1420" s="1">
        <v>50059</v>
      </c>
      <c r="B1420" t="s">
        <v>5</v>
      </c>
      <c r="C1420">
        <v>15.6</v>
      </c>
      <c r="D1420">
        <v>0</v>
      </c>
      <c r="E1420">
        <f>IF(D1420&gt;=1,martianeum[[#This Row],[zawartosc]] * 0.01 *martianeum[[#This Row],[masa '[kg']]],0)</f>
        <v>0</v>
      </c>
    </row>
    <row r="1421" spans="1:6" x14ac:dyDescent="0.25">
      <c r="A1421" s="1">
        <v>50060</v>
      </c>
      <c r="B1421" t="s">
        <v>12</v>
      </c>
      <c r="C1421">
        <v>13.7</v>
      </c>
      <c r="D1421">
        <v>0</v>
      </c>
      <c r="E1421">
        <f>IF(D1421&gt;=1,martianeum[[#This Row],[zawartosc]] * 0.01 *martianeum[[#This Row],[masa '[kg']]],0)</f>
        <v>0</v>
      </c>
    </row>
    <row r="1422" spans="1:6" x14ac:dyDescent="0.25">
      <c r="A1422" s="1">
        <v>50061</v>
      </c>
      <c r="B1422" t="s">
        <v>9</v>
      </c>
      <c r="C1422">
        <v>24.7</v>
      </c>
      <c r="D1422">
        <v>16.2</v>
      </c>
      <c r="E1422">
        <f>IF(D1422&gt;=1,martianeum[[#This Row],[zawartosc]] * 0.01 *martianeum[[#This Row],[masa '[kg']]],0)</f>
        <v>4.0014000000000003</v>
      </c>
      <c r="F1422">
        <f t="shared" ref="F1422" si="201">SUM(C1416:C1422)</f>
        <v>129</v>
      </c>
    </row>
    <row r="1423" spans="1:6" x14ac:dyDescent="0.25">
      <c r="A1423" s="1">
        <v>50062</v>
      </c>
      <c r="B1423" t="s">
        <v>14</v>
      </c>
      <c r="C1423">
        <v>25.3</v>
      </c>
      <c r="D1423">
        <v>14.2</v>
      </c>
      <c r="E1423">
        <f>IF(D1423&gt;=1,martianeum[[#This Row],[zawartosc]] * 0.01 *martianeum[[#This Row],[masa '[kg']]],0)</f>
        <v>3.5925999999999996</v>
      </c>
    </row>
    <row r="1424" spans="1:6" x14ac:dyDescent="0.25">
      <c r="A1424" s="1">
        <v>50063</v>
      </c>
      <c r="B1424" t="s">
        <v>14</v>
      </c>
      <c r="C1424">
        <v>18.399999999999999</v>
      </c>
      <c r="D1424">
        <v>0</v>
      </c>
      <c r="E1424">
        <f>IF(D1424&gt;=1,martianeum[[#This Row],[zawartosc]] * 0.01 *martianeum[[#This Row],[masa '[kg']]],0)</f>
        <v>0</v>
      </c>
    </row>
    <row r="1425" spans="1:6" x14ac:dyDescent="0.25">
      <c r="A1425" s="1">
        <v>50064</v>
      </c>
      <c r="B1425" t="s">
        <v>13</v>
      </c>
      <c r="C1425">
        <v>10.199999999999999</v>
      </c>
      <c r="D1425">
        <v>0</v>
      </c>
      <c r="E1425">
        <f>IF(D1425&gt;=1,martianeum[[#This Row],[zawartosc]] * 0.01 *martianeum[[#This Row],[masa '[kg']]],0)</f>
        <v>0</v>
      </c>
    </row>
    <row r="1426" spans="1:6" x14ac:dyDescent="0.25">
      <c r="A1426" s="1">
        <v>50065</v>
      </c>
      <c r="B1426" t="s">
        <v>32</v>
      </c>
      <c r="C1426">
        <v>26.9</v>
      </c>
      <c r="D1426">
        <v>0</v>
      </c>
      <c r="E1426">
        <f>IF(D1426&gt;=1,martianeum[[#This Row],[zawartosc]] * 0.01 *martianeum[[#This Row],[masa '[kg']]],0)</f>
        <v>0</v>
      </c>
    </row>
    <row r="1427" spans="1:6" x14ac:dyDescent="0.25">
      <c r="A1427" s="1">
        <v>50066</v>
      </c>
      <c r="B1427" t="s">
        <v>7</v>
      </c>
      <c r="C1427">
        <v>28.2</v>
      </c>
      <c r="D1427">
        <v>0</v>
      </c>
      <c r="E1427">
        <f>IF(D1427&gt;=1,martianeum[[#This Row],[zawartosc]] * 0.01 *martianeum[[#This Row],[masa '[kg']]],0)</f>
        <v>0</v>
      </c>
    </row>
    <row r="1428" spans="1:6" x14ac:dyDescent="0.25">
      <c r="A1428" s="1">
        <v>50067</v>
      </c>
      <c r="B1428" t="s">
        <v>6</v>
      </c>
      <c r="C1428">
        <v>15.9</v>
      </c>
      <c r="D1428">
        <v>0</v>
      </c>
      <c r="E1428">
        <f>IF(D1428&gt;=1,martianeum[[#This Row],[zawartosc]] * 0.01 *martianeum[[#This Row],[masa '[kg']]],0)</f>
        <v>0</v>
      </c>
    </row>
    <row r="1429" spans="1:6" x14ac:dyDescent="0.25">
      <c r="A1429" s="1">
        <v>50068</v>
      </c>
      <c r="B1429" t="s">
        <v>9</v>
      </c>
      <c r="C1429">
        <v>19.7</v>
      </c>
      <c r="D1429">
        <v>0</v>
      </c>
      <c r="E1429">
        <f>IF(D1429&gt;=1,martianeum[[#This Row],[zawartosc]] * 0.01 *martianeum[[#This Row],[masa '[kg']]],0)</f>
        <v>0</v>
      </c>
      <c r="F1429">
        <f t="shared" ref="F1429" si="202">SUM(C1423:C1429)</f>
        <v>144.60000000000002</v>
      </c>
    </row>
    <row r="1430" spans="1:6" x14ac:dyDescent="0.25">
      <c r="A1430" s="1">
        <v>50069</v>
      </c>
      <c r="B1430" t="s">
        <v>6</v>
      </c>
      <c r="C1430">
        <v>16</v>
      </c>
      <c r="D1430">
        <v>0</v>
      </c>
      <c r="E1430">
        <f>IF(D1430&gt;=1,martianeum[[#This Row],[zawartosc]] * 0.01 *martianeum[[#This Row],[masa '[kg']]],0)</f>
        <v>0</v>
      </c>
    </row>
    <row r="1431" spans="1:6" x14ac:dyDescent="0.25">
      <c r="A1431" s="1">
        <v>50070</v>
      </c>
      <c r="B1431" t="s">
        <v>5</v>
      </c>
      <c r="C1431">
        <v>20.8</v>
      </c>
      <c r="D1431">
        <v>0</v>
      </c>
      <c r="E1431">
        <f>IF(D1431&gt;=1,martianeum[[#This Row],[zawartosc]] * 0.01 *martianeum[[#This Row],[masa '[kg']]],0)</f>
        <v>0</v>
      </c>
    </row>
    <row r="1432" spans="1:6" x14ac:dyDescent="0.25">
      <c r="A1432" s="1">
        <v>50071</v>
      </c>
      <c r="B1432" t="s">
        <v>22</v>
      </c>
      <c r="C1432">
        <v>12.5</v>
      </c>
      <c r="D1432">
        <v>0</v>
      </c>
      <c r="E1432">
        <f>IF(D1432&gt;=1,martianeum[[#This Row],[zawartosc]] * 0.01 *martianeum[[#This Row],[masa '[kg']]],0)</f>
        <v>0</v>
      </c>
    </row>
    <row r="1433" spans="1:6" x14ac:dyDescent="0.25">
      <c r="A1433" s="1">
        <v>50072</v>
      </c>
      <c r="B1433" t="s">
        <v>14</v>
      </c>
      <c r="C1433">
        <v>12.7</v>
      </c>
      <c r="D1433">
        <v>2.4</v>
      </c>
      <c r="E1433">
        <f>IF(D1433&gt;=1,martianeum[[#This Row],[zawartosc]] * 0.01 *martianeum[[#This Row],[masa '[kg']]],0)</f>
        <v>0.30480000000000002</v>
      </c>
    </row>
    <row r="1434" spans="1:6" x14ac:dyDescent="0.25">
      <c r="A1434" s="1">
        <v>50073</v>
      </c>
      <c r="B1434" t="s">
        <v>17</v>
      </c>
      <c r="C1434">
        <v>23.5</v>
      </c>
      <c r="D1434">
        <v>11.5</v>
      </c>
      <c r="E1434">
        <f>IF(D1434&gt;=1,martianeum[[#This Row],[zawartosc]] * 0.01 *martianeum[[#This Row],[masa '[kg']]],0)</f>
        <v>2.7025000000000001</v>
      </c>
    </row>
    <row r="1435" spans="1:6" x14ac:dyDescent="0.25">
      <c r="A1435" s="1">
        <v>50074</v>
      </c>
      <c r="B1435" t="s">
        <v>13</v>
      </c>
      <c r="C1435">
        <v>17.8</v>
      </c>
      <c r="D1435">
        <v>1.8</v>
      </c>
      <c r="E1435">
        <f>IF(D1435&gt;=1,martianeum[[#This Row],[zawartosc]] * 0.01 *martianeum[[#This Row],[masa '[kg']]],0)</f>
        <v>0.32040000000000007</v>
      </c>
    </row>
    <row r="1436" spans="1:6" x14ac:dyDescent="0.25">
      <c r="A1436" s="1">
        <v>50075</v>
      </c>
      <c r="B1436" t="s">
        <v>10</v>
      </c>
      <c r="C1436">
        <v>11</v>
      </c>
      <c r="D1436">
        <v>0</v>
      </c>
      <c r="E1436">
        <f>IF(D1436&gt;=1,martianeum[[#This Row],[zawartosc]] * 0.01 *martianeum[[#This Row],[masa '[kg']]],0)</f>
        <v>0</v>
      </c>
      <c r="F1436">
        <f t="shared" ref="F1436" si="203">SUM(C1430:C1436)</f>
        <v>114.3</v>
      </c>
    </row>
    <row r="1437" spans="1:6" x14ac:dyDescent="0.25">
      <c r="A1437" s="1">
        <v>50076</v>
      </c>
      <c r="B1437" t="s">
        <v>11</v>
      </c>
      <c r="C1437">
        <v>21.3</v>
      </c>
      <c r="D1437">
        <v>5.2</v>
      </c>
      <c r="E1437">
        <f>IF(D1437&gt;=1,martianeum[[#This Row],[zawartosc]] * 0.01 *martianeum[[#This Row],[masa '[kg']]],0)</f>
        <v>1.1076000000000001</v>
      </c>
    </row>
    <row r="1438" spans="1:6" x14ac:dyDescent="0.25">
      <c r="A1438" s="1">
        <v>50077</v>
      </c>
      <c r="B1438" t="s">
        <v>6</v>
      </c>
      <c r="C1438">
        <v>19.600000000000001</v>
      </c>
      <c r="D1438">
        <v>8.1</v>
      </c>
      <c r="E1438">
        <f>IF(D1438&gt;=1,martianeum[[#This Row],[zawartosc]] * 0.01 *martianeum[[#This Row],[masa '[kg']]],0)</f>
        <v>1.5876000000000001</v>
      </c>
    </row>
    <row r="1439" spans="1:6" x14ac:dyDescent="0.25">
      <c r="A1439" s="1">
        <v>50078</v>
      </c>
      <c r="B1439" t="s">
        <v>10</v>
      </c>
      <c r="C1439">
        <v>25.7</v>
      </c>
      <c r="D1439">
        <v>4.2</v>
      </c>
      <c r="E1439">
        <f>IF(D1439&gt;=1,martianeum[[#This Row],[zawartosc]] * 0.01 *martianeum[[#This Row],[masa '[kg']]],0)</f>
        <v>1.0794000000000001</v>
      </c>
    </row>
    <row r="1440" spans="1:6" x14ac:dyDescent="0.25">
      <c r="A1440" s="1">
        <v>50079</v>
      </c>
      <c r="B1440" t="s">
        <v>9</v>
      </c>
      <c r="C1440">
        <v>20.9</v>
      </c>
      <c r="D1440">
        <v>28.6</v>
      </c>
      <c r="E1440">
        <f>IF(D1440&gt;=1,martianeum[[#This Row],[zawartosc]] * 0.01 *martianeum[[#This Row],[masa '[kg']]],0)</f>
        <v>5.9774000000000003</v>
      </c>
    </row>
    <row r="1441" spans="1:6" x14ac:dyDescent="0.25">
      <c r="A1441" s="1">
        <v>50080</v>
      </c>
      <c r="B1441" t="s">
        <v>18</v>
      </c>
      <c r="C1441">
        <v>26.4</v>
      </c>
      <c r="D1441">
        <v>3.2</v>
      </c>
      <c r="E1441">
        <f>IF(D1441&gt;=1,martianeum[[#This Row],[zawartosc]] * 0.01 *martianeum[[#This Row],[masa '[kg']]],0)</f>
        <v>0.8448</v>
      </c>
    </row>
    <row r="1442" spans="1:6" x14ac:dyDescent="0.25">
      <c r="A1442" s="1">
        <v>50081</v>
      </c>
      <c r="B1442" t="s">
        <v>18</v>
      </c>
      <c r="C1442">
        <v>26.5</v>
      </c>
      <c r="D1442">
        <v>13.1</v>
      </c>
      <c r="E1442">
        <f>IF(D1442&gt;=1,martianeum[[#This Row],[zawartosc]] * 0.01 *martianeum[[#This Row],[masa '[kg']]],0)</f>
        <v>3.4715000000000003</v>
      </c>
    </row>
    <row r="1443" spans="1:6" x14ac:dyDescent="0.25">
      <c r="A1443" s="1">
        <v>50082</v>
      </c>
      <c r="B1443" t="s">
        <v>7</v>
      </c>
      <c r="C1443">
        <v>11.7</v>
      </c>
      <c r="D1443">
        <v>0</v>
      </c>
      <c r="E1443">
        <f>IF(D1443&gt;=1,martianeum[[#This Row],[zawartosc]] * 0.01 *martianeum[[#This Row],[masa '[kg']]],0)</f>
        <v>0</v>
      </c>
      <c r="F1443">
        <f t="shared" ref="F1443" si="204">SUM(C1437:C1443)</f>
        <v>152.1</v>
      </c>
    </row>
    <row r="1444" spans="1:6" x14ac:dyDescent="0.25">
      <c r="A1444" s="1">
        <v>50083</v>
      </c>
      <c r="B1444" t="s">
        <v>11</v>
      </c>
      <c r="C1444">
        <v>24.7</v>
      </c>
      <c r="D1444">
        <v>0.3</v>
      </c>
      <c r="E1444">
        <f>IF(D1444&gt;=1,martianeum[[#This Row],[zawartosc]] * 0.01 *martianeum[[#This Row],[masa '[kg']]],0)</f>
        <v>0</v>
      </c>
    </row>
    <row r="1445" spans="1:6" x14ac:dyDescent="0.25">
      <c r="A1445" s="1">
        <v>50084</v>
      </c>
      <c r="B1445" t="s">
        <v>8</v>
      </c>
      <c r="C1445">
        <v>24.4</v>
      </c>
      <c r="D1445">
        <v>9.6</v>
      </c>
      <c r="E1445">
        <f>IF(D1445&gt;=1,martianeum[[#This Row],[zawartosc]] * 0.01 *martianeum[[#This Row],[masa '[kg']]],0)</f>
        <v>2.3424</v>
      </c>
    </row>
    <row r="1446" spans="1:6" x14ac:dyDescent="0.25">
      <c r="A1446" s="1">
        <v>50085</v>
      </c>
      <c r="B1446" t="s">
        <v>18</v>
      </c>
      <c r="C1446">
        <v>19</v>
      </c>
      <c r="D1446">
        <v>28.8</v>
      </c>
      <c r="E1446">
        <f>IF(D1446&gt;=1,martianeum[[#This Row],[zawartosc]] * 0.01 *martianeum[[#This Row],[masa '[kg']]],0)</f>
        <v>5.4720000000000004</v>
      </c>
    </row>
    <row r="1447" spans="1:6" x14ac:dyDescent="0.25">
      <c r="A1447" s="1">
        <v>50086</v>
      </c>
      <c r="B1447" t="s">
        <v>9</v>
      </c>
      <c r="C1447">
        <v>13.7</v>
      </c>
      <c r="D1447">
        <v>19.3</v>
      </c>
      <c r="E1447">
        <f>IF(D1447&gt;=1,martianeum[[#This Row],[zawartosc]] * 0.01 *martianeum[[#This Row],[masa '[kg']]],0)</f>
        <v>2.6440999999999999</v>
      </c>
    </row>
    <row r="1448" spans="1:6" x14ac:dyDescent="0.25">
      <c r="A1448" s="1">
        <v>50087</v>
      </c>
      <c r="B1448" t="s">
        <v>9</v>
      </c>
      <c r="C1448">
        <v>28.9</v>
      </c>
      <c r="D1448">
        <v>20.399999999999999</v>
      </c>
      <c r="E1448">
        <f>IF(D1448&gt;=1,martianeum[[#This Row],[zawartosc]] * 0.01 *martianeum[[#This Row],[masa '[kg']]],0)</f>
        <v>5.8955999999999991</v>
      </c>
    </row>
    <row r="1449" spans="1:6" x14ac:dyDescent="0.25">
      <c r="A1449" s="1">
        <v>50088</v>
      </c>
      <c r="B1449" t="s">
        <v>19</v>
      </c>
      <c r="C1449">
        <v>25.2</v>
      </c>
      <c r="D1449">
        <v>0</v>
      </c>
      <c r="E1449">
        <f>IF(D1449&gt;=1,martianeum[[#This Row],[zawartosc]] * 0.01 *martianeum[[#This Row],[masa '[kg']]],0)</f>
        <v>0</v>
      </c>
    </row>
    <row r="1450" spans="1:6" x14ac:dyDescent="0.25">
      <c r="A1450" s="1">
        <v>50089</v>
      </c>
      <c r="B1450" t="s">
        <v>10</v>
      </c>
      <c r="C1450">
        <v>15.4</v>
      </c>
      <c r="D1450">
        <v>9</v>
      </c>
      <c r="E1450">
        <f>IF(D1450&gt;=1,martianeum[[#This Row],[zawartosc]] * 0.01 *martianeum[[#This Row],[masa '[kg']]],0)</f>
        <v>1.3859999999999999</v>
      </c>
      <c r="F1450">
        <f t="shared" ref="F1450" si="205">SUM(C1444:C1450)</f>
        <v>151.29999999999998</v>
      </c>
    </row>
    <row r="1451" spans="1:6" x14ac:dyDescent="0.25">
      <c r="A1451" s="1">
        <v>50090</v>
      </c>
      <c r="B1451" t="s">
        <v>15</v>
      </c>
      <c r="C1451">
        <v>24.1</v>
      </c>
      <c r="D1451">
        <v>0.3</v>
      </c>
      <c r="E1451">
        <f>IF(D1451&gt;=1,martianeum[[#This Row],[zawartosc]] * 0.01 *martianeum[[#This Row],[masa '[kg']]],0)</f>
        <v>0</v>
      </c>
    </row>
    <row r="1452" spans="1:6" x14ac:dyDescent="0.25">
      <c r="A1452" s="1">
        <v>50091</v>
      </c>
      <c r="B1452" t="s">
        <v>21</v>
      </c>
      <c r="C1452">
        <v>27.7</v>
      </c>
      <c r="D1452">
        <v>0</v>
      </c>
      <c r="E1452">
        <f>IF(D1452&gt;=1,martianeum[[#This Row],[zawartosc]] * 0.01 *martianeum[[#This Row],[masa '[kg']]],0)</f>
        <v>0</v>
      </c>
    </row>
    <row r="1453" spans="1:6" x14ac:dyDescent="0.25">
      <c r="A1453" s="1">
        <v>50092</v>
      </c>
      <c r="B1453" t="s">
        <v>10</v>
      </c>
      <c r="C1453">
        <v>19.600000000000001</v>
      </c>
      <c r="D1453">
        <v>21.1</v>
      </c>
      <c r="E1453">
        <f>IF(D1453&gt;=1,martianeum[[#This Row],[zawartosc]] * 0.01 *martianeum[[#This Row],[masa '[kg']]],0)</f>
        <v>4.1356000000000011</v>
      </c>
    </row>
    <row r="1454" spans="1:6" x14ac:dyDescent="0.25">
      <c r="A1454" s="1">
        <v>50093</v>
      </c>
      <c r="B1454" t="s">
        <v>22</v>
      </c>
      <c r="C1454">
        <v>29</v>
      </c>
      <c r="D1454">
        <v>3.2</v>
      </c>
      <c r="E1454">
        <f>IF(D1454&gt;=1,martianeum[[#This Row],[zawartosc]] * 0.01 *martianeum[[#This Row],[masa '[kg']]],0)</f>
        <v>0.92800000000000005</v>
      </c>
    </row>
    <row r="1455" spans="1:6" x14ac:dyDescent="0.25">
      <c r="A1455" s="1">
        <v>50094</v>
      </c>
      <c r="B1455" t="s">
        <v>30</v>
      </c>
      <c r="C1455">
        <v>10.3</v>
      </c>
      <c r="D1455">
        <v>0.7</v>
      </c>
      <c r="E1455">
        <f>IF(D1455&gt;=1,martianeum[[#This Row],[zawartosc]] * 0.01 *martianeum[[#This Row],[masa '[kg']]],0)</f>
        <v>0</v>
      </c>
    </row>
    <row r="1456" spans="1:6" x14ac:dyDescent="0.25">
      <c r="A1456" s="1">
        <v>50095</v>
      </c>
      <c r="B1456" t="s">
        <v>9</v>
      </c>
      <c r="C1456">
        <v>11</v>
      </c>
      <c r="D1456">
        <v>40.200000000000003</v>
      </c>
      <c r="E1456">
        <f>IF(D1456&gt;=1,martianeum[[#This Row],[zawartosc]] * 0.01 *martianeum[[#This Row],[masa '[kg']]],0)</f>
        <v>4.4220000000000006</v>
      </c>
    </row>
    <row r="1457" spans="1:6" x14ac:dyDescent="0.25">
      <c r="A1457" s="1">
        <v>50096</v>
      </c>
      <c r="B1457" t="s">
        <v>10</v>
      </c>
      <c r="C1457">
        <v>28.6</v>
      </c>
      <c r="D1457">
        <v>0.6</v>
      </c>
      <c r="E1457">
        <f>IF(D1457&gt;=1,martianeum[[#This Row],[zawartosc]] * 0.01 *martianeum[[#This Row],[masa '[kg']]],0)</f>
        <v>0</v>
      </c>
      <c r="F1457">
        <f t="shared" ref="F1457" si="206">SUM(C1451:C1457)</f>
        <v>150.30000000000001</v>
      </c>
    </row>
    <row r="1458" spans="1:6" x14ac:dyDescent="0.25">
      <c r="A1458" s="1">
        <v>50097</v>
      </c>
      <c r="B1458" t="s">
        <v>16</v>
      </c>
      <c r="C1458">
        <v>22.5</v>
      </c>
      <c r="D1458">
        <v>1</v>
      </c>
      <c r="E1458">
        <f>IF(D1458&gt;=1,martianeum[[#This Row],[zawartosc]] * 0.01 *martianeum[[#This Row],[masa '[kg']]],0)</f>
        <v>0.22500000000000001</v>
      </c>
    </row>
    <row r="1459" spans="1:6" x14ac:dyDescent="0.25">
      <c r="A1459" s="1">
        <v>50098</v>
      </c>
      <c r="B1459" t="s">
        <v>11</v>
      </c>
      <c r="C1459">
        <v>19.600000000000001</v>
      </c>
      <c r="D1459">
        <v>0</v>
      </c>
      <c r="E1459">
        <f>IF(D1459&gt;=1,martianeum[[#This Row],[zawartosc]] * 0.01 *martianeum[[#This Row],[masa '[kg']]],0)</f>
        <v>0</v>
      </c>
    </row>
    <row r="1460" spans="1:6" x14ac:dyDescent="0.25">
      <c r="A1460" s="1">
        <v>50099</v>
      </c>
      <c r="B1460" t="s">
        <v>27</v>
      </c>
      <c r="C1460">
        <v>19.899999999999999</v>
      </c>
      <c r="D1460">
        <v>0</v>
      </c>
      <c r="E1460">
        <f>IF(D1460&gt;=1,martianeum[[#This Row],[zawartosc]] * 0.01 *martianeum[[#This Row],[masa '[kg']]],0)</f>
        <v>0</v>
      </c>
    </row>
    <row r="1461" spans="1:6" x14ac:dyDescent="0.25">
      <c r="A1461" s="1">
        <v>50100</v>
      </c>
      <c r="B1461" t="s">
        <v>5</v>
      </c>
      <c r="C1461">
        <v>21.7</v>
      </c>
      <c r="D1461">
        <v>9.4</v>
      </c>
      <c r="E1461">
        <f>IF(D1461&gt;=1,martianeum[[#This Row],[zawartosc]] * 0.01 *martianeum[[#This Row],[masa '[kg']]],0)</f>
        <v>2.0398000000000001</v>
      </c>
    </row>
    <row r="1462" spans="1:6" x14ac:dyDescent="0.25">
      <c r="A1462" s="1">
        <v>50101</v>
      </c>
      <c r="B1462" t="s">
        <v>11</v>
      </c>
      <c r="C1462">
        <v>15.3</v>
      </c>
      <c r="D1462">
        <v>0</v>
      </c>
      <c r="E1462">
        <f>IF(D1462&gt;=1,martianeum[[#This Row],[zawartosc]] * 0.01 *martianeum[[#This Row],[masa '[kg']]],0)</f>
        <v>0</v>
      </c>
    </row>
    <row r="1463" spans="1:6" x14ac:dyDescent="0.25">
      <c r="A1463" s="1">
        <v>50102</v>
      </c>
      <c r="B1463" t="s">
        <v>14</v>
      </c>
      <c r="C1463">
        <v>20.9</v>
      </c>
      <c r="D1463">
        <v>12.4</v>
      </c>
      <c r="E1463">
        <f>IF(D1463&gt;=1,martianeum[[#This Row],[zawartosc]] * 0.01 *martianeum[[#This Row],[masa '[kg']]],0)</f>
        <v>2.5916000000000001</v>
      </c>
    </row>
    <row r="1464" spans="1:6" x14ac:dyDescent="0.25">
      <c r="A1464" s="1">
        <v>50103</v>
      </c>
      <c r="B1464" t="s">
        <v>4</v>
      </c>
      <c r="C1464">
        <v>17</v>
      </c>
      <c r="D1464">
        <v>0</v>
      </c>
      <c r="E1464">
        <f>IF(D1464&gt;=1,martianeum[[#This Row],[zawartosc]] * 0.01 *martianeum[[#This Row],[masa '[kg']]],0)</f>
        <v>0</v>
      </c>
      <c r="F1464">
        <f t="shared" ref="F1464" si="207">SUM(C1458:C1464)</f>
        <v>136.9</v>
      </c>
    </row>
    <row r="1465" spans="1:6" x14ac:dyDescent="0.25">
      <c r="A1465" s="1">
        <v>50104</v>
      </c>
      <c r="B1465" t="s">
        <v>5</v>
      </c>
      <c r="C1465">
        <v>25.8</v>
      </c>
      <c r="D1465">
        <v>1.4</v>
      </c>
      <c r="E1465">
        <f>IF(D1465&gt;=1,martianeum[[#This Row],[zawartosc]] * 0.01 *martianeum[[#This Row],[masa '[kg']]],0)</f>
        <v>0.36119999999999997</v>
      </c>
    </row>
    <row r="1466" spans="1:6" x14ac:dyDescent="0.25">
      <c r="A1466" s="1">
        <v>50105</v>
      </c>
      <c r="B1466" t="s">
        <v>26</v>
      </c>
      <c r="C1466">
        <v>19.100000000000001</v>
      </c>
      <c r="D1466">
        <v>2.5</v>
      </c>
      <c r="E1466">
        <f>IF(D1466&gt;=1,martianeum[[#This Row],[zawartosc]] * 0.01 *martianeum[[#This Row],[masa '[kg']]],0)</f>
        <v>0.47750000000000004</v>
      </c>
    </row>
    <row r="1467" spans="1:6" x14ac:dyDescent="0.25">
      <c r="A1467" s="1">
        <v>50106</v>
      </c>
      <c r="B1467" t="s">
        <v>12</v>
      </c>
      <c r="C1467">
        <v>24.6</v>
      </c>
      <c r="D1467">
        <v>12.5</v>
      </c>
      <c r="E1467">
        <f>IF(D1467&gt;=1,martianeum[[#This Row],[zawartosc]] * 0.01 *martianeum[[#This Row],[masa '[kg']]],0)</f>
        <v>3.0750000000000002</v>
      </c>
    </row>
    <row r="1468" spans="1:6" x14ac:dyDescent="0.25">
      <c r="A1468" s="1">
        <v>50107</v>
      </c>
      <c r="B1468" t="s">
        <v>14</v>
      </c>
      <c r="C1468">
        <v>22.6</v>
      </c>
      <c r="D1468">
        <v>15.4</v>
      </c>
      <c r="E1468">
        <f>IF(D1468&gt;=1,martianeum[[#This Row],[zawartosc]] * 0.01 *martianeum[[#This Row],[masa '[kg']]],0)</f>
        <v>3.4804000000000004</v>
      </c>
    </row>
    <row r="1469" spans="1:6" x14ac:dyDescent="0.25">
      <c r="A1469" s="1">
        <v>50108</v>
      </c>
      <c r="B1469" t="s">
        <v>8</v>
      </c>
      <c r="C1469">
        <v>18.3</v>
      </c>
      <c r="D1469">
        <v>4.7</v>
      </c>
      <c r="E1469">
        <f>IF(D1469&gt;=1,martianeum[[#This Row],[zawartosc]] * 0.01 *martianeum[[#This Row],[masa '[kg']]],0)</f>
        <v>0.86010000000000009</v>
      </c>
    </row>
    <row r="1470" spans="1:6" x14ac:dyDescent="0.25">
      <c r="A1470" s="1">
        <v>50109</v>
      </c>
      <c r="B1470" t="s">
        <v>6</v>
      </c>
      <c r="C1470">
        <v>25.5</v>
      </c>
      <c r="D1470">
        <v>0</v>
      </c>
      <c r="E1470">
        <f>IF(D1470&gt;=1,martianeum[[#This Row],[zawartosc]] * 0.01 *martianeum[[#This Row],[masa '[kg']]],0)</f>
        <v>0</v>
      </c>
    </row>
    <row r="1471" spans="1:6" x14ac:dyDescent="0.25">
      <c r="A1471" s="1">
        <v>50110</v>
      </c>
      <c r="B1471" t="s">
        <v>17</v>
      </c>
      <c r="C1471">
        <v>26.6</v>
      </c>
      <c r="D1471">
        <v>0</v>
      </c>
      <c r="E1471">
        <f>IF(D1471&gt;=1,martianeum[[#This Row],[zawartosc]] * 0.01 *martianeum[[#This Row],[masa '[kg']]],0)</f>
        <v>0</v>
      </c>
      <c r="F1471">
        <f t="shared" ref="F1471" si="208">SUM(C1465:C1471)</f>
        <v>162.49999999999997</v>
      </c>
    </row>
    <row r="1472" spans="1:6" x14ac:dyDescent="0.25">
      <c r="A1472" s="1">
        <v>50111</v>
      </c>
      <c r="B1472" t="s">
        <v>6</v>
      </c>
      <c r="C1472">
        <v>19.8</v>
      </c>
      <c r="D1472">
        <v>14.9</v>
      </c>
      <c r="E1472">
        <f>IF(D1472&gt;=1,martianeum[[#This Row],[zawartosc]] * 0.01 *martianeum[[#This Row],[masa '[kg']]],0)</f>
        <v>2.9502000000000002</v>
      </c>
    </row>
    <row r="1473" spans="1:6" x14ac:dyDescent="0.25">
      <c r="A1473" s="1">
        <v>50112</v>
      </c>
      <c r="B1473" t="s">
        <v>25</v>
      </c>
      <c r="C1473">
        <v>23.7</v>
      </c>
      <c r="D1473">
        <v>0.9</v>
      </c>
      <c r="E1473">
        <f>IF(D1473&gt;=1,martianeum[[#This Row],[zawartosc]] * 0.01 *martianeum[[#This Row],[masa '[kg']]],0)</f>
        <v>0</v>
      </c>
    </row>
    <row r="1474" spans="1:6" x14ac:dyDescent="0.25">
      <c r="A1474" s="1">
        <v>50113</v>
      </c>
      <c r="B1474" t="s">
        <v>23</v>
      </c>
      <c r="C1474">
        <v>23.5</v>
      </c>
      <c r="D1474">
        <v>1</v>
      </c>
      <c r="E1474">
        <f>IF(D1474&gt;=1,martianeum[[#This Row],[zawartosc]] * 0.01 *martianeum[[#This Row],[masa '[kg']]],0)</f>
        <v>0.23500000000000001</v>
      </c>
    </row>
    <row r="1475" spans="1:6" x14ac:dyDescent="0.25">
      <c r="A1475" s="1">
        <v>50114</v>
      </c>
      <c r="B1475" t="s">
        <v>4</v>
      </c>
      <c r="C1475">
        <v>18.8</v>
      </c>
      <c r="D1475">
        <v>7.8</v>
      </c>
      <c r="E1475">
        <f>IF(D1475&gt;=1,martianeum[[#This Row],[zawartosc]] * 0.01 *martianeum[[#This Row],[masa '[kg']]],0)</f>
        <v>1.4664000000000001</v>
      </c>
    </row>
    <row r="1476" spans="1:6" x14ac:dyDescent="0.25">
      <c r="A1476" s="1">
        <v>50115</v>
      </c>
      <c r="B1476" t="s">
        <v>5</v>
      </c>
      <c r="C1476">
        <v>18.7</v>
      </c>
      <c r="D1476">
        <v>10</v>
      </c>
      <c r="E1476">
        <f>IF(D1476&gt;=1,martianeum[[#This Row],[zawartosc]] * 0.01 *martianeum[[#This Row],[masa '[kg']]],0)</f>
        <v>1.87</v>
      </c>
    </row>
    <row r="1477" spans="1:6" x14ac:dyDescent="0.25">
      <c r="A1477" s="1">
        <v>50116</v>
      </c>
      <c r="B1477" t="s">
        <v>18</v>
      </c>
      <c r="C1477">
        <v>28.3</v>
      </c>
      <c r="D1477">
        <v>21.8</v>
      </c>
      <c r="E1477">
        <f>IF(D1477&gt;=1,martianeum[[#This Row],[zawartosc]] * 0.01 *martianeum[[#This Row],[masa '[kg']]],0)</f>
        <v>6.1694000000000004</v>
      </c>
    </row>
    <row r="1478" spans="1:6" x14ac:dyDescent="0.25">
      <c r="A1478" s="1">
        <v>50117</v>
      </c>
      <c r="B1478" t="s">
        <v>21</v>
      </c>
      <c r="C1478">
        <v>10.6</v>
      </c>
      <c r="D1478">
        <v>6.4</v>
      </c>
      <c r="E1478">
        <f>IF(D1478&gt;=1,martianeum[[#This Row],[zawartosc]] * 0.01 *martianeum[[#This Row],[masa '[kg']]],0)</f>
        <v>0.6784</v>
      </c>
      <c r="F1478">
        <f t="shared" ref="F1478" si="209">SUM(C1472:C1478)</f>
        <v>143.4</v>
      </c>
    </row>
    <row r="1479" spans="1:6" x14ac:dyDescent="0.25">
      <c r="A1479" s="1">
        <v>50118</v>
      </c>
      <c r="B1479" t="s">
        <v>9</v>
      </c>
      <c r="C1479">
        <v>26.2</v>
      </c>
      <c r="D1479">
        <v>19.2</v>
      </c>
      <c r="E1479">
        <f>IF(D1479&gt;=1,martianeum[[#This Row],[zawartosc]] * 0.01 *martianeum[[#This Row],[masa '[kg']]],0)</f>
        <v>5.0304000000000002</v>
      </c>
    </row>
    <row r="1480" spans="1:6" x14ac:dyDescent="0.25">
      <c r="A1480" s="1">
        <v>50119</v>
      </c>
      <c r="B1480" t="s">
        <v>12</v>
      </c>
      <c r="C1480">
        <v>25.3</v>
      </c>
      <c r="D1480">
        <v>8.6999999999999993</v>
      </c>
      <c r="E1480">
        <f>IF(D1480&gt;=1,martianeum[[#This Row],[zawartosc]] * 0.01 *martianeum[[#This Row],[masa '[kg']]],0)</f>
        <v>2.2010999999999998</v>
      </c>
    </row>
    <row r="1481" spans="1:6" x14ac:dyDescent="0.25">
      <c r="A1481" s="1">
        <v>50120</v>
      </c>
      <c r="B1481" t="s">
        <v>21</v>
      </c>
      <c r="C1481">
        <v>21.6</v>
      </c>
      <c r="D1481">
        <v>1</v>
      </c>
      <c r="E1481">
        <f>IF(D1481&gt;=1,martianeum[[#This Row],[zawartosc]] * 0.01 *martianeum[[#This Row],[masa '[kg']]],0)</f>
        <v>0.21600000000000003</v>
      </c>
    </row>
    <row r="1482" spans="1:6" x14ac:dyDescent="0.25">
      <c r="A1482" s="1">
        <v>50121</v>
      </c>
      <c r="B1482" t="s">
        <v>18</v>
      </c>
      <c r="C1482">
        <v>24.9</v>
      </c>
      <c r="D1482">
        <v>23.5</v>
      </c>
      <c r="E1482">
        <f>IF(D1482&gt;=1,martianeum[[#This Row],[zawartosc]] * 0.01 *martianeum[[#This Row],[masa '[kg']]],0)</f>
        <v>5.8514999999999997</v>
      </c>
    </row>
    <row r="1483" spans="1:6" x14ac:dyDescent="0.25">
      <c r="A1483" s="1">
        <v>50122</v>
      </c>
      <c r="B1483" t="s">
        <v>14</v>
      </c>
      <c r="C1483">
        <v>27.7</v>
      </c>
      <c r="D1483">
        <v>11.5</v>
      </c>
      <c r="E1483">
        <f>IF(D1483&gt;=1,martianeum[[#This Row],[zawartosc]] * 0.01 *martianeum[[#This Row],[masa '[kg']]],0)</f>
        <v>3.1855000000000002</v>
      </c>
    </row>
    <row r="1484" spans="1:6" x14ac:dyDescent="0.25">
      <c r="A1484" s="1">
        <v>50123</v>
      </c>
      <c r="B1484" t="s">
        <v>18</v>
      </c>
      <c r="C1484">
        <v>12.3</v>
      </c>
      <c r="D1484">
        <v>0</v>
      </c>
      <c r="E1484">
        <f>IF(D1484&gt;=1,martianeum[[#This Row],[zawartosc]] * 0.01 *martianeum[[#This Row],[masa '[kg']]],0)</f>
        <v>0</v>
      </c>
    </row>
    <row r="1485" spans="1:6" x14ac:dyDescent="0.25">
      <c r="A1485" s="1">
        <v>50124</v>
      </c>
      <c r="B1485" t="s">
        <v>19</v>
      </c>
      <c r="C1485">
        <v>10.199999999999999</v>
      </c>
      <c r="D1485">
        <v>0.8</v>
      </c>
      <c r="E1485">
        <f>IF(D1485&gt;=1,martianeum[[#This Row],[zawartosc]] * 0.01 *martianeum[[#This Row],[masa '[kg']]],0)</f>
        <v>0</v>
      </c>
      <c r="F1485">
        <f t="shared" ref="F1485" si="210">SUM(C1479:C1485)</f>
        <v>148.19999999999999</v>
      </c>
    </row>
    <row r="1486" spans="1:6" x14ac:dyDescent="0.25">
      <c r="A1486" s="1">
        <v>50125</v>
      </c>
      <c r="B1486" t="s">
        <v>9</v>
      </c>
      <c r="C1486">
        <v>23.1</v>
      </c>
      <c r="D1486">
        <v>0</v>
      </c>
      <c r="E1486">
        <f>IF(D1486&gt;=1,martianeum[[#This Row],[zawartosc]] * 0.01 *martianeum[[#This Row],[masa '[kg']]],0)</f>
        <v>0</v>
      </c>
    </row>
    <row r="1487" spans="1:6" x14ac:dyDescent="0.25">
      <c r="A1487" s="1">
        <v>50126</v>
      </c>
      <c r="B1487" t="s">
        <v>17</v>
      </c>
      <c r="C1487">
        <v>11.3</v>
      </c>
      <c r="D1487">
        <v>0</v>
      </c>
      <c r="E1487">
        <f>IF(D1487&gt;=1,martianeum[[#This Row],[zawartosc]] * 0.01 *martianeum[[#This Row],[masa '[kg']]],0)</f>
        <v>0</v>
      </c>
    </row>
    <row r="1488" spans="1:6" x14ac:dyDescent="0.25">
      <c r="A1488" s="1">
        <v>50127</v>
      </c>
      <c r="B1488" t="s">
        <v>18</v>
      </c>
      <c r="C1488">
        <v>29.5</v>
      </c>
      <c r="D1488">
        <v>10.4</v>
      </c>
      <c r="E1488">
        <f>IF(D1488&gt;=1,martianeum[[#This Row],[zawartosc]] * 0.01 *martianeum[[#This Row],[masa '[kg']]],0)</f>
        <v>3.0680000000000001</v>
      </c>
    </row>
    <row r="1489" spans="1:6" x14ac:dyDescent="0.25">
      <c r="A1489" s="1">
        <v>50128</v>
      </c>
      <c r="B1489" t="s">
        <v>14</v>
      </c>
      <c r="C1489">
        <v>19.7</v>
      </c>
      <c r="D1489">
        <v>0</v>
      </c>
      <c r="E1489">
        <f>IF(D1489&gt;=1,martianeum[[#This Row],[zawartosc]] * 0.01 *martianeum[[#This Row],[masa '[kg']]],0)</f>
        <v>0</v>
      </c>
    </row>
    <row r="1490" spans="1:6" x14ac:dyDescent="0.25">
      <c r="A1490" s="1">
        <v>50129</v>
      </c>
      <c r="B1490" t="s">
        <v>4</v>
      </c>
      <c r="C1490">
        <v>27.9</v>
      </c>
      <c r="D1490">
        <v>3.4</v>
      </c>
      <c r="E1490">
        <f>IF(D1490&gt;=1,martianeum[[#This Row],[zawartosc]] * 0.01 *martianeum[[#This Row],[masa '[kg']]],0)</f>
        <v>0.9486</v>
      </c>
    </row>
    <row r="1491" spans="1:6" x14ac:dyDescent="0.25">
      <c r="A1491" s="1">
        <v>50130</v>
      </c>
      <c r="B1491" t="s">
        <v>9</v>
      </c>
      <c r="C1491">
        <v>17.399999999999999</v>
      </c>
      <c r="D1491">
        <v>34.200000000000003</v>
      </c>
      <c r="E1491">
        <f>IF(D1491&gt;=1,martianeum[[#This Row],[zawartosc]] * 0.01 *martianeum[[#This Row],[masa '[kg']]],0)</f>
        <v>5.9508000000000001</v>
      </c>
    </row>
    <row r="1492" spans="1:6" x14ac:dyDescent="0.25">
      <c r="A1492" s="1">
        <v>50131</v>
      </c>
      <c r="B1492" t="s">
        <v>16</v>
      </c>
      <c r="C1492">
        <v>23</v>
      </c>
      <c r="D1492">
        <v>0</v>
      </c>
      <c r="E1492">
        <f>IF(D1492&gt;=1,martianeum[[#This Row],[zawartosc]] * 0.01 *martianeum[[#This Row],[masa '[kg']]],0)</f>
        <v>0</v>
      </c>
      <c r="F1492">
        <f t="shared" ref="F1492" si="211">SUM(C1486:C1492)</f>
        <v>151.9</v>
      </c>
    </row>
    <row r="1493" spans="1:6" x14ac:dyDescent="0.25">
      <c r="A1493" s="1">
        <v>50132</v>
      </c>
      <c r="B1493" t="s">
        <v>20</v>
      </c>
      <c r="C1493">
        <v>27.6</v>
      </c>
      <c r="D1493">
        <v>0</v>
      </c>
      <c r="E1493">
        <f>IF(D1493&gt;=1,martianeum[[#This Row],[zawartosc]] * 0.01 *martianeum[[#This Row],[masa '[kg']]],0)</f>
        <v>0</v>
      </c>
    </row>
    <row r="1494" spans="1:6" x14ac:dyDescent="0.25">
      <c r="A1494" s="1">
        <v>50133</v>
      </c>
      <c r="B1494" t="s">
        <v>21</v>
      </c>
      <c r="C1494">
        <v>11.6</v>
      </c>
      <c r="D1494">
        <v>0</v>
      </c>
      <c r="E1494">
        <f>IF(D1494&gt;=1,martianeum[[#This Row],[zawartosc]] * 0.01 *martianeum[[#This Row],[masa '[kg']]],0)</f>
        <v>0</v>
      </c>
    </row>
    <row r="1495" spans="1:6" x14ac:dyDescent="0.25">
      <c r="A1495" s="1">
        <v>50134</v>
      </c>
      <c r="B1495" t="s">
        <v>19</v>
      </c>
      <c r="C1495">
        <v>24.2</v>
      </c>
      <c r="D1495">
        <v>5</v>
      </c>
      <c r="E1495">
        <f>IF(D1495&gt;=1,martianeum[[#This Row],[zawartosc]] * 0.01 *martianeum[[#This Row],[masa '[kg']]],0)</f>
        <v>1.21</v>
      </c>
    </row>
    <row r="1496" spans="1:6" x14ac:dyDescent="0.25">
      <c r="A1496" s="1">
        <v>50135</v>
      </c>
      <c r="B1496" t="s">
        <v>5</v>
      </c>
      <c r="C1496">
        <v>13.2</v>
      </c>
      <c r="D1496">
        <v>2.2999999999999998</v>
      </c>
      <c r="E1496">
        <f>IF(D1496&gt;=1,martianeum[[#This Row],[zawartosc]] * 0.01 *martianeum[[#This Row],[masa '[kg']]],0)</f>
        <v>0.30359999999999998</v>
      </c>
    </row>
    <row r="1497" spans="1:6" x14ac:dyDescent="0.25">
      <c r="A1497" s="1">
        <v>50136</v>
      </c>
      <c r="B1497" t="s">
        <v>6</v>
      </c>
      <c r="C1497">
        <v>27</v>
      </c>
      <c r="D1497">
        <v>0.7</v>
      </c>
      <c r="E1497">
        <f>IF(D1497&gt;=1,martianeum[[#This Row],[zawartosc]] * 0.01 *martianeum[[#This Row],[masa '[kg']]],0)</f>
        <v>0</v>
      </c>
    </row>
    <row r="1498" spans="1:6" x14ac:dyDescent="0.25">
      <c r="A1498" s="1">
        <v>50137</v>
      </c>
      <c r="B1498" t="s">
        <v>5</v>
      </c>
      <c r="C1498">
        <v>23.9</v>
      </c>
      <c r="D1498">
        <v>6.2</v>
      </c>
      <c r="E1498">
        <f>IF(D1498&gt;=1,martianeum[[#This Row],[zawartosc]] * 0.01 *martianeum[[#This Row],[masa '[kg']]],0)</f>
        <v>1.4818</v>
      </c>
    </row>
    <row r="1499" spans="1:6" x14ac:dyDescent="0.25">
      <c r="A1499" s="1">
        <v>50138</v>
      </c>
      <c r="B1499" t="s">
        <v>18</v>
      </c>
      <c r="C1499">
        <v>16.8</v>
      </c>
      <c r="D1499">
        <v>17.600000000000001</v>
      </c>
      <c r="E1499">
        <f>IF(D1499&gt;=1,martianeum[[#This Row],[zawartosc]] * 0.01 *martianeum[[#This Row],[masa '[kg']]],0)</f>
        <v>2.9568000000000003</v>
      </c>
      <c r="F1499">
        <f t="shared" ref="F1499" si="212">SUM(C1493:C1499)</f>
        <v>144.30000000000001</v>
      </c>
    </row>
    <row r="1500" spans="1:6" x14ac:dyDescent="0.25">
      <c r="A1500" s="1">
        <v>50139</v>
      </c>
      <c r="B1500" t="s">
        <v>18</v>
      </c>
      <c r="C1500">
        <v>28.5</v>
      </c>
      <c r="D1500">
        <v>15.2</v>
      </c>
      <c r="E1500">
        <f>IF(D1500&gt;=1,martianeum[[#This Row],[zawartosc]] * 0.01 *martianeum[[#This Row],[masa '[kg']]],0)</f>
        <v>4.3319999999999999</v>
      </c>
    </row>
    <row r="1501" spans="1:6" x14ac:dyDescent="0.25">
      <c r="A1501" s="1">
        <v>50140</v>
      </c>
      <c r="B1501" t="s">
        <v>32</v>
      </c>
      <c r="C1501">
        <v>25.2</v>
      </c>
      <c r="D1501">
        <v>1.9</v>
      </c>
      <c r="E1501">
        <f>IF(D1501&gt;=1,martianeum[[#This Row],[zawartosc]] * 0.01 *martianeum[[#This Row],[masa '[kg']]],0)</f>
        <v>0.47879999999999995</v>
      </c>
    </row>
    <row r="1502" spans="1:6" x14ac:dyDescent="0.25">
      <c r="A1502" s="1">
        <v>50141</v>
      </c>
      <c r="B1502" t="s">
        <v>9</v>
      </c>
      <c r="C1502">
        <v>24.9</v>
      </c>
      <c r="D1502">
        <v>6.8</v>
      </c>
      <c r="E1502">
        <f>IF(D1502&gt;=1,martianeum[[#This Row],[zawartosc]] * 0.01 *martianeum[[#This Row],[masa '[kg']]],0)</f>
        <v>1.6932</v>
      </c>
    </row>
    <row r="1503" spans="1:6" x14ac:dyDescent="0.25">
      <c r="A1503" s="1">
        <v>50142</v>
      </c>
      <c r="B1503" t="s">
        <v>11</v>
      </c>
      <c r="C1503">
        <v>14.7</v>
      </c>
      <c r="D1503">
        <v>5.7</v>
      </c>
      <c r="E1503">
        <f>IF(D1503&gt;=1,martianeum[[#This Row],[zawartosc]] * 0.01 *martianeum[[#This Row],[masa '[kg']]],0)</f>
        <v>0.83789999999999998</v>
      </c>
    </row>
    <row r="1504" spans="1:6" x14ac:dyDescent="0.25">
      <c r="A1504" s="1">
        <v>50143</v>
      </c>
      <c r="B1504" t="s">
        <v>9</v>
      </c>
      <c r="C1504">
        <v>12.2</v>
      </c>
      <c r="D1504">
        <v>14.1</v>
      </c>
      <c r="E1504">
        <f>IF(D1504&gt;=1,martianeum[[#This Row],[zawartosc]] * 0.01 *martianeum[[#This Row],[masa '[kg']]],0)</f>
        <v>1.7201999999999997</v>
      </c>
    </row>
    <row r="1505" spans="1:6" x14ac:dyDescent="0.25">
      <c r="A1505" s="1">
        <v>50144</v>
      </c>
      <c r="B1505" t="s">
        <v>8</v>
      </c>
      <c r="C1505">
        <v>24.2</v>
      </c>
      <c r="D1505">
        <v>8</v>
      </c>
      <c r="E1505">
        <f>IF(D1505&gt;=1,martianeum[[#This Row],[zawartosc]] * 0.01 *martianeum[[#This Row],[masa '[kg']]],0)</f>
        <v>1.9359999999999999</v>
      </c>
    </row>
    <row r="1506" spans="1:6" x14ac:dyDescent="0.25">
      <c r="A1506" s="1">
        <v>50145</v>
      </c>
      <c r="B1506" t="s">
        <v>21</v>
      </c>
      <c r="C1506">
        <v>28.7</v>
      </c>
      <c r="D1506">
        <v>0</v>
      </c>
      <c r="E1506">
        <f>IF(D1506&gt;=1,martianeum[[#This Row],[zawartosc]] * 0.01 *martianeum[[#This Row],[masa '[kg']]],0)</f>
        <v>0</v>
      </c>
      <c r="F1506">
        <f t="shared" ref="F1506" si="213">SUM(C1500:C1506)</f>
        <v>158.39999999999998</v>
      </c>
    </row>
    <row r="1507" spans="1:6" x14ac:dyDescent="0.25">
      <c r="A1507" s="1">
        <v>50146</v>
      </c>
      <c r="B1507" t="s">
        <v>9</v>
      </c>
      <c r="C1507">
        <v>28.5</v>
      </c>
      <c r="D1507">
        <v>0</v>
      </c>
      <c r="E1507">
        <f>IF(D1507&gt;=1,martianeum[[#This Row],[zawartosc]] * 0.01 *martianeum[[#This Row],[masa '[kg']]],0)</f>
        <v>0</v>
      </c>
    </row>
    <row r="1508" spans="1:6" x14ac:dyDescent="0.25">
      <c r="A1508" s="1">
        <v>50147</v>
      </c>
      <c r="B1508" t="s">
        <v>6</v>
      </c>
      <c r="C1508">
        <v>29.3</v>
      </c>
      <c r="D1508">
        <v>23.3</v>
      </c>
      <c r="E1508">
        <f>IF(D1508&gt;=1,martianeum[[#This Row],[zawartosc]] * 0.01 *martianeum[[#This Row],[masa '[kg']]],0)</f>
        <v>6.8269000000000002</v>
      </c>
    </row>
    <row r="1509" spans="1:6" x14ac:dyDescent="0.25">
      <c r="A1509" s="1">
        <v>50148</v>
      </c>
      <c r="B1509" t="s">
        <v>9</v>
      </c>
      <c r="C1509">
        <v>13.3</v>
      </c>
      <c r="D1509">
        <v>4.9000000000000004</v>
      </c>
      <c r="E1509">
        <f>IF(D1509&gt;=1,martianeum[[#This Row],[zawartosc]] * 0.01 *martianeum[[#This Row],[masa '[kg']]],0)</f>
        <v>0.65170000000000006</v>
      </c>
    </row>
    <row r="1510" spans="1:6" x14ac:dyDescent="0.25">
      <c r="A1510" s="1">
        <v>50149</v>
      </c>
      <c r="B1510" t="s">
        <v>9</v>
      </c>
      <c r="C1510">
        <v>22.6</v>
      </c>
      <c r="D1510">
        <v>0.7</v>
      </c>
      <c r="E1510">
        <f>IF(D1510&gt;=1,martianeum[[#This Row],[zawartosc]] * 0.01 *martianeum[[#This Row],[masa '[kg']]],0)</f>
        <v>0</v>
      </c>
    </row>
    <row r="1511" spans="1:6" x14ac:dyDescent="0.25">
      <c r="A1511" s="1">
        <v>50150</v>
      </c>
      <c r="B1511" t="s">
        <v>19</v>
      </c>
      <c r="C1511">
        <v>19.3</v>
      </c>
      <c r="D1511">
        <v>3</v>
      </c>
      <c r="E1511">
        <f>IF(D1511&gt;=1,martianeum[[#This Row],[zawartosc]] * 0.01 *martianeum[[#This Row],[masa '[kg']]],0)</f>
        <v>0.57899999999999996</v>
      </c>
    </row>
    <row r="1512" spans="1:6" x14ac:dyDescent="0.25">
      <c r="A1512" s="1">
        <v>50151</v>
      </c>
      <c r="B1512" t="s">
        <v>7</v>
      </c>
      <c r="C1512">
        <v>17.899999999999999</v>
      </c>
      <c r="D1512">
        <v>5.0999999999999996</v>
      </c>
      <c r="E1512">
        <f>IF(D1512&gt;=1,martianeum[[#This Row],[zawartosc]] * 0.01 *martianeum[[#This Row],[masa '[kg']]],0)</f>
        <v>0.91289999999999982</v>
      </c>
    </row>
    <row r="1513" spans="1:6" x14ac:dyDescent="0.25">
      <c r="A1513" s="1">
        <v>50152</v>
      </c>
      <c r="B1513" t="s">
        <v>19</v>
      </c>
      <c r="C1513">
        <v>16.7</v>
      </c>
      <c r="D1513">
        <v>0.3</v>
      </c>
      <c r="E1513">
        <f>IF(D1513&gt;=1,martianeum[[#This Row],[zawartosc]] * 0.01 *martianeum[[#This Row],[masa '[kg']]],0)</f>
        <v>0</v>
      </c>
      <c r="F1513">
        <f t="shared" ref="F1513" si="214">SUM(C1507:C1513)</f>
        <v>147.59999999999997</v>
      </c>
    </row>
    <row r="1514" spans="1:6" x14ac:dyDescent="0.25">
      <c r="A1514" s="1">
        <v>50153</v>
      </c>
      <c r="B1514" t="s">
        <v>19</v>
      </c>
      <c r="C1514">
        <v>22</v>
      </c>
      <c r="D1514">
        <v>0</v>
      </c>
      <c r="E1514">
        <f>IF(D1514&gt;=1,martianeum[[#This Row],[zawartosc]] * 0.01 *martianeum[[#This Row],[masa '[kg']]],0)</f>
        <v>0</v>
      </c>
    </row>
    <row r="1515" spans="1:6" x14ac:dyDescent="0.25">
      <c r="A1515" s="1">
        <v>50154</v>
      </c>
      <c r="B1515" t="s">
        <v>8</v>
      </c>
      <c r="C1515">
        <v>21.2</v>
      </c>
      <c r="D1515">
        <v>5.9</v>
      </c>
      <c r="E1515">
        <f>IF(D1515&gt;=1,martianeum[[#This Row],[zawartosc]] * 0.01 *martianeum[[#This Row],[masa '[kg']]],0)</f>
        <v>1.2508000000000001</v>
      </c>
    </row>
    <row r="1516" spans="1:6" x14ac:dyDescent="0.25">
      <c r="A1516" s="1">
        <v>50155</v>
      </c>
      <c r="B1516" t="s">
        <v>10</v>
      </c>
      <c r="C1516">
        <v>20.6</v>
      </c>
      <c r="D1516">
        <v>4.5999999999999996</v>
      </c>
      <c r="E1516">
        <f>IF(D1516&gt;=1,martianeum[[#This Row],[zawartosc]] * 0.01 *martianeum[[#This Row],[masa '[kg']]],0)</f>
        <v>0.9476</v>
      </c>
    </row>
    <row r="1517" spans="1:6" x14ac:dyDescent="0.25">
      <c r="A1517" s="1">
        <v>50156</v>
      </c>
      <c r="B1517" t="s">
        <v>18</v>
      </c>
      <c r="C1517">
        <v>29.4</v>
      </c>
      <c r="D1517">
        <v>9.1999999999999993</v>
      </c>
      <c r="E1517">
        <f>IF(D1517&gt;=1,martianeum[[#This Row],[zawartosc]] * 0.01 *martianeum[[#This Row],[masa '[kg']]],0)</f>
        <v>2.7047999999999996</v>
      </c>
    </row>
    <row r="1518" spans="1:6" x14ac:dyDescent="0.25">
      <c r="A1518" s="1">
        <v>50157</v>
      </c>
      <c r="B1518" t="s">
        <v>6</v>
      </c>
      <c r="C1518">
        <v>21.3</v>
      </c>
      <c r="D1518">
        <v>0</v>
      </c>
      <c r="E1518">
        <f>IF(D1518&gt;=1,martianeum[[#This Row],[zawartosc]] * 0.01 *martianeum[[#This Row],[masa '[kg']]],0)</f>
        <v>0</v>
      </c>
    </row>
    <row r="1519" spans="1:6" x14ac:dyDescent="0.25">
      <c r="A1519" s="1">
        <v>50158</v>
      </c>
      <c r="B1519" t="s">
        <v>8</v>
      </c>
      <c r="C1519">
        <v>20.100000000000001</v>
      </c>
      <c r="D1519">
        <v>2.2000000000000002</v>
      </c>
      <c r="E1519">
        <f>IF(D1519&gt;=1,martianeum[[#This Row],[zawartosc]] * 0.01 *martianeum[[#This Row],[masa '[kg']]],0)</f>
        <v>0.44220000000000009</v>
      </c>
    </row>
    <row r="1520" spans="1:6" x14ac:dyDescent="0.25">
      <c r="A1520" s="1">
        <v>50159</v>
      </c>
      <c r="B1520" t="s">
        <v>9</v>
      </c>
      <c r="C1520">
        <v>12.7</v>
      </c>
      <c r="D1520">
        <v>5.6</v>
      </c>
      <c r="E1520">
        <f>IF(D1520&gt;=1,martianeum[[#This Row],[zawartosc]] * 0.01 *martianeum[[#This Row],[masa '[kg']]],0)</f>
        <v>0.71119999999999983</v>
      </c>
      <c r="F1520">
        <f t="shared" ref="F1520" si="215">SUM(C1514:C1520)</f>
        <v>147.29999999999998</v>
      </c>
    </row>
    <row r="1521" spans="1:6" x14ac:dyDescent="0.25">
      <c r="A1521" s="1">
        <v>50160</v>
      </c>
      <c r="B1521" t="s">
        <v>10</v>
      </c>
      <c r="C1521">
        <v>28.9</v>
      </c>
      <c r="D1521">
        <v>0</v>
      </c>
      <c r="E1521">
        <f>IF(D1521&gt;=1,martianeum[[#This Row],[zawartosc]] * 0.01 *martianeum[[#This Row],[masa '[kg']]],0)</f>
        <v>0</v>
      </c>
    </row>
    <row r="1522" spans="1:6" x14ac:dyDescent="0.25">
      <c r="A1522" s="1">
        <v>50161</v>
      </c>
      <c r="B1522" t="s">
        <v>18</v>
      </c>
      <c r="C1522">
        <v>24.4</v>
      </c>
      <c r="D1522">
        <v>28.7</v>
      </c>
      <c r="E1522">
        <f>IF(D1522&gt;=1,martianeum[[#This Row],[zawartosc]] * 0.01 *martianeum[[#This Row],[masa '[kg']]],0)</f>
        <v>7.0027999999999988</v>
      </c>
    </row>
    <row r="1523" spans="1:6" x14ac:dyDescent="0.25">
      <c r="A1523" s="1">
        <v>50162</v>
      </c>
      <c r="B1523" t="s">
        <v>9</v>
      </c>
      <c r="C1523">
        <v>10.8</v>
      </c>
      <c r="D1523">
        <v>0</v>
      </c>
      <c r="E1523">
        <f>IF(D1523&gt;=1,martianeum[[#This Row],[zawartosc]] * 0.01 *martianeum[[#This Row],[masa '[kg']]],0)</f>
        <v>0</v>
      </c>
    </row>
    <row r="1524" spans="1:6" x14ac:dyDescent="0.25">
      <c r="A1524" s="1">
        <v>50163</v>
      </c>
      <c r="B1524" t="s">
        <v>9</v>
      </c>
      <c r="C1524">
        <v>18.399999999999999</v>
      </c>
      <c r="D1524">
        <v>0</v>
      </c>
      <c r="E1524">
        <f>IF(D1524&gt;=1,martianeum[[#This Row],[zawartosc]] * 0.01 *martianeum[[#This Row],[masa '[kg']]],0)</f>
        <v>0</v>
      </c>
    </row>
    <row r="1525" spans="1:6" x14ac:dyDescent="0.25">
      <c r="A1525" s="1">
        <v>50164</v>
      </c>
      <c r="B1525" t="s">
        <v>18</v>
      </c>
      <c r="C1525">
        <v>23.3</v>
      </c>
      <c r="D1525">
        <v>10.7</v>
      </c>
      <c r="E1525">
        <f>IF(D1525&gt;=1,martianeum[[#This Row],[zawartosc]] * 0.01 *martianeum[[#This Row],[masa '[kg']]],0)</f>
        <v>2.4931000000000001</v>
      </c>
    </row>
    <row r="1526" spans="1:6" x14ac:dyDescent="0.25">
      <c r="A1526" s="1">
        <v>50165</v>
      </c>
      <c r="B1526" t="s">
        <v>14</v>
      </c>
      <c r="C1526">
        <v>27.9</v>
      </c>
      <c r="D1526">
        <v>14.8</v>
      </c>
      <c r="E1526">
        <f>IF(D1526&gt;=1,martianeum[[#This Row],[zawartosc]] * 0.01 *martianeum[[#This Row],[masa '[kg']]],0)</f>
        <v>4.1292</v>
      </c>
    </row>
    <row r="1527" spans="1:6" x14ac:dyDescent="0.25">
      <c r="A1527" s="1">
        <v>50166</v>
      </c>
      <c r="B1527" t="s">
        <v>11</v>
      </c>
      <c r="C1527">
        <v>24.7</v>
      </c>
      <c r="D1527">
        <v>9</v>
      </c>
      <c r="E1527">
        <f>IF(D1527&gt;=1,martianeum[[#This Row],[zawartosc]] * 0.01 *martianeum[[#This Row],[masa '[kg']]],0)</f>
        <v>2.2229999999999999</v>
      </c>
      <c r="F1527">
        <f t="shared" ref="F1527" si="216">SUM(C1521:C1527)</f>
        <v>158.39999999999998</v>
      </c>
    </row>
    <row r="1528" spans="1:6" x14ac:dyDescent="0.25">
      <c r="A1528" s="1">
        <v>50167</v>
      </c>
      <c r="B1528" t="s">
        <v>18</v>
      </c>
      <c r="C1528">
        <v>14.3</v>
      </c>
      <c r="D1528">
        <v>22</v>
      </c>
      <c r="E1528">
        <f>IF(D1528&gt;=1,martianeum[[#This Row],[zawartosc]] * 0.01 *martianeum[[#This Row],[masa '[kg']]],0)</f>
        <v>3.1460000000000004</v>
      </c>
    </row>
    <row r="1529" spans="1:6" x14ac:dyDescent="0.25">
      <c r="A1529" s="1">
        <v>50168</v>
      </c>
      <c r="B1529" t="s">
        <v>32</v>
      </c>
      <c r="C1529">
        <v>26.2</v>
      </c>
      <c r="D1529">
        <v>2</v>
      </c>
      <c r="E1529">
        <f>IF(D1529&gt;=1,martianeum[[#This Row],[zawartosc]] * 0.01 *martianeum[[#This Row],[masa '[kg']]],0)</f>
        <v>0.52400000000000002</v>
      </c>
    </row>
    <row r="1530" spans="1:6" x14ac:dyDescent="0.25">
      <c r="A1530" s="1">
        <v>50169</v>
      </c>
      <c r="B1530" t="s">
        <v>15</v>
      </c>
      <c r="C1530">
        <v>21.5</v>
      </c>
      <c r="D1530">
        <v>0.4</v>
      </c>
      <c r="E1530">
        <f>IF(D1530&gt;=1,martianeum[[#This Row],[zawartosc]] * 0.01 *martianeum[[#This Row],[masa '[kg']]],0)</f>
        <v>0</v>
      </c>
    </row>
    <row r="1531" spans="1:6" x14ac:dyDescent="0.25">
      <c r="A1531" s="1">
        <v>50170</v>
      </c>
      <c r="B1531" t="s">
        <v>9</v>
      </c>
      <c r="C1531">
        <v>12.8</v>
      </c>
      <c r="D1531">
        <v>0</v>
      </c>
      <c r="E1531">
        <f>IF(D1531&gt;=1,martianeum[[#This Row],[zawartosc]] * 0.01 *martianeum[[#This Row],[masa '[kg']]],0)</f>
        <v>0</v>
      </c>
    </row>
    <row r="1532" spans="1:6" x14ac:dyDescent="0.25">
      <c r="A1532" s="1">
        <v>50171</v>
      </c>
      <c r="B1532" t="s">
        <v>8</v>
      </c>
      <c r="C1532">
        <v>24.6</v>
      </c>
      <c r="D1532">
        <v>3</v>
      </c>
      <c r="E1532">
        <f>IF(D1532&gt;=1,martianeum[[#This Row],[zawartosc]] * 0.01 *martianeum[[#This Row],[masa '[kg']]],0)</f>
        <v>0.73799999999999999</v>
      </c>
    </row>
    <row r="1533" spans="1:6" x14ac:dyDescent="0.25">
      <c r="A1533" s="1">
        <v>50172</v>
      </c>
      <c r="B1533" t="s">
        <v>26</v>
      </c>
      <c r="C1533">
        <v>22.6</v>
      </c>
      <c r="D1533">
        <v>1.6</v>
      </c>
      <c r="E1533">
        <f>IF(D1533&gt;=1,martianeum[[#This Row],[zawartosc]] * 0.01 *martianeum[[#This Row],[masa '[kg']]],0)</f>
        <v>0.36160000000000003</v>
      </c>
    </row>
    <row r="1534" spans="1:6" x14ac:dyDescent="0.25">
      <c r="A1534" s="1">
        <v>50173</v>
      </c>
      <c r="B1534" t="s">
        <v>12</v>
      </c>
      <c r="C1534">
        <v>27.3</v>
      </c>
      <c r="D1534">
        <v>9.3000000000000007</v>
      </c>
      <c r="E1534">
        <f>IF(D1534&gt;=1,martianeum[[#This Row],[zawartosc]] * 0.01 *martianeum[[#This Row],[masa '[kg']]],0)</f>
        <v>2.5389000000000004</v>
      </c>
      <c r="F1534">
        <f t="shared" ref="F1534" si="217">SUM(C1528:C1534)</f>
        <v>149.30000000000001</v>
      </c>
    </row>
    <row r="1535" spans="1:6" x14ac:dyDescent="0.25">
      <c r="A1535" s="1">
        <v>50174</v>
      </c>
      <c r="B1535" t="s">
        <v>18</v>
      </c>
      <c r="C1535">
        <v>10.8</v>
      </c>
      <c r="D1535">
        <v>22.2</v>
      </c>
      <c r="E1535">
        <f>IF(D1535&gt;=1,martianeum[[#This Row],[zawartosc]] * 0.01 *martianeum[[#This Row],[masa '[kg']]],0)</f>
        <v>2.3976000000000002</v>
      </c>
    </row>
    <row r="1536" spans="1:6" x14ac:dyDescent="0.25">
      <c r="A1536" s="1">
        <v>50175</v>
      </c>
      <c r="B1536" t="s">
        <v>16</v>
      </c>
      <c r="C1536">
        <v>12</v>
      </c>
      <c r="D1536">
        <v>5.3</v>
      </c>
      <c r="E1536">
        <f>IF(D1536&gt;=1,martianeum[[#This Row],[zawartosc]] * 0.01 *martianeum[[#This Row],[masa '[kg']]],0)</f>
        <v>0.63600000000000001</v>
      </c>
    </row>
    <row r="1537" spans="1:6" x14ac:dyDescent="0.25">
      <c r="A1537" s="1">
        <v>50176</v>
      </c>
      <c r="B1537" t="s">
        <v>6</v>
      </c>
      <c r="C1537">
        <v>28.1</v>
      </c>
      <c r="D1537">
        <v>0</v>
      </c>
      <c r="E1537">
        <f>IF(D1537&gt;=1,martianeum[[#This Row],[zawartosc]] * 0.01 *martianeum[[#This Row],[masa '[kg']]],0)</f>
        <v>0</v>
      </c>
    </row>
    <row r="1538" spans="1:6" x14ac:dyDescent="0.25">
      <c r="A1538" s="1">
        <v>50177</v>
      </c>
      <c r="B1538" t="s">
        <v>10</v>
      </c>
      <c r="C1538">
        <v>16.100000000000001</v>
      </c>
      <c r="D1538">
        <v>9</v>
      </c>
      <c r="E1538">
        <f>IF(D1538&gt;=1,martianeum[[#This Row],[zawartosc]] * 0.01 *martianeum[[#This Row],[masa '[kg']]],0)</f>
        <v>1.4490000000000001</v>
      </c>
    </row>
    <row r="1539" spans="1:6" x14ac:dyDescent="0.25">
      <c r="A1539" s="1">
        <v>50178</v>
      </c>
      <c r="B1539" t="s">
        <v>17</v>
      </c>
      <c r="C1539">
        <v>29</v>
      </c>
      <c r="D1539">
        <v>1.6</v>
      </c>
      <c r="E1539">
        <f>IF(D1539&gt;=1,martianeum[[#This Row],[zawartosc]] * 0.01 *martianeum[[#This Row],[masa '[kg']]],0)</f>
        <v>0.46400000000000002</v>
      </c>
    </row>
    <row r="1540" spans="1:6" x14ac:dyDescent="0.25">
      <c r="A1540" s="1">
        <v>50179</v>
      </c>
      <c r="B1540" t="s">
        <v>10</v>
      </c>
      <c r="C1540">
        <v>23.6</v>
      </c>
      <c r="D1540">
        <v>16</v>
      </c>
      <c r="E1540">
        <f>IF(D1540&gt;=1,martianeum[[#This Row],[zawartosc]] * 0.01 *martianeum[[#This Row],[masa '[kg']]],0)</f>
        <v>3.7760000000000002</v>
      </c>
    </row>
    <row r="1541" spans="1:6" x14ac:dyDescent="0.25">
      <c r="A1541" s="1">
        <v>50180</v>
      </c>
      <c r="B1541" t="s">
        <v>18</v>
      </c>
      <c r="C1541">
        <v>11.6</v>
      </c>
      <c r="D1541">
        <v>32</v>
      </c>
      <c r="E1541">
        <f>IF(D1541&gt;=1,martianeum[[#This Row],[zawartosc]] * 0.01 *martianeum[[#This Row],[masa '[kg']]],0)</f>
        <v>3.7119999999999997</v>
      </c>
      <c r="F1541">
        <f t="shared" ref="F1541" si="218">SUM(C1535:C1541)</f>
        <v>131.19999999999999</v>
      </c>
    </row>
    <row r="1542" spans="1:6" x14ac:dyDescent="0.25">
      <c r="A1542" s="1">
        <v>50181</v>
      </c>
      <c r="B1542" t="s">
        <v>14</v>
      </c>
      <c r="C1542">
        <v>15.9</v>
      </c>
      <c r="D1542">
        <v>5.5</v>
      </c>
      <c r="E1542">
        <f>IF(D1542&gt;=1,martianeum[[#This Row],[zawartosc]] * 0.01 *martianeum[[#This Row],[masa '[kg']]],0)</f>
        <v>0.87450000000000006</v>
      </c>
    </row>
    <row r="1543" spans="1:6" x14ac:dyDescent="0.25">
      <c r="A1543" s="1">
        <v>50182</v>
      </c>
      <c r="B1543" t="s">
        <v>25</v>
      </c>
      <c r="C1543">
        <v>28.3</v>
      </c>
      <c r="D1543">
        <v>6</v>
      </c>
      <c r="E1543">
        <f>IF(D1543&gt;=1,martianeum[[#This Row],[zawartosc]] * 0.01 *martianeum[[#This Row],[masa '[kg']]],0)</f>
        <v>1.698</v>
      </c>
    </row>
    <row r="1544" spans="1:6" x14ac:dyDescent="0.25">
      <c r="A1544" s="1">
        <v>50183</v>
      </c>
      <c r="B1544" t="s">
        <v>11</v>
      </c>
      <c r="C1544">
        <v>16.600000000000001</v>
      </c>
      <c r="D1544">
        <v>11.3</v>
      </c>
      <c r="E1544">
        <f>IF(D1544&gt;=1,martianeum[[#This Row],[zawartosc]] * 0.01 *martianeum[[#This Row],[masa '[kg']]],0)</f>
        <v>1.8758000000000001</v>
      </c>
    </row>
    <row r="1545" spans="1:6" x14ac:dyDescent="0.25">
      <c r="A1545" s="1">
        <v>50184</v>
      </c>
      <c r="B1545" t="s">
        <v>21</v>
      </c>
      <c r="C1545">
        <v>25.2</v>
      </c>
      <c r="D1545">
        <v>6.4</v>
      </c>
      <c r="E1545">
        <f>IF(D1545&gt;=1,martianeum[[#This Row],[zawartosc]] * 0.01 *martianeum[[#This Row],[masa '[kg']]],0)</f>
        <v>1.6128</v>
      </c>
    </row>
    <row r="1546" spans="1:6" x14ac:dyDescent="0.25">
      <c r="A1546" s="1">
        <v>50185</v>
      </c>
      <c r="B1546" t="s">
        <v>9</v>
      </c>
      <c r="C1546">
        <v>29.5</v>
      </c>
      <c r="D1546">
        <v>26.1</v>
      </c>
      <c r="E1546">
        <f>IF(D1546&gt;=1,martianeum[[#This Row],[zawartosc]] * 0.01 *martianeum[[#This Row],[masa '[kg']]],0)</f>
        <v>7.6995000000000005</v>
      </c>
    </row>
    <row r="1547" spans="1:6" x14ac:dyDescent="0.25">
      <c r="A1547" s="1">
        <v>50186</v>
      </c>
      <c r="B1547" t="s">
        <v>17</v>
      </c>
      <c r="C1547">
        <v>13.3</v>
      </c>
      <c r="D1547">
        <v>7.3</v>
      </c>
      <c r="E1547">
        <f>IF(D1547&gt;=1,martianeum[[#This Row],[zawartosc]] * 0.01 *martianeum[[#This Row],[masa '[kg']]],0)</f>
        <v>0.97089999999999999</v>
      </c>
    </row>
    <row r="1548" spans="1:6" x14ac:dyDescent="0.25">
      <c r="A1548" s="1">
        <v>50187</v>
      </c>
      <c r="B1548" t="s">
        <v>16</v>
      </c>
      <c r="C1548">
        <v>19.5</v>
      </c>
      <c r="D1548">
        <v>3.4</v>
      </c>
      <c r="E1548">
        <f>IF(D1548&gt;=1,martianeum[[#This Row],[zawartosc]] * 0.01 *martianeum[[#This Row],[masa '[kg']]],0)</f>
        <v>0.66300000000000003</v>
      </c>
      <c r="F1548">
        <f t="shared" ref="F1548" si="219">SUM(C1542:C1548)</f>
        <v>148.30000000000001</v>
      </c>
    </row>
    <row r="1549" spans="1:6" x14ac:dyDescent="0.25">
      <c r="A1549" s="1">
        <v>50188</v>
      </c>
      <c r="B1549" t="s">
        <v>24</v>
      </c>
      <c r="C1549">
        <v>11.9</v>
      </c>
      <c r="D1549">
        <v>1.7</v>
      </c>
      <c r="E1549">
        <f>IF(D1549&gt;=1,martianeum[[#This Row],[zawartosc]] * 0.01 *martianeum[[#This Row],[masa '[kg']]],0)</f>
        <v>0.20230000000000001</v>
      </c>
    </row>
    <row r="1550" spans="1:6" x14ac:dyDescent="0.25">
      <c r="A1550" s="1">
        <v>50189</v>
      </c>
      <c r="B1550" t="s">
        <v>13</v>
      </c>
      <c r="C1550">
        <v>29.5</v>
      </c>
      <c r="D1550">
        <v>5.0999999999999996</v>
      </c>
      <c r="E1550">
        <f>IF(D1550&gt;=1,martianeum[[#This Row],[zawartosc]] * 0.01 *martianeum[[#This Row],[masa '[kg']]],0)</f>
        <v>1.5044999999999999</v>
      </c>
    </row>
    <row r="1551" spans="1:6" x14ac:dyDescent="0.25">
      <c r="A1551" s="1">
        <v>50190</v>
      </c>
      <c r="B1551" t="s">
        <v>18</v>
      </c>
      <c r="C1551">
        <v>25.1</v>
      </c>
      <c r="D1551">
        <v>0</v>
      </c>
      <c r="E1551">
        <f>IF(D1551&gt;=1,martianeum[[#This Row],[zawartosc]] * 0.01 *martianeum[[#This Row],[masa '[kg']]],0)</f>
        <v>0</v>
      </c>
    </row>
    <row r="1552" spans="1:6" x14ac:dyDescent="0.25">
      <c r="A1552" s="1">
        <v>50191</v>
      </c>
      <c r="B1552" t="s">
        <v>21</v>
      </c>
      <c r="C1552">
        <v>15.1</v>
      </c>
      <c r="D1552">
        <v>0</v>
      </c>
      <c r="E1552">
        <f>IF(D1552&gt;=1,martianeum[[#This Row],[zawartosc]] * 0.01 *martianeum[[#This Row],[masa '[kg']]],0)</f>
        <v>0</v>
      </c>
    </row>
    <row r="1553" spans="1:6" x14ac:dyDescent="0.25">
      <c r="A1553" s="1">
        <v>50192</v>
      </c>
      <c r="B1553" t="s">
        <v>32</v>
      </c>
      <c r="C1553">
        <v>19.7</v>
      </c>
      <c r="D1553">
        <v>1.7</v>
      </c>
      <c r="E1553">
        <f>IF(D1553&gt;=1,martianeum[[#This Row],[zawartosc]] * 0.01 *martianeum[[#This Row],[masa '[kg']]],0)</f>
        <v>0.33490000000000003</v>
      </c>
    </row>
    <row r="1554" spans="1:6" x14ac:dyDescent="0.25">
      <c r="A1554" s="1">
        <v>50193</v>
      </c>
      <c r="B1554" t="s">
        <v>18</v>
      </c>
      <c r="C1554">
        <v>25.6</v>
      </c>
      <c r="D1554">
        <v>0</v>
      </c>
      <c r="E1554">
        <f>IF(D1554&gt;=1,martianeum[[#This Row],[zawartosc]] * 0.01 *martianeum[[#This Row],[masa '[kg']]],0)</f>
        <v>0</v>
      </c>
    </row>
    <row r="1555" spans="1:6" x14ac:dyDescent="0.25">
      <c r="A1555" s="1">
        <v>50194</v>
      </c>
      <c r="B1555" t="s">
        <v>10</v>
      </c>
      <c r="C1555">
        <v>25</v>
      </c>
      <c r="D1555">
        <v>18.8</v>
      </c>
      <c r="E1555">
        <f>IF(D1555&gt;=1,martianeum[[#This Row],[zawartosc]] * 0.01 *martianeum[[#This Row],[masa '[kg']]],0)</f>
        <v>4.7</v>
      </c>
      <c r="F1555">
        <f t="shared" ref="F1555" si="220">SUM(C1549:C1555)</f>
        <v>151.9</v>
      </c>
    </row>
    <row r="1556" spans="1:6" x14ac:dyDescent="0.25">
      <c r="A1556" s="1">
        <v>50195</v>
      </c>
      <c r="B1556" t="s">
        <v>22</v>
      </c>
      <c r="C1556">
        <v>11.5</v>
      </c>
      <c r="D1556">
        <v>0</v>
      </c>
      <c r="E1556">
        <f>IF(D1556&gt;=1,martianeum[[#This Row],[zawartosc]] * 0.01 *martianeum[[#This Row],[masa '[kg']]],0)</f>
        <v>0</v>
      </c>
    </row>
    <row r="1557" spans="1:6" x14ac:dyDescent="0.25">
      <c r="A1557" s="1">
        <v>50196</v>
      </c>
      <c r="B1557" t="s">
        <v>9</v>
      </c>
      <c r="C1557">
        <v>23.8</v>
      </c>
      <c r="D1557">
        <v>7.3</v>
      </c>
      <c r="E1557">
        <f>IF(D1557&gt;=1,martianeum[[#This Row],[zawartosc]] * 0.01 *martianeum[[#This Row],[masa '[kg']]],0)</f>
        <v>1.7373999999999998</v>
      </c>
    </row>
    <row r="1558" spans="1:6" x14ac:dyDescent="0.25">
      <c r="A1558" s="1">
        <v>50197</v>
      </c>
      <c r="B1558" t="s">
        <v>18</v>
      </c>
      <c r="C1558">
        <v>25.3</v>
      </c>
      <c r="D1558">
        <v>14.7</v>
      </c>
      <c r="E1558">
        <f>IF(D1558&gt;=1,martianeum[[#This Row],[zawartosc]] * 0.01 *martianeum[[#This Row],[masa '[kg']]],0)</f>
        <v>3.7191000000000001</v>
      </c>
    </row>
    <row r="1559" spans="1:6" x14ac:dyDescent="0.25">
      <c r="A1559" s="1">
        <v>50198</v>
      </c>
      <c r="B1559" t="s">
        <v>9</v>
      </c>
      <c r="C1559">
        <v>22.6</v>
      </c>
      <c r="D1559">
        <v>42.2</v>
      </c>
      <c r="E1559">
        <f>IF(D1559&gt;=1,martianeum[[#This Row],[zawartosc]] * 0.01 *martianeum[[#This Row],[masa '[kg']]],0)</f>
        <v>9.5372000000000021</v>
      </c>
    </row>
    <row r="1560" spans="1:6" x14ac:dyDescent="0.25">
      <c r="A1560" s="1">
        <v>50199</v>
      </c>
      <c r="B1560" t="s">
        <v>13</v>
      </c>
      <c r="C1560">
        <v>18.100000000000001</v>
      </c>
      <c r="D1560">
        <v>3.3</v>
      </c>
      <c r="E1560">
        <f>IF(D1560&gt;=1,martianeum[[#This Row],[zawartosc]] * 0.01 *martianeum[[#This Row],[masa '[kg']]],0)</f>
        <v>0.59730000000000005</v>
      </c>
    </row>
    <row r="1561" spans="1:6" x14ac:dyDescent="0.25">
      <c r="A1561" s="1">
        <v>50200</v>
      </c>
      <c r="B1561" t="s">
        <v>18</v>
      </c>
      <c r="C1561">
        <v>17.8</v>
      </c>
      <c r="D1561">
        <v>0</v>
      </c>
      <c r="E1561">
        <f>IF(D1561&gt;=1,martianeum[[#This Row],[zawartosc]] * 0.01 *martianeum[[#This Row],[masa '[kg']]],0)</f>
        <v>0</v>
      </c>
    </row>
    <row r="1562" spans="1:6" x14ac:dyDescent="0.25">
      <c r="A1562" s="1">
        <v>50201</v>
      </c>
      <c r="B1562" t="s">
        <v>9</v>
      </c>
      <c r="C1562">
        <v>25.1</v>
      </c>
      <c r="D1562">
        <v>25.5</v>
      </c>
      <c r="E1562">
        <f>IF(D1562&gt;=1,martianeum[[#This Row],[zawartosc]] * 0.01 *martianeum[[#This Row],[masa '[kg']]],0)</f>
        <v>6.4005000000000001</v>
      </c>
      <c r="F1562">
        <f t="shared" ref="F1562" si="221">SUM(C1556:C1562)</f>
        <v>144.19999999999999</v>
      </c>
    </row>
    <row r="1563" spans="1:6" x14ac:dyDescent="0.25">
      <c r="A1563" s="1">
        <v>50202</v>
      </c>
      <c r="B1563" t="s">
        <v>17</v>
      </c>
      <c r="C1563">
        <v>12</v>
      </c>
      <c r="D1563">
        <v>0</v>
      </c>
      <c r="E1563">
        <f>IF(D1563&gt;=1,martianeum[[#This Row],[zawartosc]] * 0.01 *martianeum[[#This Row],[masa '[kg']]],0)</f>
        <v>0</v>
      </c>
    </row>
    <row r="1564" spans="1:6" x14ac:dyDescent="0.25">
      <c r="A1564" s="1">
        <v>50203</v>
      </c>
      <c r="B1564" t="s">
        <v>9</v>
      </c>
      <c r="C1564">
        <v>23.2</v>
      </c>
      <c r="D1564">
        <v>0</v>
      </c>
      <c r="E1564">
        <f>IF(D1564&gt;=1,martianeum[[#This Row],[zawartosc]] * 0.01 *martianeum[[#This Row],[masa '[kg']]],0)</f>
        <v>0</v>
      </c>
    </row>
    <row r="1565" spans="1:6" x14ac:dyDescent="0.25">
      <c r="A1565" s="1">
        <v>50204</v>
      </c>
      <c r="B1565" t="s">
        <v>5</v>
      </c>
      <c r="C1565">
        <v>16</v>
      </c>
      <c r="D1565">
        <v>7.9</v>
      </c>
      <c r="E1565">
        <f>IF(D1565&gt;=1,martianeum[[#This Row],[zawartosc]] * 0.01 *martianeum[[#This Row],[masa '[kg']]],0)</f>
        <v>1.264</v>
      </c>
    </row>
    <row r="1566" spans="1:6" x14ac:dyDescent="0.25">
      <c r="A1566" s="1">
        <v>50205</v>
      </c>
      <c r="B1566" t="s">
        <v>14</v>
      </c>
      <c r="C1566">
        <v>26.5</v>
      </c>
      <c r="D1566">
        <v>20.2</v>
      </c>
      <c r="E1566">
        <f>IF(D1566&gt;=1,martianeum[[#This Row],[zawartosc]] * 0.01 *martianeum[[#This Row],[masa '[kg']]],0)</f>
        <v>5.3529999999999998</v>
      </c>
    </row>
    <row r="1567" spans="1:6" x14ac:dyDescent="0.25">
      <c r="A1567" s="1">
        <v>50206</v>
      </c>
      <c r="B1567" t="s">
        <v>28</v>
      </c>
      <c r="C1567">
        <v>28.9</v>
      </c>
      <c r="D1567">
        <v>0.3</v>
      </c>
      <c r="E1567">
        <f>IF(D1567&gt;=1,martianeum[[#This Row],[zawartosc]] * 0.01 *martianeum[[#This Row],[masa '[kg']]],0)</f>
        <v>0</v>
      </c>
    </row>
    <row r="1568" spans="1:6" x14ac:dyDescent="0.25">
      <c r="A1568" s="1">
        <v>50207</v>
      </c>
      <c r="B1568" t="s">
        <v>9</v>
      </c>
      <c r="C1568">
        <v>26.6</v>
      </c>
      <c r="D1568">
        <v>0</v>
      </c>
      <c r="E1568">
        <f>IF(D1568&gt;=1,martianeum[[#This Row],[zawartosc]] * 0.01 *martianeum[[#This Row],[masa '[kg']]],0)</f>
        <v>0</v>
      </c>
    </row>
    <row r="1569" spans="1:6" x14ac:dyDescent="0.25">
      <c r="A1569" s="1">
        <v>50208</v>
      </c>
      <c r="B1569" t="s">
        <v>6</v>
      </c>
      <c r="C1569">
        <v>13.1</v>
      </c>
      <c r="D1569">
        <v>19.899999999999999</v>
      </c>
      <c r="E1569">
        <f>IF(D1569&gt;=1,martianeum[[#This Row],[zawartosc]] * 0.01 *martianeum[[#This Row],[masa '[kg']]],0)</f>
        <v>2.6068999999999996</v>
      </c>
      <c r="F1569">
        <f t="shared" ref="F1569" si="222">SUM(C1563:C1569)</f>
        <v>146.29999999999998</v>
      </c>
    </row>
    <row r="1570" spans="1:6" x14ac:dyDescent="0.25">
      <c r="A1570" s="1">
        <v>50209</v>
      </c>
      <c r="B1570" t="s">
        <v>9</v>
      </c>
      <c r="C1570">
        <v>21.5</v>
      </c>
      <c r="D1570">
        <v>33.4</v>
      </c>
      <c r="E1570">
        <f>IF(D1570&gt;=1,martianeum[[#This Row],[zawartosc]] * 0.01 *martianeum[[#This Row],[masa '[kg']]],0)</f>
        <v>7.181</v>
      </c>
    </row>
    <row r="1571" spans="1:6" x14ac:dyDescent="0.25">
      <c r="A1571" s="1">
        <v>50210</v>
      </c>
      <c r="B1571" t="s">
        <v>30</v>
      </c>
      <c r="C1571">
        <v>25.7</v>
      </c>
      <c r="D1571">
        <v>0</v>
      </c>
      <c r="E1571">
        <f>IF(D1571&gt;=1,martianeum[[#This Row],[zawartosc]] * 0.01 *martianeum[[#This Row],[masa '[kg']]],0)</f>
        <v>0</v>
      </c>
    </row>
    <row r="1572" spans="1:6" x14ac:dyDescent="0.25">
      <c r="A1572" s="1">
        <v>50211</v>
      </c>
      <c r="B1572" t="s">
        <v>18</v>
      </c>
      <c r="C1572">
        <v>11.8</v>
      </c>
      <c r="D1572">
        <v>23</v>
      </c>
      <c r="E1572">
        <f>IF(D1572&gt;=1,martianeum[[#This Row],[zawartosc]] * 0.01 *martianeum[[#This Row],[masa '[kg']]],0)</f>
        <v>2.7140000000000004</v>
      </c>
    </row>
    <row r="1573" spans="1:6" x14ac:dyDescent="0.25">
      <c r="A1573" s="1">
        <v>50212</v>
      </c>
      <c r="B1573" t="s">
        <v>24</v>
      </c>
      <c r="C1573">
        <v>12.6</v>
      </c>
      <c r="D1573">
        <v>0.7</v>
      </c>
      <c r="E1573">
        <f>IF(D1573&gt;=1,martianeum[[#This Row],[zawartosc]] * 0.01 *martianeum[[#This Row],[masa '[kg']]],0)</f>
        <v>0</v>
      </c>
    </row>
    <row r="1574" spans="1:6" x14ac:dyDescent="0.25">
      <c r="A1574" s="1">
        <v>50213</v>
      </c>
      <c r="B1574" t="s">
        <v>26</v>
      </c>
      <c r="C1574">
        <v>26.2</v>
      </c>
      <c r="D1574">
        <v>0.3</v>
      </c>
      <c r="E1574">
        <f>IF(D1574&gt;=1,martianeum[[#This Row],[zawartosc]] * 0.01 *martianeum[[#This Row],[masa '[kg']]],0)</f>
        <v>0</v>
      </c>
    </row>
    <row r="1575" spans="1:6" x14ac:dyDescent="0.25">
      <c r="A1575" s="1">
        <v>50214</v>
      </c>
      <c r="B1575" t="s">
        <v>7</v>
      </c>
      <c r="C1575">
        <v>29.1</v>
      </c>
      <c r="D1575">
        <v>5</v>
      </c>
      <c r="E1575">
        <f>IF(D1575&gt;=1,martianeum[[#This Row],[zawartosc]] * 0.01 *martianeum[[#This Row],[masa '[kg']]],0)</f>
        <v>1.4550000000000001</v>
      </c>
    </row>
    <row r="1576" spans="1:6" x14ac:dyDescent="0.25">
      <c r="A1576" s="1">
        <v>50215</v>
      </c>
      <c r="B1576" t="s">
        <v>21</v>
      </c>
      <c r="C1576">
        <v>18.899999999999999</v>
      </c>
      <c r="D1576">
        <v>7.5</v>
      </c>
      <c r="E1576">
        <f>IF(D1576&gt;=1,martianeum[[#This Row],[zawartosc]] * 0.01 *martianeum[[#This Row],[masa '[kg']]],0)</f>
        <v>1.4174999999999998</v>
      </c>
      <c r="F1576">
        <f t="shared" ref="F1576" si="223">SUM(C1570:C1576)</f>
        <v>145.80000000000001</v>
      </c>
    </row>
    <row r="1577" spans="1:6" x14ac:dyDescent="0.25">
      <c r="A1577" s="1">
        <v>50216</v>
      </c>
      <c r="B1577" t="s">
        <v>10</v>
      </c>
      <c r="C1577">
        <v>10.5</v>
      </c>
      <c r="D1577">
        <v>7.3</v>
      </c>
      <c r="E1577">
        <f>IF(D1577&gt;=1,martianeum[[#This Row],[zawartosc]] * 0.01 *martianeum[[#This Row],[masa '[kg']]],0)</f>
        <v>0.76649999999999996</v>
      </c>
    </row>
    <row r="1578" spans="1:6" x14ac:dyDescent="0.25">
      <c r="A1578" s="1">
        <v>50217</v>
      </c>
      <c r="B1578" t="s">
        <v>22</v>
      </c>
      <c r="C1578">
        <v>15.1</v>
      </c>
      <c r="D1578">
        <v>6</v>
      </c>
      <c r="E1578">
        <f>IF(D1578&gt;=1,martianeum[[#This Row],[zawartosc]] * 0.01 *martianeum[[#This Row],[masa '[kg']]],0)</f>
        <v>0.90599999999999992</v>
      </c>
    </row>
    <row r="1579" spans="1:6" x14ac:dyDescent="0.25">
      <c r="A1579" s="1">
        <v>50218</v>
      </c>
      <c r="B1579" t="s">
        <v>6</v>
      </c>
      <c r="C1579">
        <v>27.8</v>
      </c>
      <c r="D1579">
        <v>8.3000000000000007</v>
      </c>
      <c r="E1579">
        <f>IF(D1579&gt;=1,martianeum[[#This Row],[zawartosc]] * 0.01 *martianeum[[#This Row],[masa '[kg']]],0)</f>
        <v>2.3074000000000003</v>
      </c>
    </row>
    <row r="1580" spans="1:6" x14ac:dyDescent="0.25">
      <c r="A1580" s="1">
        <v>50219</v>
      </c>
      <c r="B1580" t="s">
        <v>15</v>
      </c>
      <c r="C1580">
        <v>11.7</v>
      </c>
      <c r="D1580">
        <v>0.4</v>
      </c>
      <c r="E1580">
        <f>IF(D1580&gt;=1,martianeum[[#This Row],[zawartosc]] * 0.01 *martianeum[[#This Row],[masa '[kg']]],0)</f>
        <v>0</v>
      </c>
    </row>
    <row r="1581" spans="1:6" x14ac:dyDescent="0.25">
      <c r="A1581" s="1">
        <v>50220</v>
      </c>
      <c r="B1581" t="s">
        <v>9</v>
      </c>
      <c r="C1581">
        <v>10.5</v>
      </c>
      <c r="D1581">
        <v>36.9</v>
      </c>
      <c r="E1581">
        <f>IF(D1581&gt;=1,martianeum[[#This Row],[zawartosc]] * 0.01 *martianeum[[#This Row],[masa '[kg']]],0)</f>
        <v>3.8744999999999998</v>
      </c>
    </row>
    <row r="1582" spans="1:6" x14ac:dyDescent="0.25">
      <c r="A1582" s="1">
        <v>50221</v>
      </c>
      <c r="B1582" t="s">
        <v>4</v>
      </c>
      <c r="C1582">
        <v>21</v>
      </c>
      <c r="D1582">
        <v>7.1</v>
      </c>
      <c r="E1582">
        <f>IF(D1582&gt;=1,martianeum[[#This Row],[zawartosc]] * 0.01 *martianeum[[#This Row],[masa '[kg']]],0)</f>
        <v>1.4909999999999999</v>
      </c>
    </row>
    <row r="1583" spans="1:6" x14ac:dyDescent="0.25">
      <c r="A1583" s="1">
        <v>50222</v>
      </c>
      <c r="B1583" t="s">
        <v>23</v>
      </c>
      <c r="C1583">
        <v>17.399999999999999</v>
      </c>
      <c r="D1583">
        <v>3.7</v>
      </c>
      <c r="E1583">
        <f>IF(D1583&gt;=1,martianeum[[#This Row],[zawartosc]] * 0.01 *martianeum[[#This Row],[masa '[kg']]],0)</f>
        <v>0.64380000000000004</v>
      </c>
      <c r="F1583">
        <f t="shared" ref="F1583" si="224">SUM(C1577:C1583)</f>
        <v>114</v>
      </c>
    </row>
    <row r="1584" spans="1:6" x14ac:dyDescent="0.25">
      <c r="A1584" s="1">
        <v>50223</v>
      </c>
      <c r="B1584" t="s">
        <v>17</v>
      </c>
      <c r="C1584">
        <v>21.9</v>
      </c>
      <c r="D1584">
        <v>7.6</v>
      </c>
      <c r="E1584">
        <f>IF(D1584&gt;=1,martianeum[[#This Row],[zawartosc]] * 0.01 *martianeum[[#This Row],[masa '[kg']]],0)</f>
        <v>1.6643999999999999</v>
      </c>
    </row>
    <row r="1585" spans="1:6" x14ac:dyDescent="0.25">
      <c r="A1585" s="1">
        <v>50224</v>
      </c>
      <c r="B1585" t="s">
        <v>17</v>
      </c>
      <c r="C1585">
        <v>26</v>
      </c>
      <c r="D1585">
        <v>4.5999999999999996</v>
      </c>
      <c r="E1585">
        <f>IF(D1585&gt;=1,martianeum[[#This Row],[zawartosc]] * 0.01 *martianeum[[#This Row],[masa '[kg']]],0)</f>
        <v>1.196</v>
      </c>
    </row>
    <row r="1586" spans="1:6" x14ac:dyDescent="0.25">
      <c r="A1586" s="1">
        <v>50225</v>
      </c>
      <c r="B1586" t="s">
        <v>18</v>
      </c>
      <c r="C1586">
        <v>12.2</v>
      </c>
      <c r="D1586">
        <v>19.3</v>
      </c>
      <c r="E1586">
        <f>IF(D1586&gt;=1,martianeum[[#This Row],[zawartosc]] * 0.01 *martianeum[[#This Row],[masa '[kg']]],0)</f>
        <v>2.3546</v>
      </c>
    </row>
    <row r="1587" spans="1:6" x14ac:dyDescent="0.25">
      <c r="A1587" s="1">
        <v>50226</v>
      </c>
      <c r="B1587" t="s">
        <v>7</v>
      </c>
      <c r="C1587">
        <v>22.4</v>
      </c>
      <c r="D1587">
        <v>0.3</v>
      </c>
      <c r="E1587">
        <f>IF(D1587&gt;=1,martianeum[[#This Row],[zawartosc]] * 0.01 *martianeum[[#This Row],[masa '[kg']]],0)</f>
        <v>0</v>
      </c>
    </row>
    <row r="1588" spans="1:6" x14ac:dyDescent="0.25">
      <c r="A1588" s="1">
        <v>50227</v>
      </c>
      <c r="B1588" t="s">
        <v>21</v>
      </c>
      <c r="C1588">
        <v>18.600000000000001</v>
      </c>
      <c r="D1588">
        <v>7.2</v>
      </c>
      <c r="E1588">
        <f>IF(D1588&gt;=1,martianeum[[#This Row],[zawartosc]] * 0.01 *martianeum[[#This Row],[masa '[kg']]],0)</f>
        <v>1.3392000000000002</v>
      </c>
    </row>
    <row r="1589" spans="1:6" x14ac:dyDescent="0.25">
      <c r="A1589" s="1">
        <v>50228</v>
      </c>
      <c r="B1589" t="s">
        <v>9</v>
      </c>
      <c r="C1589">
        <v>17.100000000000001</v>
      </c>
      <c r="D1589">
        <v>0</v>
      </c>
      <c r="E1589">
        <f>IF(D1589&gt;=1,martianeum[[#This Row],[zawartosc]] * 0.01 *martianeum[[#This Row],[masa '[kg']]],0)</f>
        <v>0</v>
      </c>
    </row>
    <row r="1590" spans="1:6" x14ac:dyDescent="0.25">
      <c r="A1590" s="1">
        <v>50229</v>
      </c>
      <c r="B1590" t="s">
        <v>18</v>
      </c>
      <c r="C1590">
        <v>25.1</v>
      </c>
      <c r="D1590">
        <v>24.3</v>
      </c>
      <c r="E1590">
        <f>IF(D1590&gt;=1,martianeum[[#This Row],[zawartosc]] * 0.01 *martianeum[[#This Row],[masa '[kg']]],0)</f>
        <v>6.0993000000000013</v>
      </c>
      <c r="F1590">
        <f t="shared" ref="F1590" si="225">SUM(C1584:C1590)</f>
        <v>143.29999999999998</v>
      </c>
    </row>
    <row r="1591" spans="1:6" x14ac:dyDescent="0.25">
      <c r="A1591" s="1">
        <v>50230</v>
      </c>
      <c r="B1591" t="s">
        <v>10</v>
      </c>
      <c r="C1591">
        <v>10.4</v>
      </c>
      <c r="D1591">
        <v>22.2</v>
      </c>
      <c r="E1591">
        <f>IF(D1591&gt;=1,martianeum[[#This Row],[zawartosc]] * 0.01 *martianeum[[#This Row],[masa '[kg']]],0)</f>
        <v>2.3088000000000002</v>
      </c>
    </row>
    <row r="1592" spans="1:6" x14ac:dyDescent="0.25">
      <c r="A1592" s="1">
        <v>50231</v>
      </c>
      <c r="B1592" t="s">
        <v>17</v>
      </c>
      <c r="C1592">
        <v>28.9</v>
      </c>
      <c r="D1592">
        <v>0</v>
      </c>
      <c r="E1592">
        <f>IF(D1592&gt;=1,martianeum[[#This Row],[zawartosc]] * 0.01 *martianeum[[#This Row],[masa '[kg']]],0)</f>
        <v>0</v>
      </c>
    </row>
    <row r="1593" spans="1:6" x14ac:dyDescent="0.25">
      <c r="A1593" s="1">
        <v>50232</v>
      </c>
      <c r="B1593" t="s">
        <v>30</v>
      </c>
      <c r="C1593">
        <v>24.1</v>
      </c>
      <c r="D1593">
        <v>0</v>
      </c>
      <c r="E1593">
        <f>IF(D1593&gt;=1,martianeum[[#This Row],[zawartosc]] * 0.01 *martianeum[[#This Row],[masa '[kg']]],0)</f>
        <v>0</v>
      </c>
    </row>
    <row r="1594" spans="1:6" x14ac:dyDescent="0.25">
      <c r="A1594" s="1">
        <v>50233</v>
      </c>
      <c r="B1594" t="s">
        <v>18</v>
      </c>
      <c r="C1594">
        <v>23.2</v>
      </c>
      <c r="D1594">
        <v>22.1</v>
      </c>
      <c r="E1594">
        <f>IF(D1594&gt;=1,martianeum[[#This Row],[zawartosc]] * 0.01 *martianeum[[#This Row],[masa '[kg']]],0)</f>
        <v>5.1272000000000002</v>
      </c>
    </row>
    <row r="1595" spans="1:6" x14ac:dyDescent="0.25">
      <c r="A1595" s="1">
        <v>50234</v>
      </c>
      <c r="B1595" t="s">
        <v>12</v>
      </c>
      <c r="C1595">
        <v>24.1</v>
      </c>
      <c r="D1595">
        <v>9.3000000000000007</v>
      </c>
      <c r="E1595">
        <f>IF(D1595&gt;=1,martianeum[[#This Row],[zawartosc]] * 0.01 *martianeum[[#This Row],[masa '[kg']]],0)</f>
        <v>2.2413000000000003</v>
      </c>
    </row>
    <row r="1596" spans="1:6" x14ac:dyDescent="0.25">
      <c r="A1596" s="1">
        <v>50235</v>
      </c>
      <c r="B1596" t="s">
        <v>9</v>
      </c>
      <c r="C1596">
        <v>14.6</v>
      </c>
      <c r="D1596">
        <v>0</v>
      </c>
      <c r="E1596">
        <f>IF(D1596&gt;=1,martianeum[[#This Row],[zawartosc]] * 0.01 *martianeum[[#This Row],[masa '[kg']]],0)</f>
        <v>0</v>
      </c>
    </row>
    <row r="1597" spans="1:6" x14ac:dyDescent="0.25">
      <c r="A1597" s="1">
        <v>50236</v>
      </c>
      <c r="B1597" t="s">
        <v>19</v>
      </c>
      <c r="C1597">
        <v>17.7</v>
      </c>
      <c r="D1597">
        <v>0</v>
      </c>
      <c r="E1597">
        <f>IF(D1597&gt;=1,martianeum[[#This Row],[zawartosc]] * 0.01 *martianeum[[#This Row],[masa '[kg']]],0)</f>
        <v>0</v>
      </c>
      <c r="F1597">
        <f t="shared" ref="F1597" si="226">SUM(C1591:C1597)</f>
        <v>142.99999999999997</v>
      </c>
    </row>
    <row r="1598" spans="1:6" x14ac:dyDescent="0.25">
      <c r="A1598" s="1">
        <v>50237</v>
      </c>
      <c r="B1598" t="s">
        <v>5</v>
      </c>
      <c r="C1598">
        <v>20.100000000000001</v>
      </c>
      <c r="D1598">
        <v>11.5</v>
      </c>
      <c r="E1598">
        <f>IF(D1598&gt;=1,martianeum[[#This Row],[zawartosc]] * 0.01 *martianeum[[#This Row],[masa '[kg']]],0)</f>
        <v>2.3115000000000001</v>
      </c>
    </row>
    <row r="1599" spans="1:6" x14ac:dyDescent="0.25">
      <c r="A1599" s="1">
        <v>50238</v>
      </c>
      <c r="B1599" t="s">
        <v>7</v>
      </c>
      <c r="C1599">
        <v>27.5</v>
      </c>
      <c r="D1599">
        <v>0</v>
      </c>
      <c r="E1599">
        <f>IF(D1599&gt;=1,martianeum[[#This Row],[zawartosc]] * 0.01 *martianeum[[#This Row],[masa '[kg']]],0)</f>
        <v>0</v>
      </c>
    </row>
    <row r="1600" spans="1:6" x14ac:dyDescent="0.25">
      <c r="A1600" s="1">
        <v>50239</v>
      </c>
      <c r="B1600" t="s">
        <v>6</v>
      </c>
      <c r="C1600">
        <v>10.9</v>
      </c>
      <c r="D1600">
        <v>9</v>
      </c>
      <c r="E1600">
        <f>IF(D1600&gt;=1,martianeum[[#This Row],[zawartosc]] * 0.01 *martianeum[[#This Row],[masa '[kg']]],0)</f>
        <v>0.98099999999999998</v>
      </c>
    </row>
    <row r="1601" spans="1:6" x14ac:dyDescent="0.25">
      <c r="A1601" s="1">
        <v>50240</v>
      </c>
      <c r="B1601" t="s">
        <v>23</v>
      </c>
      <c r="C1601">
        <v>27.6</v>
      </c>
      <c r="D1601">
        <v>3.2</v>
      </c>
      <c r="E1601">
        <f>IF(D1601&gt;=1,martianeum[[#This Row],[zawartosc]] * 0.01 *martianeum[[#This Row],[masa '[kg']]],0)</f>
        <v>0.8832000000000001</v>
      </c>
    </row>
    <row r="1602" spans="1:6" x14ac:dyDescent="0.25">
      <c r="A1602" s="1">
        <v>50241</v>
      </c>
      <c r="B1602" t="s">
        <v>18</v>
      </c>
      <c r="C1602">
        <v>24.5</v>
      </c>
      <c r="D1602">
        <v>15.3</v>
      </c>
      <c r="E1602">
        <f>IF(D1602&gt;=1,martianeum[[#This Row],[zawartosc]] * 0.01 *martianeum[[#This Row],[masa '[kg']]],0)</f>
        <v>3.7484999999999999</v>
      </c>
    </row>
    <row r="1603" spans="1:6" x14ac:dyDescent="0.25">
      <c r="A1603" s="1">
        <v>50242</v>
      </c>
      <c r="B1603" t="s">
        <v>16</v>
      </c>
      <c r="C1603">
        <v>10.8</v>
      </c>
      <c r="D1603">
        <v>0</v>
      </c>
      <c r="E1603">
        <f>IF(D1603&gt;=1,martianeum[[#This Row],[zawartosc]] * 0.01 *martianeum[[#This Row],[masa '[kg']]],0)</f>
        <v>0</v>
      </c>
    </row>
    <row r="1604" spans="1:6" x14ac:dyDescent="0.25">
      <c r="A1604" s="1">
        <v>50243</v>
      </c>
      <c r="B1604" t="s">
        <v>18</v>
      </c>
      <c r="C1604">
        <v>28.7</v>
      </c>
      <c r="D1604">
        <v>27.2</v>
      </c>
      <c r="E1604">
        <f>IF(D1604&gt;=1,martianeum[[#This Row],[zawartosc]] * 0.01 *martianeum[[#This Row],[masa '[kg']]],0)</f>
        <v>7.8064</v>
      </c>
      <c r="F1604">
        <f t="shared" ref="F1604" si="227">SUM(C1598:C1604)</f>
        <v>150.1</v>
      </c>
    </row>
    <row r="1605" spans="1:6" x14ac:dyDescent="0.25">
      <c r="A1605" s="1">
        <v>50244</v>
      </c>
      <c r="B1605" t="s">
        <v>8</v>
      </c>
      <c r="C1605">
        <v>21.5</v>
      </c>
      <c r="D1605">
        <v>0.6</v>
      </c>
      <c r="E1605">
        <f>IF(D1605&gt;=1,martianeum[[#This Row],[zawartosc]] * 0.01 *martianeum[[#This Row],[masa '[kg']]],0)</f>
        <v>0</v>
      </c>
    </row>
    <row r="1606" spans="1:6" x14ac:dyDescent="0.25">
      <c r="A1606" s="1">
        <v>50245</v>
      </c>
      <c r="B1606" t="s">
        <v>23</v>
      </c>
      <c r="C1606">
        <v>20.100000000000001</v>
      </c>
      <c r="D1606">
        <v>0.8</v>
      </c>
      <c r="E1606">
        <f>IF(D1606&gt;=1,martianeum[[#This Row],[zawartosc]] * 0.01 *martianeum[[#This Row],[masa '[kg']]],0)</f>
        <v>0</v>
      </c>
    </row>
    <row r="1607" spans="1:6" x14ac:dyDescent="0.25">
      <c r="A1607" s="1">
        <v>50246</v>
      </c>
      <c r="B1607" t="s">
        <v>18</v>
      </c>
      <c r="C1607">
        <v>21.3</v>
      </c>
      <c r="D1607">
        <v>14.6</v>
      </c>
      <c r="E1607">
        <f>IF(D1607&gt;=1,martianeum[[#This Row],[zawartosc]] * 0.01 *martianeum[[#This Row],[masa '[kg']]],0)</f>
        <v>3.1097999999999999</v>
      </c>
    </row>
    <row r="1608" spans="1:6" x14ac:dyDescent="0.25">
      <c r="A1608" s="1">
        <v>50247</v>
      </c>
      <c r="B1608" t="s">
        <v>26</v>
      </c>
      <c r="C1608">
        <v>20.2</v>
      </c>
      <c r="D1608">
        <v>6.9</v>
      </c>
      <c r="E1608">
        <f>IF(D1608&gt;=1,martianeum[[#This Row],[zawartosc]] * 0.01 *martianeum[[#This Row],[masa '[kg']]],0)</f>
        <v>1.3938000000000001</v>
      </c>
    </row>
    <row r="1609" spans="1:6" x14ac:dyDescent="0.25">
      <c r="A1609" s="1">
        <v>50248</v>
      </c>
      <c r="B1609" t="s">
        <v>12</v>
      </c>
      <c r="C1609">
        <v>16.8</v>
      </c>
      <c r="D1609">
        <v>7.6</v>
      </c>
      <c r="E1609">
        <f>IF(D1609&gt;=1,martianeum[[#This Row],[zawartosc]] * 0.01 *martianeum[[#This Row],[masa '[kg']]],0)</f>
        <v>1.2767999999999999</v>
      </c>
    </row>
    <row r="1610" spans="1:6" x14ac:dyDescent="0.25">
      <c r="A1610" s="1">
        <v>50249</v>
      </c>
      <c r="B1610" t="s">
        <v>5</v>
      </c>
      <c r="C1610">
        <v>26.5</v>
      </c>
      <c r="D1610">
        <v>2.5</v>
      </c>
      <c r="E1610">
        <f>IF(D1610&gt;=1,martianeum[[#This Row],[zawartosc]] * 0.01 *martianeum[[#This Row],[masa '[kg']]],0)</f>
        <v>0.66250000000000009</v>
      </c>
    </row>
    <row r="1611" spans="1:6" x14ac:dyDescent="0.25">
      <c r="A1611" s="1">
        <v>50250</v>
      </c>
      <c r="B1611" t="s">
        <v>6</v>
      </c>
      <c r="C1611">
        <v>18.899999999999999</v>
      </c>
      <c r="D1611">
        <v>0</v>
      </c>
      <c r="E1611">
        <f>IF(D1611&gt;=1,martianeum[[#This Row],[zawartosc]] * 0.01 *martianeum[[#This Row],[masa '[kg']]],0)</f>
        <v>0</v>
      </c>
      <c r="F1611">
        <f t="shared" ref="F1611" si="228">SUM(C1605:C1611)</f>
        <v>145.30000000000001</v>
      </c>
    </row>
    <row r="1612" spans="1:6" x14ac:dyDescent="0.25">
      <c r="A1612" s="1">
        <v>50251</v>
      </c>
      <c r="B1612" t="s">
        <v>19</v>
      </c>
      <c r="C1612">
        <v>22.9</v>
      </c>
      <c r="D1612">
        <v>1.2</v>
      </c>
      <c r="E1612">
        <f>IF(D1612&gt;=1,martianeum[[#This Row],[zawartosc]] * 0.01 *martianeum[[#This Row],[masa '[kg']]],0)</f>
        <v>0.27479999999999999</v>
      </c>
    </row>
    <row r="1613" spans="1:6" x14ac:dyDescent="0.25">
      <c r="A1613" s="1">
        <v>50252</v>
      </c>
      <c r="B1613" t="s">
        <v>18</v>
      </c>
      <c r="C1613">
        <v>11.3</v>
      </c>
      <c r="D1613">
        <v>32.700000000000003</v>
      </c>
      <c r="E1613">
        <f>IF(D1613&gt;=1,martianeum[[#This Row],[zawartosc]] * 0.01 *martianeum[[#This Row],[masa '[kg']]],0)</f>
        <v>3.6951000000000005</v>
      </c>
    </row>
    <row r="1614" spans="1:6" x14ac:dyDescent="0.25">
      <c r="A1614" s="1">
        <v>50253</v>
      </c>
      <c r="B1614" t="s">
        <v>12</v>
      </c>
      <c r="C1614">
        <v>13</v>
      </c>
      <c r="D1614">
        <v>1.7</v>
      </c>
      <c r="E1614">
        <f>IF(D1614&gt;=1,martianeum[[#This Row],[zawartosc]] * 0.01 *martianeum[[#This Row],[masa '[kg']]],0)</f>
        <v>0.22100000000000003</v>
      </c>
    </row>
    <row r="1615" spans="1:6" x14ac:dyDescent="0.25">
      <c r="A1615" s="1">
        <v>50254</v>
      </c>
      <c r="B1615" t="s">
        <v>7</v>
      </c>
      <c r="C1615">
        <v>18.3</v>
      </c>
      <c r="D1615">
        <v>2.5</v>
      </c>
      <c r="E1615">
        <f>IF(D1615&gt;=1,martianeum[[#This Row],[zawartosc]] * 0.01 *martianeum[[#This Row],[masa '[kg']]],0)</f>
        <v>0.45750000000000002</v>
      </c>
    </row>
    <row r="1616" spans="1:6" x14ac:dyDescent="0.25">
      <c r="A1616" s="1">
        <v>50255</v>
      </c>
      <c r="B1616" t="s">
        <v>6</v>
      </c>
      <c r="C1616">
        <v>10.199999999999999</v>
      </c>
      <c r="D1616">
        <v>14.3</v>
      </c>
      <c r="E1616">
        <f>IF(D1616&gt;=1,martianeum[[#This Row],[zawartosc]] * 0.01 *martianeum[[#This Row],[masa '[kg']]],0)</f>
        <v>1.4586000000000001</v>
      </c>
    </row>
    <row r="1617" spans="1:6" x14ac:dyDescent="0.25">
      <c r="A1617" s="1">
        <v>50256</v>
      </c>
      <c r="B1617" t="s">
        <v>10</v>
      </c>
      <c r="C1617">
        <v>14.5</v>
      </c>
      <c r="D1617">
        <v>10.5</v>
      </c>
      <c r="E1617">
        <f>IF(D1617&gt;=1,martianeum[[#This Row],[zawartosc]] * 0.01 *martianeum[[#This Row],[masa '[kg']]],0)</f>
        <v>1.5225</v>
      </c>
    </row>
    <row r="1618" spans="1:6" x14ac:dyDescent="0.25">
      <c r="A1618" s="1">
        <v>50257</v>
      </c>
      <c r="B1618" t="s">
        <v>13</v>
      </c>
      <c r="C1618">
        <v>12.3</v>
      </c>
      <c r="D1618">
        <v>7.4</v>
      </c>
      <c r="E1618">
        <f>IF(D1618&gt;=1,martianeum[[#This Row],[zawartosc]] * 0.01 *martianeum[[#This Row],[masa '[kg']]],0)</f>
        <v>0.91020000000000023</v>
      </c>
      <c r="F1618">
        <f t="shared" ref="F1618" si="229">SUM(C1612:C1618)</f>
        <v>102.5</v>
      </c>
    </row>
    <row r="1619" spans="1:6" x14ac:dyDescent="0.25">
      <c r="A1619" s="1">
        <v>50258</v>
      </c>
      <c r="B1619" t="s">
        <v>12</v>
      </c>
      <c r="C1619">
        <v>17</v>
      </c>
      <c r="D1619">
        <v>16.899999999999999</v>
      </c>
      <c r="E1619">
        <f>IF(D1619&gt;=1,martianeum[[#This Row],[zawartosc]] * 0.01 *martianeum[[#This Row],[masa '[kg']]],0)</f>
        <v>2.8729999999999998</v>
      </c>
    </row>
    <row r="1620" spans="1:6" x14ac:dyDescent="0.25">
      <c r="A1620" s="1">
        <v>50259</v>
      </c>
      <c r="B1620" t="s">
        <v>4</v>
      </c>
      <c r="C1620">
        <v>17.5</v>
      </c>
      <c r="D1620">
        <v>0</v>
      </c>
      <c r="E1620">
        <f>IF(D1620&gt;=1,martianeum[[#This Row],[zawartosc]] * 0.01 *martianeum[[#This Row],[masa '[kg']]],0)</f>
        <v>0</v>
      </c>
    </row>
    <row r="1621" spans="1:6" x14ac:dyDescent="0.25">
      <c r="A1621" s="1">
        <v>50260</v>
      </c>
      <c r="B1621" t="s">
        <v>3</v>
      </c>
      <c r="C1621">
        <v>28.4</v>
      </c>
      <c r="D1621">
        <v>0</v>
      </c>
      <c r="E1621">
        <f>IF(D1621&gt;=1,martianeum[[#This Row],[zawartosc]] * 0.01 *martianeum[[#This Row],[masa '[kg']]],0)</f>
        <v>0</v>
      </c>
    </row>
    <row r="1622" spans="1:6" x14ac:dyDescent="0.25">
      <c r="A1622" s="1">
        <v>50261</v>
      </c>
      <c r="B1622" t="s">
        <v>18</v>
      </c>
      <c r="C1622">
        <v>13.1</v>
      </c>
      <c r="D1622">
        <v>36.6</v>
      </c>
      <c r="E1622">
        <f>IF(D1622&gt;=1,martianeum[[#This Row],[zawartosc]] * 0.01 *martianeum[[#This Row],[masa '[kg']]],0)</f>
        <v>4.7946000000000009</v>
      </c>
    </row>
    <row r="1623" spans="1:6" x14ac:dyDescent="0.25">
      <c r="A1623" s="1">
        <v>50262</v>
      </c>
      <c r="B1623" t="s">
        <v>6</v>
      </c>
      <c r="C1623">
        <v>16.600000000000001</v>
      </c>
      <c r="D1623">
        <v>6.6</v>
      </c>
      <c r="E1623">
        <f>IF(D1623&gt;=1,martianeum[[#This Row],[zawartosc]] * 0.01 *martianeum[[#This Row],[masa '[kg']]],0)</f>
        <v>1.0956000000000001</v>
      </c>
    </row>
    <row r="1624" spans="1:6" x14ac:dyDescent="0.25">
      <c r="A1624" s="1">
        <v>50263</v>
      </c>
      <c r="B1624" t="s">
        <v>18</v>
      </c>
      <c r="C1624">
        <v>20.2</v>
      </c>
      <c r="D1624">
        <v>0</v>
      </c>
      <c r="E1624">
        <f>IF(D1624&gt;=1,martianeum[[#This Row],[zawartosc]] * 0.01 *martianeum[[#This Row],[masa '[kg']]],0)</f>
        <v>0</v>
      </c>
    </row>
    <row r="1625" spans="1:6" x14ac:dyDescent="0.25">
      <c r="A1625" s="1">
        <v>50264</v>
      </c>
      <c r="B1625" t="s">
        <v>6</v>
      </c>
      <c r="C1625">
        <v>26.4</v>
      </c>
      <c r="D1625">
        <v>11.9</v>
      </c>
      <c r="E1625">
        <f>IF(D1625&gt;=1,martianeum[[#This Row],[zawartosc]] * 0.01 *martianeum[[#This Row],[masa '[kg']]],0)</f>
        <v>3.1415999999999999</v>
      </c>
      <c r="F1625">
        <f t="shared" ref="F1625" si="230">SUM(C1619:C1625)</f>
        <v>139.19999999999999</v>
      </c>
    </row>
    <row r="1626" spans="1:6" x14ac:dyDescent="0.25">
      <c r="A1626" s="1">
        <v>50265</v>
      </c>
      <c r="B1626" t="s">
        <v>9</v>
      </c>
      <c r="C1626">
        <v>11.8</v>
      </c>
      <c r="D1626">
        <v>0</v>
      </c>
      <c r="E1626">
        <f>IF(D1626&gt;=1,martianeum[[#This Row],[zawartosc]] * 0.01 *martianeum[[#This Row],[masa '[kg']]],0)</f>
        <v>0</v>
      </c>
    </row>
    <row r="1627" spans="1:6" x14ac:dyDescent="0.25">
      <c r="A1627" s="1">
        <v>50266</v>
      </c>
      <c r="B1627" t="s">
        <v>16</v>
      </c>
      <c r="C1627">
        <v>19.5</v>
      </c>
      <c r="D1627">
        <v>6.4</v>
      </c>
      <c r="E1627">
        <f>IF(D1627&gt;=1,martianeum[[#This Row],[zawartosc]] * 0.01 *martianeum[[#This Row],[masa '[kg']]],0)</f>
        <v>1.248</v>
      </c>
    </row>
    <row r="1628" spans="1:6" x14ac:dyDescent="0.25">
      <c r="A1628" s="1">
        <v>50267</v>
      </c>
      <c r="B1628" t="s">
        <v>18</v>
      </c>
      <c r="C1628">
        <v>12</v>
      </c>
      <c r="D1628">
        <v>13.3</v>
      </c>
      <c r="E1628">
        <f>IF(D1628&gt;=1,martianeum[[#This Row],[zawartosc]] * 0.01 *martianeum[[#This Row],[masa '[kg']]],0)</f>
        <v>1.5960000000000001</v>
      </c>
    </row>
    <row r="1629" spans="1:6" x14ac:dyDescent="0.25">
      <c r="A1629" s="1">
        <v>50268</v>
      </c>
      <c r="B1629" t="s">
        <v>21</v>
      </c>
      <c r="C1629">
        <v>16.3</v>
      </c>
      <c r="D1629">
        <v>7.5</v>
      </c>
      <c r="E1629">
        <f>IF(D1629&gt;=1,martianeum[[#This Row],[zawartosc]] * 0.01 *martianeum[[#This Row],[masa '[kg']]],0)</f>
        <v>1.2224999999999999</v>
      </c>
    </row>
    <row r="1630" spans="1:6" x14ac:dyDescent="0.25">
      <c r="A1630" s="1">
        <v>50269</v>
      </c>
      <c r="B1630" t="s">
        <v>16</v>
      </c>
      <c r="C1630">
        <v>22.8</v>
      </c>
      <c r="D1630">
        <v>2.7</v>
      </c>
      <c r="E1630">
        <f>IF(D1630&gt;=1,martianeum[[#This Row],[zawartosc]] * 0.01 *martianeum[[#This Row],[masa '[kg']]],0)</f>
        <v>0.61560000000000004</v>
      </c>
    </row>
    <row r="1631" spans="1:6" x14ac:dyDescent="0.25">
      <c r="A1631" s="1">
        <v>50270</v>
      </c>
      <c r="B1631" t="s">
        <v>9</v>
      </c>
      <c r="C1631">
        <v>16.2</v>
      </c>
      <c r="D1631">
        <v>43.3</v>
      </c>
      <c r="E1631">
        <f>IF(D1631&gt;=1,martianeum[[#This Row],[zawartosc]] * 0.01 *martianeum[[#This Row],[masa '[kg']]],0)</f>
        <v>7.0145999999999997</v>
      </c>
    </row>
    <row r="1632" spans="1:6" x14ac:dyDescent="0.25">
      <c r="A1632" s="1">
        <v>50271</v>
      </c>
      <c r="B1632" t="s">
        <v>23</v>
      </c>
      <c r="C1632">
        <v>11.5</v>
      </c>
      <c r="D1632">
        <v>3.1</v>
      </c>
      <c r="E1632">
        <f>IF(D1632&gt;=1,martianeum[[#This Row],[zawartosc]] * 0.01 *martianeum[[#This Row],[masa '[kg']]],0)</f>
        <v>0.35650000000000004</v>
      </c>
      <c r="F1632">
        <f t="shared" ref="F1632" si="231">SUM(C1626:C1632)</f>
        <v>110.1</v>
      </c>
    </row>
    <row r="1633" spans="1:6" x14ac:dyDescent="0.25">
      <c r="A1633" s="1">
        <v>50272</v>
      </c>
      <c r="B1633" t="s">
        <v>12</v>
      </c>
      <c r="C1633">
        <v>13.5</v>
      </c>
      <c r="D1633">
        <v>0</v>
      </c>
      <c r="E1633">
        <f>IF(D1633&gt;=1,martianeum[[#This Row],[zawartosc]] * 0.01 *martianeum[[#This Row],[masa '[kg']]],0)</f>
        <v>0</v>
      </c>
    </row>
    <row r="1634" spans="1:6" x14ac:dyDescent="0.25">
      <c r="A1634" s="1">
        <v>50273</v>
      </c>
      <c r="B1634" t="s">
        <v>16</v>
      </c>
      <c r="C1634">
        <v>16.2</v>
      </c>
      <c r="D1634">
        <v>6.4</v>
      </c>
      <c r="E1634">
        <f>IF(D1634&gt;=1,martianeum[[#This Row],[zawartosc]] * 0.01 *martianeum[[#This Row],[masa '[kg']]],0)</f>
        <v>1.0367999999999999</v>
      </c>
    </row>
    <row r="1635" spans="1:6" x14ac:dyDescent="0.25">
      <c r="A1635" s="1">
        <v>50274</v>
      </c>
      <c r="B1635" t="s">
        <v>9</v>
      </c>
      <c r="C1635">
        <v>18.5</v>
      </c>
      <c r="D1635">
        <v>24.9</v>
      </c>
      <c r="E1635">
        <f>IF(D1635&gt;=1,martianeum[[#This Row],[zawartosc]] * 0.01 *martianeum[[#This Row],[masa '[kg']]],0)</f>
        <v>4.6064999999999996</v>
      </c>
    </row>
    <row r="1636" spans="1:6" x14ac:dyDescent="0.25">
      <c r="A1636" s="1">
        <v>50275</v>
      </c>
      <c r="B1636" t="s">
        <v>18</v>
      </c>
      <c r="C1636">
        <v>10.9</v>
      </c>
      <c r="D1636">
        <v>0</v>
      </c>
      <c r="E1636">
        <f>IF(D1636&gt;=1,martianeum[[#This Row],[zawartosc]] * 0.01 *martianeum[[#This Row],[masa '[kg']]],0)</f>
        <v>0</v>
      </c>
    </row>
    <row r="1637" spans="1:6" x14ac:dyDescent="0.25">
      <c r="A1637" s="1">
        <v>50276</v>
      </c>
      <c r="B1637" t="s">
        <v>16</v>
      </c>
      <c r="C1637">
        <v>23.9</v>
      </c>
      <c r="D1637">
        <v>4.5</v>
      </c>
      <c r="E1637">
        <f>IF(D1637&gt;=1,martianeum[[#This Row],[zawartosc]] * 0.01 *martianeum[[#This Row],[masa '[kg']]],0)</f>
        <v>1.0754999999999999</v>
      </c>
    </row>
    <row r="1638" spans="1:6" x14ac:dyDescent="0.25">
      <c r="A1638" s="1">
        <v>50277</v>
      </c>
      <c r="B1638" t="s">
        <v>10</v>
      </c>
      <c r="C1638">
        <v>20.2</v>
      </c>
      <c r="D1638">
        <v>0</v>
      </c>
      <c r="E1638">
        <f>IF(D1638&gt;=1,martianeum[[#This Row],[zawartosc]] * 0.01 *martianeum[[#This Row],[masa '[kg']]],0)</f>
        <v>0</v>
      </c>
    </row>
    <row r="1639" spans="1:6" x14ac:dyDescent="0.25">
      <c r="A1639" s="1">
        <v>50278</v>
      </c>
      <c r="B1639" t="s">
        <v>6</v>
      </c>
      <c r="C1639">
        <v>23.3</v>
      </c>
      <c r="D1639">
        <v>0</v>
      </c>
      <c r="E1639">
        <f>IF(D1639&gt;=1,martianeum[[#This Row],[zawartosc]] * 0.01 *martianeum[[#This Row],[masa '[kg']]],0)</f>
        <v>0</v>
      </c>
      <c r="F1639">
        <f t="shared" ref="F1639" si="232">SUM(C1633:C1639)</f>
        <v>126.5</v>
      </c>
    </row>
    <row r="1640" spans="1:6" x14ac:dyDescent="0.25">
      <c r="A1640" s="1">
        <v>50279</v>
      </c>
      <c r="B1640" t="s">
        <v>12</v>
      </c>
      <c r="C1640">
        <v>26.3</v>
      </c>
      <c r="D1640">
        <v>2.2000000000000002</v>
      </c>
      <c r="E1640">
        <f>IF(D1640&gt;=1,martianeum[[#This Row],[zawartosc]] * 0.01 *martianeum[[#This Row],[masa '[kg']]],0)</f>
        <v>0.57860000000000011</v>
      </c>
    </row>
    <row r="1641" spans="1:6" x14ac:dyDescent="0.25">
      <c r="A1641" s="1">
        <v>50280</v>
      </c>
      <c r="B1641" t="s">
        <v>12</v>
      </c>
      <c r="C1641">
        <v>20.3</v>
      </c>
      <c r="D1641">
        <v>16.600000000000001</v>
      </c>
      <c r="E1641">
        <f>IF(D1641&gt;=1,martianeum[[#This Row],[zawartosc]] * 0.01 *martianeum[[#This Row],[masa '[kg']]],0)</f>
        <v>3.3698000000000001</v>
      </c>
    </row>
    <row r="1642" spans="1:6" x14ac:dyDescent="0.25">
      <c r="A1642" s="1">
        <v>50281</v>
      </c>
      <c r="B1642" t="s">
        <v>9</v>
      </c>
      <c r="C1642">
        <v>11.1</v>
      </c>
      <c r="D1642">
        <v>38</v>
      </c>
      <c r="E1642">
        <f>IF(D1642&gt;=1,martianeum[[#This Row],[zawartosc]] * 0.01 *martianeum[[#This Row],[masa '[kg']]],0)</f>
        <v>4.218</v>
      </c>
    </row>
    <row r="1643" spans="1:6" x14ac:dyDescent="0.25">
      <c r="A1643" s="1">
        <v>50282</v>
      </c>
      <c r="B1643" t="s">
        <v>4</v>
      </c>
      <c r="C1643">
        <v>10.7</v>
      </c>
      <c r="D1643">
        <v>1.2</v>
      </c>
      <c r="E1643">
        <f>IF(D1643&gt;=1,martianeum[[#This Row],[zawartosc]] * 0.01 *martianeum[[#This Row],[masa '[kg']]],0)</f>
        <v>0.12839999999999999</v>
      </c>
    </row>
    <row r="1644" spans="1:6" x14ac:dyDescent="0.25">
      <c r="A1644" s="1">
        <v>50283</v>
      </c>
      <c r="B1644" t="s">
        <v>20</v>
      </c>
      <c r="C1644">
        <v>21.8</v>
      </c>
      <c r="D1644">
        <v>0</v>
      </c>
      <c r="E1644">
        <f>IF(D1644&gt;=1,martianeum[[#This Row],[zawartosc]] * 0.01 *martianeum[[#This Row],[masa '[kg']]],0)</f>
        <v>0</v>
      </c>
    </row>
    <row r="1645" spans="1:6" x14ac:dyDescent="0.25">
      <c r="A1645" s="1">
        <v>50284</v>
      </c>
      <c r="B1645" t="s">
        <v>6</v>
      </c>
      <c r="C1645">
        <v>29.7</v>
      </c>
      <c r="D1645">
        <v>2.5</v>
      </c>
      <c r="E1645">
        <f>IF(D1645&gt;=1,martianeum[[#This Row],[zawartosc]] * 0.01 *martianeum[[#This Row],[masa '[kg']]],0)</f>
        <v>0.74250000000000005</v>
      </c>
    </row>
    <row r="1646" spans="1:6" x14ac:dyDescent="0.25">
      <c r="A1646" s="1">
        <v>50285</v>
      </c>
      <c r="B1646" t="s">
        <v>9</v>
      </c>
      <c r="C1646">
        <v>21.7</v>
      </c>
      <c r="D1646">
        <v>16.100000000000001</v>
      </c>
      <c r="E1646">
        <f>IF(D1646&gt;=1,martianeum[[#This Row],[zawartosc]] * 0.01 *martianeum[[#This Row],[masa '[kg']]],0)</f>
        <v>3.4937</v>
      </c>
      <c r="F1646">
        <f t="shared" ref="F1646" si="233">SUM(C1640:C1646)</f>
        <v>141.6</v>
      </c>
    </row>
    <row r="1647" spans="1:6" x14ac:dyDescent="0.25">
      <c r="A1647" s="1">
        <v>50286</v>
      </c>
      <c r="B1647" t="s">
        <v>9</v>
      </c>
      <c r="C1647">
        <v>26</v>
      </c>
      <c r="D1647">
        <v>47.6</v>
      </c>
      <c r="E1647">
        <f>IF(D1647&gt;=1,martianeum[[#This Row],[zawartosc]] * 0.01 *martianeum[[#This Row],[masa '[kg']]],0)</f>
        <v>12.376000000000001</v>
      </c>
    </row>
    <row r="1648" spans="1:6" x14ac:dyDescent="0.25">
      <c r="A1648" s="1">
        <v>50287</v>
      </c>
      <c r="B1648" t="s">
        <v>6</v>
      </c>
      <c r="C1648">
        <v>18</v>
      </c>
      <c r="D1648">
        <v>5.3</v>
      </c>
      <c r="E1648">
        <f>IF(D1648&gt;=1,martianeum[[#This Row],[zawartosc]] * 0.01 *martianeum[[#This Row],[masa '[kg']]],0)</f>
        <v>0.95399999999999996</v>
      </c>
    </row>
    <row r="1649" spans="1:6" x14ac:dyDescent="0.25">
      <c r="A1649" s="1">
        <v>50288</v>
      </c>
      <c r="B1649" t="s">
        <v>23</v>
      </c>
      <c r="C1649">
        <v>15.8</v>
      </c>
      <c r="D1649">
        <v>3.6</v>
      </c>
      <c r="E1649">
        <f>IF(D1649&gt;=1,martianeum[[#This Row],[zawartosc]] * 0.01 *martianeum[[#This Row],[masa '[kg']]],0)</f>
        <v>0.56880000000000008</v>
      </c>
    </row>
    <row r="1650" spans="1:6" x14ac:dyDescent="0.25">
      <c r="A1650" s="1">
        <v>50289</v>
      </c>
      <c r="B1650" t="s">
        <v>25</v>
      </c>
      <c r="C1650">
        <v>14.1</v>
      </c>
      <c r="D1650">
        <v>6.8</v>
      </c>
      <c r="E1650">
        <f>IF(D1650&gt;=1,martianeum[[#This Row],[zawartosc]] * 0.01 *martianeum[[#This Row],[masa '[kg']]],0)</f>
        <v>0.9588000000000001</v>
      </c>
    </row>
    <row r="1651" spans="1:6" x14ac:dyDescent="0.25">
      <c r="A1651" s="1">
        <v>50290</v>
      </c>
      <c r="B1651" t="s">
        <v>23</v>
      </c>
      <c r="C1651">
        <v>22.3</v>
      </c>
      <c r="D1651">
        <v>1.8</v>
      </c>
      <c r="E1651">
        <f>IF(D1651&gt;=1,martianeum[[#This Row],[zawartosc]] * 0.01 *martianeum[[#This Row],[masa '[kg']]],0)</f>
        <v>0.40140000000000003</v>
      </c>
    </row>
    <row r="1652" spans="1:6" x14ac:dyDescent="0.25">
      <c r="A1652" s="1">
        <v>50291</v>
      </c>
      <c r="B1652" t="s">
        <v>18</v>
      </c>
      <c r="C1652">
        <v>22.2</v>
      </c>
      <c r="D1652">
        <v>0</v>
      </c>
      <c r="E1652">
        <f>IF(D1652&gt;=1,martianeum[[#This Row],[zawartosc]] * 0.01 *martianeum[[#This Row],[masa '[kg']]],0)</f>
        <v>0</v>
      </c>
    </row>
    <row r="1653" spans="1:6" x14ac:dyDescent="0.25">
      <c r="A1653" s="1">
        <v>50292</v>
      </c>
      <c r="B1653" t="s">
        <v>5</v>
      </c>
      <c r="C1653">
        <v>23.8</v>
      </c>
      <c r="D1653">
        <v>0</v>
      </c>
      <c r="E1653">
        <f>IF(D1653&gt;=1,martianeum[[#This Row],[zawartosc]] * 0.01 *martianeum[[#This Row],[masa '[kg']]],0)</f>
        <v>0</v>
      </c>
      <c r="F1653">
        <f t="shared" ref="F1653" si="234">SUM(C1647:C1653)</f>
        <v>142.19999999999999</v>
      </c>
    </row>
    <row r="1654" spans="1:6" x14ac:dyDescent="0.25">
      <c r="A1654" s="1">
        <v>50293</v>
      </c>
      <c r="B1654" t="s">
        <v>13</v>
      </c>
      <c r="C1654">
        <v>10</v>
      </c>
      <c r="D1654">
        <v>8.1</v>
      </c>
      <c r="E1654">
        <f>IF(D1654&gt;=1,martianeum[[#This Row],[zawartosc]] * 0.01 *martianeum[[#This Row],[masa '[kg']]],0)</f>
        <v>0.81</v>
      </c>
    </row>
    <row r="1655" spans="1:6" x14ac:dyDescent="0.25">
      <c r="A1655" s="1">
        <v>50294</v>
      </c>
      <c r="B1655" t="s">
        <v>23</v>
      </c>
      <c r="C1655">
        <v>23.8</v>
      </c>
      <c r="D1655">
        <v>0</v>
      </c>
      <c r="E1655">
        <f>IF(D1655&gt;=1,martianeum[[#This Row],[zawartosc]] * 0.01 *martianeum[[#This Row],[masa '[kg']]],0)</f>
        <v>0</v>
      </c>
    </row>
    <row r="1656" spans="1:6" x14ac:dyDescent="0.25">
      <c r="A1656" s="1">
        <v>50295</v>
      </c>
      <c r="B1656" t="s">
        <v>22</v>
      </c>
      <c r="C1656">
        <v>13.4</v>
      </c>
      <c r="D1656">
        <v>2.6</v>
      </c>
      <c r="E1656">
        <f>IF(D1656&gt;=1,martianeum[[#This Row],[zawartosc]] * 0.01 *martianeum[[#This Row],[masa '[kg']]],0)</f>
        <v>0.34840000000000004</v>
      </c>
    </row>
    <row r="1657" spans="1:6" x14ac:dyDescent="0.25">
      <c r="A1657" s="1">
        <v>50296</v>
      </c>
      <c r="B1657" t="s">
        <v>23</v>
      </c>
      <c r="C1657">
        <v>17</v>
      </c>
      <c r="D1657">
        <v>1.5</v>
      </c>
      <c r="E1657">
        <f>IF(D1657&gt;=1,martianeum[[#This Row],[zawartosc]] * 0.01 *martianeum[[#This Row],[masa '[kg']]],0)</f>
        <v>0.255</v>
      </c>
    </row>
    <row r="1658" spans="1:6" x14ac:dyDescent="0.25">
      <c r="A1658" s="1">
        <v>50297</v>
      </c>
      <c r="B1658" t="s">
        <v>5</v>
      </c>
      <c r="C1658">
        <v>25.5</v>
      </c>
      <c r="D1658">
        <v>0</v>
      </c>
      <c r="E1658">
        <f>IF(D1658&gt;=1,martianeum[[#This Row],[zawartosc]] * 0.01 *martianeum[[#This Row],[masa '[kg']]],0)</f>
        <v>0</v>
      </c>
    </row>
    <row r="1659" spans="1:6" x14ac:dyDescent="0.25">
      <c r="A1659" s="1">
        <v>50298</v>
      </c>
      <c r="B1659" t="s">
        <v>13</v>
      </c>
      <c r="C1659">
        <v>19.7</v>
      </c>
      <c r="D1659">
        <v>0</v>
      </c>
      <c r="E1659">
        <f>IF(D1659&gt;=1,martianeum[[#This Row],[zawartosc]] * 0.01 *martianeum[[#This Row],[masa '[kg']]],0)</f>
        <v>0</v>
      </c>
    </row>
    <row r="1660" spans="1:6" x14ac:dyDescent="0.25">
      <c r="A1660" s="1">
        <v>50299</v>
      </c>
      <c r="B1660" t="s">
        <v>9</v>
      </c>
      <c r="C1660">
        <v>22.8</v>
      </c>
      <c r="D1660">
        <v>10.7</v>
      </c>
      <c r="E1660">
        <f>IF(D1660&gt;=1,martianeum[[#This Row],[zawartosc]] * 0.01 *martianeum[[#This Row],[masa '[kg']]],0)</f>
        <v>2.4396</v>
      </c>
      <c r="F1660">
        <f t="shared" ref="F1660" si="235">SUM(C1654:C1660)</f>
        <v>132.19999999999999</v>
      </c>
    </row>
    <row r="1661" spans="1:6" x14ac:dyDescent="0.25">
      <c r="A1661" s="1">
        <v>50300</v>
      </c>
      <c r="B1661" t="s">
        <v>15</v>
      </c>
      <c r="C1661">
        <v>25.5</v>
      </c>
      <c r="D1661">
        <v>0</v>
      </c>
      <c r="E1661">
        <f>IF(D1661&gt;=1,martianeum[[#This Row],[zawartosc]] * 0.01 *martianeum[[#This Row],[masa '[kg']]],0)</f>
        <v>0</v>
      </c>
    </row>
    <row r="1662" spans="1:6" x14ac:dyDescent="0.25">
      <c r="A1662" s="1">
        <v>50301</v>
      </c>
      <c r="B1662" t="s">
        <v>9</v>
      </c>
      <c r="C1662">
        <v>16.8</v>
      </c>
      <c r="D1662">
        <v>2.2000000000000002</v>
      </c>
      <c r="E1662">
        <f>IF(D1662&gt;=1,martianeum[[#This Row],[zawartosc]] * 0.01 *martianeum[[#This Row],[masa '[kg']]],0)</f>
        <v>0.36960000000000004</v>
      </c>
    </row>
    <row r="1663" spans="1:6" x14ac:dyDescent="0.25">
      <c r="A1663" s="1">
        <v>50302</v>
      </c>
      <c r="B1663" t="s">
        <v>22</v>
      </c>
      <c r="C1663">
        <v>25.3</v>
      </c>
      <c r="D1663">
        <v>2.5</v>
      </c>
      <c r="E1663">
        <f>IF(D1663&gt;=1,martianeum[[#This Row],[zawartosc]] * 0.01 *martianeum[[#This Row],[masa '[kg']]],0)</f>
        <v>0.63250000000000006</v>
      </c>
    </row>
    <row r="1664" spans="1:6" x14ac:dyDescent="0.25">
      <c r="A1664" s="1">
        <v>50303</v>
      </c>
      <c r="B1664" t="s">
        <v>24</v>
      </c>
      <c r="C1664">
        <v>26.3</v>
      </c>
      <c r="D1664">
        <v>0.4</v>
      </c>
      <c r="E1664">
        <f>IF(D1664&gt;=1,martianeum[[#This Row],[zawartosc]] * 0.01 *martianeum[[#This Row],[masa '[kg']]],0)</f>
        <v>0</v>
      </c>
    </row>
    <row r="1665" spans="1:6" x14ac:dyDescent="0.25">
      <c r="A1665" s="1">
        <v>50304</v>
      </c>
      <c r="B1665" t="s">
        <v>12</v>
      </c>
      <c r="C1665">
        <v>21.9</v>
      </c>
      <c r="D1665">
        <v>7</v>
      </c>
      <c r="E1665">
        <f>IF(D1665&gt;=1,martianeum[[#This Row],[zawartosc]] * 0.01 *martianeum[[#This Row],[masa '[kg']]],0)</f>
        <v>1.5330000000000001</v>
      </c>
    </row>
    <row r="1666" spans="1:6" x14ac:dyDescent="0.25">
      <c r="A1666" s="1">
        <v>50305</v>
      </c>
      <c r="B1666" t="s">
        <v>12</v>
      </c>
      <c r="C1666">
        <v>11.2</v>
      </c>
      <c r="D1666">
        <v>0</v>
      </c>
      <c r="E1666">
        <f>IF(D1666&gt;=1,martianeum[[#This Row],[zawartosc]] * 0.01 *martianeum[[#This Row],[masa '[kg']]],0)</f>
        <v>0</v>
      </c>
    </row>
    <row r="1667" spans="1:6" x14ac:dyDescent="0.25">
      <c r="A1667" s="1">
        <v>50306</v>
      </c>
      <c r="B1667" t="s">
        <v>14</v>
      </c>
      <c r="C1667">
        <v>10.6</v>
      </c>
      <c r="D1667">
        <v>5.2</v>
      </c>
      <c r="E1667">
        <f>IF(D1667&gt;=1,martianeum[[#This Row],[zawartosc]] * 0.01 *martianeum[[#This Row],[masa '[kg']]],0)</f>
        <v>0.55120000000000002</v>
      </c>
      <c r="F1667">
        <f t="shared" ref="F1667" si="236">SUM(C1661:C1667)</f>
        <v>137.6</v>
      </c>
    </row>
    <row r="1668" spans="1:6" x14ac:dyDescent="0.25">
      <c r="A1668" s="1">
        <v>50307</v>
      </c>
      <c r="B1668" t="s">
        <v>11</v>
      </c>
      <c r="C1668">
        <v>17.7</v>
      </c>
      <c r="D1668">
        <v>1</v>
      </c>
      <c r="E1668">
        <f>IF(D1668&gt;=1,martianeum[[#This Row],[zawartosc]] * 0.01 *martianeum[[#This Row],[masa '[kg']]],0)</f>
        <v>0.17699999999999999</v>
      </c>
    </row>
    <row r="1669" spans="1:6" x14ac:dyDescent="0.25">
      <c r="A1669" s="1">
        <v>50308</v>
      </c>
      <c r="B1669" t="s">
        <v>6</v>
      </c>
      <c r="C1669">
        <v>19.899999999999999</v>
      </c>
      <c r="D1669">
        <v>0</v>
      </c>
      <c r="E1669">
        <f>IF(D1669&gt;=1,martianeum[[#This Row],[zawartosc]] * 0.01 *martianeum[[#This Row],[masa '[kg']]],0)</f>
        <v>0</v>
      </c>
    </row>
    <row r="1670" spans="1:6" x14ac:dyDescent="0.25">
      <c r="A1670" s="1">
        <v>50309</v>
      </c>
      <c r="B1670" t="s">
        <v>9</v>
      </c>
      <c r="C1670">
        <v>25.1</v>
      </c>
      <c r="D1670">
        <v>42.1</v>
      </c>
      <c r="E1670">
        <f>IF(D1670&gt;=1,martianeum[[#This Row],[zawartosc]] * 0.01 *martianeum[[#This Row],[masa '[kg']]],0)</f>
        <v>10.567100000000002</v>
      </c>
    </row>
    <row r="1671" spans="1:6" x14ac:dyDescent="0.25">
      <c r="A1671" s="1">
        <v>50310</v>
      </c>
      <c r="B1671" t="s">
        <v>8</v>
      </c>
      <c r="C1671">
        <v>18.5</v>
      </c>
      <c r="D1671">
        <v>0.3</v>
      </c>
      <c r="E1671">
        <f>IF(D1671&gt;=1,martianeum[[#This Row],[zawartosc]] * 0.01 *martianeum[[#This Row],[masa '[kg']]],0)</f>
        <v>0</v>
      </c>
    </row>
    <row r="1672" spans="1:6" x14ac:dyDescent="0.25">
      <c r="A1672" s="1">
        <v>50311</v>
      </c>
      <c r="B1672" t="s">
        <v>9</v>
      </c>
      <c r="C1672">
        <v>25.5</v>
      </c>
      <c r="D1672">
        <v>25.3</v>
      </c>
      <c r="E1672">
        <f>IF(D1672&gt;=1,martianeum[[#This Row],[zawartosc]] * 0.01 *martianeum[[#This Row],[masa '[kg']]],0)</f>
        <v>6.4515000000000002</v>
      </c>
    </row>
    <row r="1673" spans="1:6" x14ac:dyDescent="0.25">
      <c r="A1673" s="1">
        <v>50312</v>
      </c>
      <c r="B1673" t="s">
        <v>9</v>
      </c>
      <c r="C1673">
        <v>12.8</v>
      </c>
      <c r="D1673">
        <v>0</v>
      </c>
      <c r="E1673">
        <f>IF(D1673&gt;=1,martianeum[[#This Row],[zawartosc]] * 0.01 *martianeum[[#This Row],[masa '[kg']]],0)</f>
        <v>0</v>
      </c>
    </row>
    <row r="1674" spans="1:6" x14ac:dyDescent="0.25">
      <c r="A1674" s="1">
        <v>50313</v>
      </c>
      <c r="B1674" t="s">
        <v>18</v>
      </c>
      <c r="C1674">
        <v>23.6</v>
      </c>
      <c r="D1674">
        <v>34.299999999999997</v>
      </c>
      <c r="E1674">
        <f>IF(D1674&gt;=1,martianeum[[#This Row],[zawartosc]] * 0.01 *martianeum[[#This Row],[masa '[kg']]],0)</f>
        <v>8.0947999999999993</v>
      </c>
      <c r="F1674">
        <f t="shared" ref="F1674" si="237">SUM(C1668:C1674)</f>
        <v>143.1</v>
      </c>
    </row>
    <row r="1675" spans="1:6" x14ac:dyDescent="0.25">
      <c r="A1675" s="1">
        <v>50314</v>
      </c>
      <c r="B1675" t="s">
        <v>14</v>
      </c>
      <c r="C1675">
        <v>13.1</v>
      </c>
      <c r="D1675">
        <v>2</v>
      </c>
      <c r="E1675">
        <f>IF(D1675&gt;=1,martianeum[[#This Row],[zawartosc]] * 0.01 *martianeum[[#This Row],[masa '[kg']]],0)</f>
        <v>0.26200000000000001</v>
      </c>
    </row>
    <row r="1676" spans="1:6" x14ac:dyDescent="0.25">
      <c r="A1676" s="1">
        <v>50315</v>
      </c>
      <c r="B1676" t="s">
        <v>22</v>
      </c>
      <c r="C1676">
        <v>23</v>
      </c>
      <c r="D1676">
        <v>0</v>
      </c>
      <c r="E1676">
        <f>IF(D1676&gt;=1,martianeum[[#This Row],[zawartosc]] * 0.01 *martianeum[[#This Row],[masa '[kg']]],0)</f>
        <v>0</v>
      </c>
    </row>
    <row r="1677" spans="1:6" x14ac:dyDescent="0.25">
      <c r="A1677" s="1">
        <v>50316</v>
      </c>
      <c r="B1677" t="s">
        <v>12</v>
      </c>
      <c r="C1677">
        <v>13</v>
      </c>
      <c r="D1677">
        <v>15.8</v>
      </c>
      <c r="E1677">
        <f>IF(D1677&gt;=1,martianeum[[#This Row],[zawartosc]] * 0.01 *martianeum[[#This Row],[masa '[kg']]],0)</f>
        <v>2.0539999999999998</v>
      </c>
    </row>
    <row r="1678" spans="1:6" x14ac:dyDescent="0.25">
      <c r="A1678" s="1">
        <v>50317</v>
      </c>
      <c r="B1678" t="s">
        <v>8</v>
      </c>
      <c r="C1678">
        <v>19.5</v>
      </c>
      <c r="D1678">
        <v>8</v>
      </c>
      <c r="E1678">
        <f>IF(D1678&gt;=1,martianeum[[#This Row],[zawartosc]] * 0.01 *martianeum[[#This Row],[masa '[kg']]],0)</f>
        <v>1.56</v>
      </c>
    </row>
    <row r="1679" spans="1:6" x14ac:dyDescent="0.25">
      <c r="A1679" s="1">
        <v>50318</v>
      </c>
      <c r="B1679" t="s">
        <v>6</v>
      </c>
      <c r="C1679">
        <v>19.2</v>
      </c>
      <c r="D1679">
        <v>0</v>
      </c>
      <c r="E1679">
        <f>IF(D1679&gt;=1,martianeum[[#This Row],[zawartosc]] * 0.01 *martianeum[[#This Row],[masa '[kg']]],0)</f>
        <v>0</v>
      </c>
    </row>
    <row r="1680" spans="1:6" x14ac:dyDescent="0.25">
      <c r="A1680" s="1">
        <v>50319</v>
      </c>
      <c r="B1680" t="s">
        <v>4</v>
      </c>
      <c r="C1680">
        <v>28.3</v>
      </c>
      <c r="D1680">
        <v>1.1000000000000001</v>
      </c>
      <c r="E1680">
        <f>IF(D1680&gt;=1,martianeum[[#This Row],[zawartosc]] * 0.01 *martianeum[[#This Row],[masa '[kg']]],0)</f>
        <v>0.31130000000000002</v>
      </c>
    </row>
    <row r="1681" spans="1:6" x14ac:dyDescent="0.25">
      <c r="A1681" s="1">
        <v>50320</v>
      </c>
      <c r="B1681" t="s">
        <v>9</v>
      </c>
      <c r="C1681">
        <v>18.100000000000001</v>
      </c>
      <c r="D1681">
        <v>0</v>
      </c>
      <c r="E1681">
        <f>IF(D1681&gt;=1,martianeum[[#This Row],[zawartosc]] * 0.01 *martianeum[[#This Row],[masa '[kg']]],0)</f>
        <v>0</v>
      </c>
      <c r="F1681">
        <f t="shared" ref="F1681" si="238">SUM(C1675:C1681)</f>
        <v>134.19999999999999</v>
      </c>
    </row>
    <row r="1682" spans="1:6" x14ac:dyDescent="0.25">
      <c r="A1682" s="1">
        <v>50321</v>
      </c>
      <c r="B1682" t="s">
        <v>18</v>
      </c>
      <c r="C1682">
        <v>17.5</v>
      </c>
      <c r="D1682">
        <v>13.3</v>
      </c>
      <c r="E1682">
        <f>IF(D1682&gt;=1,martianeum[[#This Row],[zawartosc]] * 0.01 *martianeum[[#This Row],[masa '[kg']]],0)</f>
        <v>2.3275000000000001</v>
      </c>
    </row>
    <row r="1683" spans="1:6" x14ac:dyDescent="0.25">
      <c r="A1683" s="1">
        <v>50322</v>
      </c>
      <c r="B1683" t="s">
        <v>5</v>
      </c>
      <c r="C1683">
        <v>26.7</v>
      </c>
      <c r="D1683">
        <v>12.9</v>
      </c>
      <c r="E1683">
        <f>IF(D1683&gt;=1,martianeum[[#This Row],[zawartosc]] * 0.01 *martianeum[[#This Row],[masa '[kg']]],0)</f>
        <v>3.4443000000000001</v>
      </c>
    </row>
    <row r="1684" spans="1:6" x14ac:dyDescent="0.25">
      <c r="A1684" s="1">
        <v>50323</v>
      </c>
      <c r="B1684" t="s">
        <v>18</v>
      </c>
      <c r="C1684">
        <v>26.6</v>
      </c>
      <c r="D1684">
        <v>0</v>
      </c>
      <c r="E1684">
        <f>IF(D1684&gt;=1,martianeum[[#This Row],[zawartosc]] * 0.01 *martianeum[[#This Row],[masa '[kg']]],0)</f>
        <v>0</v>
      </c>
    </row>
    <row r="1685" spans="1:6" x14ac:dyDescent="0.25">
      <c r="A1685" s="1">
        <v>50324</v>
      </c>
      <c r="B1685" t="s">
        <v>21</v>
      </c>
      <c r="C1685">
        <v>12.2</v>
      </c>
      <c r="D1685">
        <v>1.8</v>
      </c>
      <c r="E1685">
        <f>IF(D1685&gt;=1,martianeum[[#This Row],[zawartosc]] * 0.01 *martianeum[[#This Row],[masa '[kg']]],0)</f>
        <v>0.21960000000000002</v>
      </c>
    </row>
    <row r="1686" spans="1:6" x14ac:dyDescent="0.25">
      <c r="A1686" s="1">
        <v>50325</v>
      </c>
      <c r="B1686" t="s">
        <v>6</v>
      </c>
      <c r="C1686">
        <v>27.4</v>
      </c>
      <c r="D1686">
        <v>4.8</v>
      </c>
      <c r="E1686">
        <f>IF(D1686&gt;=1,martianeum[[#This Row],[zawartosc]] * 0.01 *martianeum[[#This Row],[masa '[kg']]],0)</f>
        <v>1.3151999999999999</v>
      </c>
    </row>
    <row r="1687" spans="1:6" x14ac:dyDescent="0.25">
      <c r="A1687" s="1">
        <v>50326</v>
      </c>
      <c r="B1687" t="s">
        <v>12</v>
      </c>
      <c r="C1687">
        <v>24.9</v>
      </c>
      <c r="D1687">
        <v>1.6</v>
      </c>
      <c r="E1687">
        <f>IF(D1687&gt;=1,martianeum[[#This Row],[zawartosc]] * 0.01 *martianeum[[#This Row],[masa '[kg']]],0)</f>
        <v>0.39839999999999998</v>
      </c>
    </row>
    <row r="1688" spans="1:6" x14ac:dyDescent="0.25">
      <c r="A1688" s="1">
        <v>50327</v>
      </c>
      <c r="B1688" t="s">
        <v>26</v>
      </c>
      <c r="C1688">
        <v>21.4</v>
      </c>
      <c r="D1688">
        <v>5.5</v>
      </c>
      <c r="E1688">
        <f>IF(D1688&gt;=1,martianeum[[#This Row],[zawartosc]] * 0.01 *martianeum[[#This Row],[masa '[kg']]],0)</f>
        <v>1.1769999999999998</v>
      </c>
      <c r="F1688">
        <f t="shared" ref="F1688" si="239">SUM(C1682:C1688)</f>
        <v>156.70000000000002</v>
      </c>
    </row>
    <row r="1689" spans="1:6" x14ac:dyDescent="0.25">
      <c r="A1689" s="1">
        <v>50328</v>
      </c>
      <c r="B1689" t="s">
        <v>28</v>
      </c>
      <c r="C1689">
        <v>14.1</v>
      </c>
      <c r="D1689">
        <v>0</v>
      </c>
      <c r="E1689">
        <f>IF(D1689&gt;=1,martianeum[[#This Row],[zawartosc]] * 0.01 *martianeum[[#This Row],[masa '[kg']]],0)</f>
        <v>0</v>
      </c>
    </row>
    <row r="1690" spans="1:6" x14ac:dyDescent="0.25">
      <c r="A1690" s="1">
        <v>50329</v>
      </c>
      <c r="B1690" t="s">
        <v>24</v>
      </c>
      <c r="C1690">
        <v>15.4</v>
      </c>
      <c r="D1690">
        <v>2.1</v>
      </c>
      <c r="E1690">
        <f>IF(D1690&gt;=1,martianeum[[#This Row],[zawartosc]] * 0.01 *martianeum[[#This Row],[masa '[kg']]],0)</f>
        <v>0.32340000000000002</v>
      </c>
    </row>
    <row r="1691" spans="1:6" x14ac:dyDescent="0.25">
      <c r="A1691" s="1">
        <v>50330</v>
      </c>
      <c r="B1691" t="s">
        <v>12</v>
      </c>
      <c r="C1691">
        <v>27.7</v>
      </c>
      <c r="D1691">
        <v>0</v>
      </c>
      <c r="E1691">
        <f>IF(D1691&gt;=1,martianeum[[#This Row],[zawartosc]] * 0.01 *martianeum[[#This Row],[masa '[kg']]],0)</f>
        <v>0</v>
      </c>
    </row>
    <row r="1692" spans="1:6" x14ac:dyDescent="0.25">
      <c r="A1692" s="1">
        <v>50331</v>
      </c>
      <c r="B1692" t="s">
        <v>9</v>
      </c>
      <c r="C1692">
        <v>15.5</v>
      </c>
      <c r="D1692">
        <v>43.4</v>
      </c>
      <c r="E1692">
        <f>IF(D1692&gt;=1,martianeum[[#This Row],[zawartosc]] * 0.01 *martianeum[[#This Row],[masa '[kg']]],0)</f>
        <v>6.7270000000000003</v>
      </c>
    </row>
    <row r="1693" spans="1:6" x14ac:dyDescent="0.25">
      <c r="A1693" s="1">
        <v>50332</v>
      </c>
      <c r="B1693" t="s">
        <v>6</v>
      </c>
      <c r="C1693">
        <v>26.8</v>
      </c>
      <c r="D1693">
        <v>0</v>
      </c>
      <c r="E1693">
        <f>IF(D1693&gt;=1,martianeum[[#This Row],[zawartosc]] * 0.01 *martianeum[[#This Row],[masa '[kg']]],0)</f>
        <v>0</v>
      </c>
    </row>
    <row r="1694" spans="1:6" x14ac:dyDescent="0.25">
      <c r="A1694" s="1">
        <v>50333</v>
      </c>
      <c r="B1694" t="s">
        <v>12</v>
      </c>
      <c r="C1694">
        <v>23.1</v>
      </c>
      <c r="D1694">
        <v>9.1</v>
      </c>
      <c r="E1694">
        <f>IF(D1694&gt;=1,martianeum[[#This Row],[zawartosc]] * 0.01 *martianeum[[#This Row],[masa '[kg']]],0)</f>
        <v>2.1021000000000001</v>
      </c>
    </row>
    <row r="1695" spans="1:6" x14ac:dyDescent="0.25">
      <c r="A1695" s="1">
        <v>50334</v>
      </c>
      <c r="B1695" t="s">
        <v>5</v>
      </c>
      <c r="C1695">
        <v>22.8</v>
      </c>
      <c r="D1695">
        <v>12.9</v>
      </c>
      <c r="E1695">
        <f>IF(D1695&gt;=1,martianeum[[#This Row],[zawartosc]] * 0.01 *martianeum[[#This Row],[masa '[kg']]],0)</f>
        <v>2.9412000000000003</v>
      </c>
      <c r="F1695">
        <f t="shared" ref="F1695" si="240">SUM(C1689:C1695)</f>
        <v>145.4</v>
      </c>
    </row>
    <row r="1696" spans="1:6" x14ac:dyDescent="0.25">
      <c r="A1696" s="1">
        <v>50335</v>
      </c>
      <c r="B1696" t="s">
        <v>9</v>
      </c>
      <c r="C1696">
        <v>17.2</v>
      </c>
      <c r="D1696">
        <v>0</v>
      </c>
      <c r="E1696">
        <f>IF(D1696&gt;=1,martianeum[[#This Row],[zawartosc]] * 0.01 *martianeum[[#This Row],[masa '[kg']]],0)</f>
        <v>0</v>
      </c>
    </row>
    <row r="1697" spans="1:6" x14ac:dyDescent="0.25">
      <c r="A1697" s="1">
        <v>50336</v>
      </c>
      <c r="B1697" t="s">
        <v>9</v>
      </c>
      <c r="C1697">
        <v>29.3</v>
      </c>
      <c r="D1697">
        <v>6.1</v>
      </c>
      <c r="E1697">
        <f>IF(D1697&gt;=1,martianeum[[#This Row],[zawartosc]] * 0.01 *martianeum[[#This Row],[masa '[kg']]],0)</f>
        <v>1.7873000000000001</v>
      </c>
    </row>
    <row r="1698" spans="1:6" x14ac:dyDescent="0.25">
      <c r="A1698" s="1">
        <v>50337</v>
      </c>
      <c r="B1698" t="s">
        <v>12</v>
      </c>
      <c r="C1698">
        <v>19.5</v>
      </c>
      <c r="D1698">
        <v>14.2</v>
      </c>
      <c r="E1698">
        <f>IF(D1698&gt;=1,martianeum[[#This Row],[zawartosc]] * 0.01 *martianeum[[#This Row],[masa '[kg']]],0)</f>
        <v>2.7689999999999997</v>
      </c>
    </row>
    <row r="1699" spans="1:6" x14ac:dyDescent="0.25">
      <c r="A1699" s="1">
        <v>50338</v>
      </c>
      <c r="B1699" t="s">
        <v>18</v>
      </c>
      <c r="C1699">
        <v>28.1</v>
      </c>
      <c r="D1699">
        <v>9.4</v>
      </c>
      <c r="E1699">
        <f>IF(D1699&gt;=1,martianeum[[#This Row],[zawartosc]] * 0.01 *martianeum[[#This Row],[masa '[kg']]],0)</f>
        <v>2.6414</v>
      </c>
    </row>
    <row r="1700" spans="1:6" x14ac:dyDescent="0.25">
      <c r="A1700" s="1">
        <v>50339</v>
      </c>
      <c r="B1700" t="s">
        <v>10</v>
      </c>
      <c r="C1700">
        <v>21.1</v>
      </c>
      <c r="D1700">
        <v>12</v>
      </c>
      <c r="E1700">
        <f>IF(D1700&gt;=1,martianeum[[#This Row],[zawartosc]] * 0.01 *martianeum[[#This Row],[masa '[kg']]],0)</f>
        <v>2.532</v>
      </c>
    </row>
    <row r="1701" spans="1:6" x14ac:dyDescent="0.25">
      <c r="A1701" s="1">
        <v>50340</v>
      </c>
      <c r="B1701" t="s">
        <v>6</v>
      </c>
      <c r="C1701">
        <v>23.8</v>
      </c>
      <c r="D1701">
        <v>13.3</v>
      </c>
      <c r="E1701">
        <f>IF(D1701&gt;=1,martianeum[[#This Row],[zawartosc]] * 0.01 *martianeum[[#This Row],[masa '[kg']]],0)</f>
        <v>3.1654000000000004</v>
      </c>
    </row>
    <row r="1702" spans="1:6" x14ac:dyDescent="0.25">
      <c r="A1702" s="1">
        <v>50341</v>
      </c>
      <c r="B1702" t="s">
        <v>23</v>
      </c>
      <c r="C1702">
        <v>19.399999999999999</v>
      </c>
      <c r="D1702">
        <v>2.2000000000000002</v>
      </c>
      <c r="E1702">
        <f>IF(D1702&gt;=1,martianeum[[#This Row],[zawartosc]] * 0.01 *martianeum[[#This Row],[masa '[kg']]],0)</f>
        <v>0.42680000000000001</v>
      </c>
      <c r="F1702">
        <f t="shared" ref="F1702" si="241">SUM(C1696:C1702)</f>
        <v>158.4</v>
      </c>
    </row>
    <row r="1703" spans="1:6" x14ac:dyDescent="0.25">
      <c r="A1703" s="1">
        <v>50342</v>
      </c>
      <c r="B1703" t="s">
        <v>6</v>
      </c>
      <c r="C1703">
        <v>25.8</v>
      </c>
      <c r="D1703">
        <v>17.100000000000001</v>
      </c>
      <c r="E1703">
        <f>IF(D1703&gt;=1,martianeum[[#This Row],[zawartosc]] * 0.01 *martianeum[[#This Row],[masa '[kg']]],0)</f>
        <v>4.4118000000000004</v>
      </c>
    </row>
    <row r="1704" spans="1:6" x14ac:dyDescent="0.25">
      <c r="A1704" s="1">
        <v>50343</v>
      </c>
      <c r="B1704" t="s">
        <v>6</v>
      </c>
      <c r="C1704">
        <v>30</v>
      </c>
      <c r="D1704">
        <v>6.3</v>
      </c>
      <c r="E1704">
        <f>IF(D1704&gt;=1,martianeum[[#This Row],[zawartosc]] * 0.01 *martianeum[[#This Row],[masa '[kg']]],0)</f>
        <v>1.8900000000000001</v>
      </c>
    </row>
    <row r="1705" spans="1:6" x14ac:dyDescent="0.25">
      <c r="A1705" s="1">
        <v>50344</v>
      </c>
      <c r="B1705" t="s">
        <v>9</v>
      </c>
      <c r="C1705">
        <v>11</v>
      </c>
      <c r="D1705">
        <v>0</v>
      </c>
      <c r="E1705">
        <f>IF(D1705&gt;=1,martianeum[[#This Row],[zawartosc]] * 0.01 *martianeum[[#This Row],[masa '[kg']]],0)</f>
        <v>0</v>
      </c>
    </row>
    <row r="1706" spans="1:6" x14ac:dyDescent="0.25">
      <c r="A1706" s="1">
        <v>50345</v>
      </c>
      <c r="B1706" t="s">
        <v>18</v>
      </c>
      <c r="C1706">
        <v>27.2</v>
      </c>
      <c r="D1706">
        <v>0</v>
      </c>
      <c r="E1706">
        <f>IF(D1706&gt;=1,martianeum[[#This Row],[zawartosc]] * 0.01 *martianeum[[#This Row],[masa '[kg']]],0)</f>
        <v>0</v>
      </c>
    </row>
    <row r="1707" spans="1:6" x14ac:dyDescent="0.25">
      <c r="A1707" s="1">
        <v>50346</v>
      </c>
      <c r="B1707" t="s">
        <v>6</v>
      </c>
      <c r="C1707">
        <v>18.3</v>
      </c>
      <c r="D1707">
        <v>8.4</v>
      </c>
      <c r="E1707">
        <f>IF(D1707&gt;=1,martianeum[[#This Row],[zawartosc]] * 0.01 *martianeum[[#This Row],[masa '[kg']]],0)</f>
        <v>1.5372000000000001</v>
      </c>
    </row>
    <row r="1708" spans="1:6" x14ac:dyDescent="0.25">
      <c r="A1708" s="1">
        <v>50347</v>
      </c>
      <c r="B1708" t="s">
        <v>24</v>
      </c>
      <c r="C1708">
        <v>14</v>
      </c>
      <c r="D1708">
        <v>2.5</v>
      </c>
      <c r="E1708">
        <f>IF(D1708&gt;=1,martianeum[[#This Row],[zawartosc]] * 0.01 *martianeum[[#This Row],[masa '[kg']]],0)</f>
        <v>0.35000000000000003</v>
      </c>
    </row>
    <row r="1709" spans="1:6" x14ac:dyDescent="0.25">
      <c r="A1709" s="1">
        <v>50348</v>
      </c>
      <c r="B1709" t="s">
        <v>6</v>
      </c>
      <c r="C1709">
        <v>26.2</v>
      </c>
      <c r="D1709">
        <v>6.9</v>
      </c>
      <c r="E1709">
        <f>IF(D1709&gt;=1,martianeum[[#This Row],[zawartosc]] * 0.01 *martianeum[[#This Row],[masa '[kg']]],0)</f>
        <v>1.8078000000000001</v>
      </c>
      <c r="F1709">
        <f t="shared" ref="F1709" si="242">SUM(C1703:C1709)</f>
        <v>152.5</v>
      </c>
    </row>
    <row r="1710" spans="1:6" x14ac:dyDescent="0.25">
      <c r="A1710" s="1">
        <v>50349</v>
      </c>
      <c r="B1710" t="s">
        <v>14</v>
      </c>
      <c r="C1710">
        <v>25.5</v>
      </c>
      <c r="D1710">
        <v>8.4</v>
      </c>
      <c r="E1710">
        <f>IF(D1710&gt;=1,martianeum[[#This Row],[zawartosc]] * 0.01 *martianeum[[#This Row],[masa '[kg']]],0)</f>
        <v>2.1420000000000003</v>
      </c>
    </row>
    <row r="1711" spans="1:6" x14ac:dyDescent="0.25">
      <c r="A1711" s="1">
        <v>50350</v>
      </c>
      <c r="B1711" t="s">
        <v>17</v>
      </c>
      <c r="C1711">
        <v>23.1</v>
      </c>
      <c r="D1711">
        <v>11.4</v>
      </c>
      <c r="E1711">
        <f>IF(D1711&gt;=1,martianeum[[#This Row],[zawartosc]] * 0.01 *martianeum[[#This Row],[masa '[kg']]],0)</f>
        <v>2.6334000000000004</v>
      </c>
    </row>
    <row r="1712" spans="1:6" x14ac:dyDescent="0.25">
      <c r="A1712" s="1">
        <v>50351</v>
      </c>
      <c r="B1712" t="s">
        <v>11</v>
      </c>
      <c r="C1712">
        <v>21.3</v>
      </c>
      <c r="D1712">
        <v>2.8</v>
      </c>
      <c r="E1712">
        <f>IF(D1712&gt;=1,martianeum[[#This Row],[zawartosc]] * 0.01 *martianeum[[#This Row],[masa '[kg']]],0)</f>
        <v>0.59639999999999993</v>
      </c>
    </row>
    <row r="1713" spans="1:6" x14ac:dyDescent="0.25">
      <c r="A1713" s="1">
        <v>50352</v>
      </c>
      <c r="B1713" t="s">
        <v>11</v>
      </c>
      <c r="C1713">
        <v>16.3</v>
      </c>
      <c r="D1713">
        <v>7.6</v>
      </c>
      <c r="E1713">
        <f>IF(D1713&gt;=1,martianeum[[#This Row],[zawartosc]] * 0.01 *martianeum[[#This Row],[masa '[kg']]],0)</f>
        <v>1.2388000000000001</v>
      </c>
    </row>
    <row r="1714" spans="1:6" x14ac:dyDescent="0.25">
      <c r="A1714" s="1">
        <v>50353</v>
      </c>
      <c r="B1714" t="s">
        <v>13</v>
      </c>
      <c r="C1714">
        <v>23.7</v>
      </c>
      <c r="D1714">
        <v>7.6</v>
      </c>
      <c r="E1714">
        <f>IF(D1714&gt;=1,martianeum[[#This Row],[zawartosc]] * 0.01 *martianeum[[#This Row],[masa '[kg']]],0)</f>
        <v>1.8011999999999999</v>
      </c>
    </row>
    <row r="1715" spans="1:6" x14ac:dyDescent="0.25">
      <c r="A1715" s="1">
        <v>50354</v>
      </c>
      <c r="B1715" t="s">
        <v>17</v>
      </c>
      <c r="C1715">
        <v>24.8</v>
      </c>
      <c r="D1715">
        <v>0</v>
      </c>
      <c r="E1715">
        <f>IF(D1715&gt;=1,martianeum[[#This Row],[zawartosc]] * 0.01 *martianeum[[#This Row],[masa '[kg']]],0)</f>
        <v>0</v>
      </c>
    </row>
    <row r="1716" spans="1:6" x14ac:dyDescent="0.25">
      <c r="A1716" s="1">
        <v>50355</v>
      </c>
      <c r="B1716" t="s">
        <v>32</v>
      </c>
      <c r="C1716">
        <v>21.7</v>
      </c>
      <c r="D1716">
        <v>1</v>
      </c>
      <c r="E1716">
        <f>IF(D1716&gt;=1,martianeum[[#This Row],[zawartosc]] * 0.01 *martianeum[[#This Row],[masa '[kg']]],0)</f>
        <v>0.217</v>
      </c>
      <c r="F1716">
        <f t="shared" ref="F1716" si="243">SUM(C1710:C1716)</f>
        <v>156.4</v>
      </c>
    </row>
    <row r="1717" spans="1:6" x14ac:dyDescent="0.25">
      <c r="A1717" s="1">
        <v>50356</v>
      </c>
      <c r="B1717" t="s">
        <v>9</v>
      </c>
      <c r="C1717">
        <v>16.7</v>
      </c>
      <c r="D1717">
        <v>21</v>
      </c>
      <c r="E1717">
        <f>IF(D1717&gt;=1,martianeum[[#This Row],[zawartosc]] * 0.01 *martianeum[[#This Row],[masa '[kg']]],0)</f>
        <v>3.5069999999999997</v>
      </c>
    </row>
    <row r="1718" spans="1:6" x14ac:dyDescent="0.25">
      <c r="A1718" s="1">
        <v>50357</v>
      </c>
      <c r="B1718" t="s">
        <v>22</v>
      </c>
      <c r="C1718">
        <v>22.3</v>
      </c>
      <c r="D1718">
        <v>0.1</v>
      </c>
      <c r="E1718">
        <f>IF(D1718&gt;=1,martianeum[[#This Row],[zawartosc]] * 0.01 *martianeum[[#This Row],[masa '[kg']]],0)</f>
        <v>0</v>
      </c>
    </row>
    <row r="1719" spans="1:6" x14ac:dyDescent="0.25">
      <c r="A1719" s="1">
        <v>50358</v>
      </c>
      <c r="B1719" t="s">
        <v>25</v>
      </c>
      <c r="C1719">
        <v>13.6</v>
      </c>
      <c r="D1719">
        <v>0</v>
      </c>
      <c r="E1719">
        <f>IF(D1719&gt;=1,martianeum[[#This Row],[zawartosc]] * 0.01 *martianeum[[#This Row],[masa '[kg']]],0)</f>
        <v>0</v>
      </c>
    </row>
    <row r="1720" spans="1:6" x14ac:dyDescent="0.25">
      <c r="A1720" s="1">
        <v>50359</v>
      </c>
      <c r="B1720" t="s">
        <v>24</v>
      </c>
      <c r="C1720">
        <v>11.8</v>
      </c>
      <c r="D1720">
        <v>2.1</v>
      </c>
      <c r="E1720">
        <f>IF(D1720&gt;=1,martianeum[[#This Row],[zawartosc]] * 0.01 *martianeum[[#This Row],[masa '[kg']]],0)</f>
        <v>0.24780000000000002</v>
      </c>
    </row>
    <row r="1721" spans="1:6" x14ac:dyDescent="0.25">
      <c r="A1721" s="1">
        <v>50360</v>
      </c>
      <c r="B1721" t="s">
        <v>10</v>
      </c>
      <c r="C1721">
        <v>11.1</v>
      </c>
      <c r="D1721">
        <v>0</v>
      </c>
      <c r="E1721">
        <f>IF(D1721&gt;=1,martianeum[[#This Row],[zawartosc]] * 0.01 *martianeum[[#This Row],[masa '[kg']]],0)</f>
        <v>0</v>
      </c>
    </row>
    <row r="1722" spans="1:6" x14ac:dyDescent="0.25">
      <c r="A1722" s="1">
        <v>50361</v>
      </c>
      <c r="B1722" t="s">
        <v>12</v>
      </c>
      <c r="C1722">
        <v>11.2</v>
      </c>
      <c r="D1722">
        <v>15</v>
      </c>
      <c r="E1722">
        <f>IF(D1722&gt;=1,martianeum[[#This Row],[zawartosc]] * 0.01 *martianeum[[#This Row],[masa '[kg']]],0)</f>
        <v>1.68</v>
      </c>
    </row>
    <row r="1723" spans="1:6" x14ac:dyDescent="0.25">
      <c r="A1723" s="1">
        <v>50362</v>
      </c>
      <c r="B1723" t="s">
        <v>22</v>
      </c>
      <c r="C1723">
        <v>19.100000000000001</v>
      </c>
      <c r="D1723">
        <v>0</v>
      </c>
      <c r="E1723">
        <f>IF(D1723&gt;=1,martianeum[[#This Row],[zawartosc]] * 0.01 *martianeum[[#This Row],[masa '[kg']]],0)</f>
        <v>0</v>
      </c>
      <c r="F1723">
        <f t="shared" ref="F1723" si="244">SUM(C1717:C1723)</f>
        <v>105.80000000000001</v>
      </c>
    </row>
    <row r="1724" spans="1:6" x14ac:dyDescent="0.25">
      <c r="A1724" s="1">
        <v>50363</v>
      </c>
      <c r="B1724" t="s">
        <v>9</v>
      </c>
      <c r="C1724">
        <v>11.1</v>
      </c>
      <c r="D1724">
        <v>46.3</v>
      </c>
      <c r="E1724">
        <f>IF(D1724&gt;=1,martianeum[[#This Row],[zawartosc]] * 0.01 *martianeum[[#This Row],[masa '[kg']]],0)</f>
        <v>5.1392999999999995</v>
      </c>
    </row>
    <row r="1725" spans="1:6" x14ac:dyDescent="0.25">
      <c r="A1725" s="1">
        <v>50364</v>
      </c>
      <c r="B1725" t="s">
        <v>17</v>
      </c>
      <c r="C1725">
        <v>15.1</v>
      </c>
      <c r="D1725">
        <v>6.2</v>
      </c>
      <c r="E1725">
        <f>IF(D1725&gt;=1,martianeum[[#This Row],[zawartosc]] * 0.01 *martianeum[[#This Row],[masa '[kg']]],0)</f>
        <v>0.93620000000000003</v>
      </c>
    </row>
    <row r="1726" spans="1:6" x14ac:dyDescent="0.25">
      <c r="A1726" s="1">
        <v>50365</v>
      </c>
      <c r="B1726" t="s">
        <v>14</v>
      </c>
      <c r="C1726">
        <v>21.7</v>
      </c>
      <c r="D1726">
        <v>0</v>
      </c>
      <c r="E1726">
        <f>IF(D1726&gt;=1,martianeum[[#This Row],[zawartosc]] * 0.01 *martianeum[[#This Row],[masa '[kg']]],0)</f>
        <v>0</v>
      </c>
    </row>
    <row r="1727" spans="1:6" x14ac:dyDescent="0.25">
      <c r="A1727" s="1">
        <v>50366</v>
      </c>
      <c r="B1727" t="s">
        <v>22</v>
      </c>
      <c r="C1727">
        <v>19.7</v>
      </c>
      <c r="D1727">
        <v>0.2</v>
      </c>
      <c r="E1727">
        <f>IF(D1727&gt;=1,martianeum[[#This Row],[zawartosc]] * 0.01 *martianeum[[#This Row],[masa '[kg']]],0)</f>
        <v>0</v>
      </c>
    </row>
    <row r="1728" spans="1:6" x14ac:dyDescent="0.25">
      <c r="A1728" s="1">
        <v>50367</v>
      </c>
      <c r="B1728" t="s">
        <v>6</v>
      </c>
      <c r="C1728">
        <v>17.5</v>
      </c>
      <c r="D1728">
        <v>2.2000000000000002</v>
      </c>
      <c r="E1728">
        <f>IF(D1728&gt;=1,martianeum[[#This Row],[zawartosc]] * 0.01 *martianeum[[#This Row],[masa '[kg']]],0)</f>
        <v>0.38500000000000006</v>
      </c>
    </row>
    <row r="1729" spans="1:6" x14ac:dyDescent="0.25">
      <c r="A1729" s="1">
        <v>50368</v>
      </c>
      <c r="B1729" t="s">
        <v>5</v>
      </c>
      <c r="C1729">
        <v>18.8</v>
      </c>
      <c r="D1729">
        <v>11.3</v>
      </c>
      <c r="E1729">
        <f>IF(D1729&gt;=1,martianeum[[#This Row],[zawartosc]] * 0.01 *martianeum[[#This Row],[masa '[kg']]],0)</f>
        <v>2.1244000000000001</v>
      </c>
    </row>
    <row r="1730" spans="1:6" x14ac:dyDescent="0.25">
      <c r="A1730" s="1">
        <v>50369</v>
      </c>
      <c r="B1730" t="s">
        <v>29</v>
      </c>
      <c r="C1730">
        <v>19.600000000000001</v>
      </c>
      <c r="D1730">
        <v>0.3</v>
      </c>
      <c r="E1730">
        <f>IF(D1730&gt;=1,martianeum[[#This Row],[zawartosc]] * 0.01 *martianeum[[#This Row],[masa '[kg']]],0)</f>
        <v>0</v>
      </c>
      <c r="F1730">
        <f t="shared" ref="F1730" si="245">SUM(C1724:C1730)</f>
        <v>123.5</v>
      </c>
    </row>
    <row r="1731" spans="1:6" x14ac:dyDescent="0.25">
      <c r="A1731" s="1">
        <v>50370</v>
      </c>
      <c r="B1731" t="s">
        <v>10</v>
      </c>
      <c r="C1731">
        <v>24.4</v>
      </c>
      <c r="D1731">
        <v>22</v>
      </c>
      <c r="E1731">
        <f>IF(D1731&gt;=1,martianeum[[#This Row],[zawartosc]] * 0.01 *martianeum[[#This Row],[masa '[kg']]],0)</f>
        <v>5.3679999999999994</v>
      </c>
    </row>
    <row r="1732" spans="1:6" x14ac:dyDescent="0.25">
      <c r="A1732" s="1">
        <v>50371</v>
      </c>
      <c r="B1732" t="s">
        <v>22</v>
      </c>
      <c r="C1732">
        <v>10.5</v>
      </c>
      <c r="D1732">
        <v>0.1</v>
      </c>
      <c r="E1732">
        <f>IF(D1732&gt;=1,martianeum[[#This Row],[zawartosc]] * 0.01 *martianeum[[#This Row],[masa '[kg']]],0)</f>
        <v>0</v>
      </c>
    </row>
    <row r="1733" spans="1:6" x14ac:dyDescent="0.25">
      <c r="A1733" s="1">
        <v>50372</v>
      </c>
      <c r="B1733" t="s">
        <v>8</v>
      </c>
      <c r="C1733">
        <v>23.5</v>
      </c>
      <c r="D1733">
        <v>0</v>
      </c>
      <c r="E1733">
        <f>IF(D1733&gt;=1,martianeum[[#This Row],[zawartosc]] * 0.01 *martianeum[[#This Row],[masa '[kg']]],0)</f>
        <v>0</v>
      </c>
    </row>
    <row r="1734" spans="1:6" x14ac:dyDescent="0.25">
      <c r="A1734" s="1">
        <v>50373</v>
      </c>
      <c r="B1734" t="s">
        <v>26</v>
      </c>
      <c r="C1734">
        <v>19.2</v>
      </c>
      <c r="D1734">
        <v>0</v>
      </c>
      <c r="E1734">
        <f>IF(D1734&gt;=1,martianeum[[#This Row],[zawartosc]] * 0.01 *martianeum[[#This Row],[masa '[kg']]],0)</f>
        <v>0</v>
      </c>
    </row>
    <row r="1735" spans="1:6" x14ac:dyDescent="0.25">
      <c r="A1735" s="1">
        <v>50374</v>
      </c>
      <c r="B1735" t="s">
        <v>5</v>
      </c>
      <c r="C1735">
        <v>11</v>
      </c>
      <c r="D1735">
        <v>0</v>
      </c>
      <c r="E1735">
        <f>IF(D1735&gt;=1,martianeum[[#This Row],[zawartosc]] * 0.01 *martianeum[[#This Row],[masa '[kg']]],0)</f>
        <v>0</v>
      </c>
    </row>
    <row r="1736" spans="1:6" x14ac:dyDescent="0.25">
      <c r="A1736" s="1">
        <v>50375</v>
      </c>
      <c r="B1736" t="s">
        <v>10</v>
      </c>
      <c r="C1736">
        <v>10.4</v>
      </c>
      <c r="D1736">
        <v>0</v>
      </c>
      <c r="E1736">
        <f>IF(D1736&gt;=1,martianeum[[#This Row],[zawartosc]] * 0.01 *martianeum[[#This Row],[masa '[kg']]],0)</f>
        <v>0</v>
      </c>
    </row>
    <row r="1737" spans="1:6" x14ac:dyDescent="0.25">
      <c r="A1737" s="1">
        <v>50376</v>
      </c>
      <c r="B1737" t="s">
        <v>6</v>
      </c>
      <c r="C1737">
        <v>11.9</v>
      </c>
      <c r="D1737">
        <v>9</v>
      </c>
      <c r="E1737">
        <f>IF(D1737&gt;=1,martianeum[[#This Row],[zawartosc]] * 0.01 *martianeum[[#This Row],[masa '[kg']]],0)</f>
        <v>1.071</v>
      </c>
      <c r="F1737">
        <f t="shared" ref="F1737" si="246">SUM(C1731:C1737)</f>
        <v>110.9</v>
      </c>
    </row>
    <row r="1738" spans="1:6" x14ac:dyDescent="0.25">
      <c r="A1738" s="1">
        <v>50377</v>
      </c>
      <c r="B1738" t="s">
        <v>13</v>
      </c>
      <c r="C1738">
        <v>23.1</v>
      </c>
      <c r="D1738">
        <v>2</v>
      </c>
      <c r="E1738">
        <f>IF(D1738&gt;=1,martianeum[[#This Row],[zawartosc]] * 0.01 *martianeum[[#This Row],[masa '[kg']]],0)</f>
        <v>0.46200000000000002</v>
      </c>
    </row>
    <row r="1739" spans="1:6" x14ac:dyDescent="0.25">
      <c r="A1739" s="1">
        <v>50378</v>
      </c>
      <c r="B1739" t="s">
        <v>18</v>
      </c>
      <c r="C1739">
        <v>18.600000000000001</v>
      </c>
      <c r="D1739">
        <v>17.2</v>
      </c>
      <c r="E1739">
        <f>IF(D1739&gt;=1,martianeum[[#This Row],[zawartosc]] * 0.01 *martianeum[[#This Row],[masa '[kg']]],0)</f>
        <v>3.1991999999999998</v>
      </c>
    </row>
    <row r="1740" spans="1:6" x14ac:dyDescent="0.25">
      <c r="A1740" s="1">
        <v>50379</v>
      </c>
      <c r="B1740" t="s">
        <v>5</v>
      </c>
      <c r="C1740">
        <v>21.8</v>
      </c>
      <c r="D1740">
        <v>12.3</v>
      </c>
      <c r="E1740">
        <f>IF(D1740&gt;=1,martianeum[[#This Row],[zawartosc]] * 0.01 *martianeum[[#This Row],[masa '[kg']]],0)</f>
        <v>2.6814000000000004</v>
      </c>
    </row>
    <row r="1741" spans="1:6" x14ac:dyDescent="0.25">
      <c r="A1741" s="1">
        <v>50380</v>
      </c>
      <c r="B1741" t="s">
        <v>13</v>
      </c>
      <c r="C1741">
        <v>27.7</v>
      </c>
      <c r="D1741">
        <v>7.4</v>
      </c>
      <c r="E1741">
        <f>IF(D1741&gt;=1,martianeum[[#This Row],[zawartosc]] * 0.01 *martianeum[[#This Row],[masa '[kg']]],0)</f>
        <v>2.0498000000000003</v>
      </c>
    </row>
    <row r="1742" spans="1:6" x14ac:dyDescent="0.25">
      <c r="A1742" s="1">
        <v>50381</v>
      </c>
      <c r="B1742" t="s">
        <v>18</v>
      </c>
      <c r="C1742">
        <v>23.2</v>
      </c>
      <c r="D1742">
        <v>24</v>
      </c>
      <c r="E1742">
        <f>IF(D1742&gt;=1,martianeum[[#This Row],[zawartosc]] * 0.01 *martianeum[[#This Row],[masa '[kg']]],0)</f>
        <v>5.5679999999999996</v>
      </c>
    </row>
    <row r="1743" spans="1:6" x14ac:dyDescent="0.25">
      <c r="A1743" s="1">
        <v>50382</v>
      </c>
      <c r="B1743" t="s">
        <v>18</v>
      </c>
      <c r="C1743">
        <v>25.8</v>
      </c>
      <c r="D1743">
        <v>16.100000000000001</v>
      </c>
      <c r="E1743">
        <f>IF(D1743&gt;=1,martianeum[[#This Row],[zawartosc]] * 0.01 *martianeum[[#This Row],[masa '[kg']]],0)</f>
        <v>4.1538000000000004</v>
      </c>
    </row>
    <row r="1744" spans="1:6" x14ac:dyDescent="0.25">
      <c r="A1744" s="1">
        <v>50383</v>
      </c>
      <c r="B1744" t="s">
        <v>4</v>
      </c>
      <c r="C1744">
        <v>19.8</v>
      </c>
      <c r="D1744">
        <v>6.6</v>
      </c>
      <c r="E1744">
        <f>IF(D1744&gt;=1,martianeum[[#This Row],[zawartosc]] * 0.01 *martianeum[[#This Row],[masa '[kg']]],0)</f>
        <v>1.3068000000000002</v>
      </c>
      <c r="F1744">
        <f t="shared" ref="F1744" si="247">SUM(C1738:C1744)</f>
        <v>160.00000000000003</v>
      </c>
    </row>
    <row r="1745" spans="1:6" x14ac:dyDescent="0.25">
      <c r="A1745" s="1">
        <v>50384</v>
      </c>
      <c r="B1745" t="s">
        <v>17</v>
      </c>
      <c r="C1745">
        <v>11.2</v>
      </c>
      <c r="D1745">
        <v>7.5</v>
      </c>
      <c r="E1745">
        <f>IF(D1745&gt;=1,martianeum[[#This Row],[zawartosc]] * 0.01 *martianeum[[#This Row],[masa '[kg']]],0)</f>
        <v>0.84</v>
      </c>
    </row>
    <row r="1746" spans="1:6" x14ac:dyDescent="0.25">
      <c r="A1746" s="1">
        <v>50385</v>
      </c>
      <c r="B1746" t="s">
        <v>9</v>
      </c>
      <c r="C1746">
        <v>15.7</v>
      </c>
      <c r="D1746">
        <v>0</v>
      </c>
      <c r="E1746">
        <f>IF(D1746&gt;=1,martianeum[[#This Row],[zawartosc]] * 0.01 *martianeum[[#This Row],[masa '[kg']]],0)</f>
        <v>0</v>
      </c>
    </row>
    <row r="1747" spans="1:6" x14ac:dyDescent="0.25">
      <c r="A1747" s="1">
        <v>50386</v>
      </c>
      <c r="B1747" t="s">
        <v>29</v>
      </c>
      <c r="C1747">
        <v>23.6</v>
      </c>
      <c r="D1747">
        <v>0.6</v>
      </c>
      <c r="E1747">
        <f>IF(D1747&gt;=1,martianeum[[#This Row],[zawartosc]] * 0.01 *martianeum[[#This Row],[masa '[kg']]],0)</f>
        <v>0</v>
      </c>
    </row>
    <row r="1748" spans="1:6" x14ac:dyDescent="0.25">
      <c r="A1748" s="1">
        <v>50387</v>
      </c>
      <c r="B1748" t="s">
        <v>7</v>
      </c>
      <c r="C1748">
        <v>27.5</v>
      </c>
      <c r="D1748">
        <v>5.3</v>
      </c>
      <c r="E1748">
        <f>IF(D1748&gt;=1,martianeum[[#This Row],[zawartosc]] * 0.01 *martianeum[[#This Row],[masa '[kg']]],0)</f>
        <v>1.4575</v>
      </c>
    </row>
    <row r="1749" spans="1:6" x14ac:dyDescent="0.25">
      <c r="A1749" s="1">
        <v>50388</v>
      </c>
      <c r="B1749" t="s">
        <v>4</v>
      </c>
      <c r="C1749">
        <v>17.3</v>
      </c>
      <c r="D1749">
        <v>0</v>
      </c>
      <c r="E1749">
        <f>IF(D1749&gt;=1,martianeum[[#This Row],[zawartosc]] * 0.01 *martianeum[[#This Row],[masa '[kg']]],0)</f>
        <v>0</v>
      </c>
    </row>
    <row r="1750" spans="1:6" x14ac:dyDescent="0.25">
      <c r="A1750" s="1">
        <v>50389</v>
      </c>
      <c r="B1750" t="s">
        <v>18</v>
      </c>
      <c r="C1750">
        <v>11.2</v>
      </c>
      <c r="D1750">
        <v>32.700000000000003</v>
      </c>
      <c r="E1750">
        <f>IF(D1750&gt;=1,martianeum[[#This Row],[zawartosc]] * 0.01 *martianeum[[#This Row],[masa '[kg']]],0)</f>
        <v>3.6623999999999999</v>
      </c>
    </row>
    <row r="1751" spans="1:6" x14ac:dyDescent="0.25">
      <c r="A1751" s="1">
        <v>50390</v>
      </c>
      <c r="B1751" t="s">
        <v>10</v>
      </c>
      <c r="C1751">
        <v>17.8</v>
      </c>
      <c r="D1751">
        <v>0</v>
      </c>
      <c r="E1751">
        <f>IF(D1751&gt;=1,martianeum[[#This Row],[zawartosc]] * 0.01 *martianeum[[#This Row],[masa '[kg']]],0)</f>
        <v>0</v>
      </c>
      <c r="F1751">
        <f t="shared" ref="F1751" si="248">SUM(C1745:C1751)</f>
        <v>124.3</v>
      </c>
    </row>
    <row r="1752" spans="1:6" x14ac:dyDescent="0.25">
      <c r="A1752" s="1">
        <v>50391</v>
      </c>
      <c r="B1752" t="s">
        <v>9</v>
      </c>
      <c r="C1752">
        <v>16.899999999999999</v>
      </c>
      <c r="D1752">
        <v>41.8</v>
      </c>
      <c r="E1752">
        <f>IF(D1752&gt;=1,martianeum[[#This Row],[zawartosc]] * 0.01 *martianeum[[#This Row],[masa '[kg']]],0)</f>
        <v>7.0641999999999987</v>
      </c>
    </row>
    <row r="1753" spans="1:6" x14ac:dyDescent="0.25">
      <c r="A1753" s="1">
        <v>50392</v>
      </c>
      <c r="B1753" t="s">
        <v>10</v>
      </c>
      <c r="C1753">
        <v>18.3</v>
      </c>
      <c r="D1753">
        <v>0</v>
      </c>
      <c r="E1753">
        <f>IF(D1753&gt;=1,martianeum[[#This Row],[zawartosc]] * 0.01 *martianeum[[#This Row],[masa '[kg']]],0)</f>
        <v>0</v>
      </c>
    </row>
    <row r="1754" spans="1:6" x14ac:dyDescent="0.25">
      <c r="A1754" s="1">
        <v>50393</v>
      </c>
      <c r="B1754" t="s">
        <v>16</v>
      </c>
      <c r="C1754">
        <v>12.2</v>
      </c>
      <c r="D1754">
        <v>0</v>
      </c>
      <c r="E1754">
        <f>IF(D1754&gt;=1,martianeum[[#This Row],[zawartosc]] * 0.01 *martianeum[[#This Row],[masa '[kg']]],0)</f>
        <v>0</v>
      </c>
    </row>
    <row r="1755" spans="1:6" x14ac:dyDescent="0.25">
      <c r="A1755" s="1">
        <v>50394</v>
      </c>
      <c r="B1755" t="s">
        <v>12</v>
      </c>
      <c r="C1755">
        <v>21.2</v>
      </c>
      <c r="D1755">
        <v>0</v>
      </c>
      <c r="E1755">
        <f>IF(D1755&gt;=1,martianeum[[#This Row],[zawartosc]] * 0.01 *martianeum[[#This Row],[masa '[kg']]],0)</f>
        <v>0</v>
      </c>
    </row>
    <row r="1756" spans="1:6" x14ac:dyDescent="0.25">
      <c r="A1756" s="1">
        <v>50395</v>
      </c>
      <c r="B1756" t="s">
        <v>9</v>
      </c>
      <c r="C1756">
        <v>19.600000000000001</v>
      </c>
      <c r="D1756">
        <v>48.2</v>
      </c>
      <c r="E1756">
        <f>IF(D1756&gt;=1,martianeum[[#This Row],[zawartosc]] * 0.01 *martianeum[[#This Row],[masa '[kg']]],0)</f>
        <v>9.4472000000000023</v>
      </c>
    </row>
    <row r="1757" spans="1:6" x14ac:dyDescent="0.25">
      <c r="A1757" s="1">
        <v>50396</v>
      </c>
      <c r="B1757" t="s">
        <v>8</v>
      </c>
      <c r="C1757">
        <v>15.6</v>
      </c>
      <c r="D1757">
        <v>0.6</v>
      </c>
      <c r="E1757">
        <f>IF(D1757&gt;=1,martianeum[[#This Row],[zawartosc]] * 0.01 *martianeum[[#This Row],[masa '[kg']]],0)</f>
        <v>0</v>
      </c>
    </row>
    <row r="1758" spans="1:6" x14ac:dyDescent="0.25">
      <c r="A1758" s="1">
        <v>50397</v>
      </c>
      <c r="B1758" t="s">
        <v>25</v>
      </c>
      <c r="C1758">
        <v>12.5</v>
      </c>
      <c r="D1758">
        <v>5.9</v>
      </c>
      <c r="E1758">
        <f>IF(D1758&gt;=1,martianeum[[#This Row],[zawartosc]] * 0.01 *martianeum[[#This Row],[masa '[kg']]],0)</f>
        <v>0.73750000000000004</v>
      </c>
      <c r="F1758">
        <f t="shared" ref="F1758" si="249">SUM(C1752:C1758)</f>
        <v>116.30000000000001</v>
      </c>
    </row>
    <row r="1759" spans="1:6" x14ac:dyDescent="0.25">
      <c r="A1759" s="1">
        <v>50398</v>
      </c>
      <c r="B1759" t="s">
        <v>11</v>
      </c>
      <c r="C1759">
        <v>29.3</v>
      </c>
      <c r="D1759">
        <v>0</v>
      </c>
      <c r="E1759">
        <f>IF(D1759&gt;=1,martianeum[[#This Row],[zawartosc]] * 0.01 *martianeum[[#This Row],[masa '[kg']]],0)</f>
        <v>0</v>
      </c>
    </row>
    <row r="1760" spans="1:6" x14ac:dyDescent="0.25">
      <c r="A1760" s="1">
        <v>50399</v>
      </c>
      <c r="B1760" t="s">
        <v>17</v>
      </c>
      <c r="C1760">
        <v>24.6</v>
      </c>
      <c r="D1760">
        <v>0</v>
      </c>
      <c r="E1760">
        <f>IF(D1760&gt;=1,martianeum[[#This Row],[zawartosc]] * 0.01 *martianeum[[#This Row],[masa '[kg']]],0)</f>
        <v>0</v>
      </c>
    </row>
    <row r="1761" spans="1:6" x14ac:dyDescent="0.25">
      <c r="A1761" s="1">
        <v>50400</v>
      </c>
      <c r="B1761" t="s">
        <v>8</v>
      </c>
      <c r="C1761">
        <v>21.2</v>
      </c>
      <c r="D1761">
        <v>3.1</v>
      </c>
      <c r="E1761">
        <f>IF(D1761&gt;=1,martianeum[[#This Row],[zawartosc]] * 0.01 *martianeum[[#This Row],[masa '[kg']]],0)</f>
        <v>0.65720000000000001</v>
      </c>
    </row>
    <row r="1762" spans="1:6" x14ac:dyDescent="0.25">
      <c r="A1762" s="1">
        <v>50401</v>
      </c>
      <c r="B1762" t="s">
        <v>9</v>
      </c>
      <c r="C1762">
        <v>12.7</v>
      </c>
      <c r="D1762">
        <v>38.1</v>
      </c>
      <c r="E1762">
        <f>IF(D1762&gt;=1,martianeum[[#This Row],[zawartosc]] * 0.01 *martianeum[[#This Row],[masa '[kg']]],0)</f>
        <v>4.8387000000000002</v>
      </c>
    </row>
    <row r="1763" spans="1:6" x14ac:dyDescent="0.25">
      <c r="A1763" s="1">
        <v>50402</v>
      </c>
      <c r="B1763" t="s">
        <v>22</v>
      </c>
      <c r="C1763">
        <v>20.6</v>
      </c>
      <c r="D1763">
        <v>5.2</v>
      </c>
      <c r="E1763">
        <f>IF(D1763&gt;=1,martianeum[[#This Row],[zawartosc]] * 0.01 *martianeum[[#This Row],[masa '[kg']]],0)</f>
        <v>1.0712000000000002</v>
      </c>
    </row>
    <row r="1764" spans="1:6" x14ac:dyDescent="0.25">
      <c r="A1764" s="1">
        <v>50403</v>
      </c>
      <c r="B1764" t="s">
        <v>11</v>
      </c>
      <c r="C1764">
        <v>28.3</v>
      </c>
      <c r="D1764">
        <v>0</v>
      </c>
      <c r="E1764">
        <f>IF(D1764&gt;=1,martianeum[[#This Row],[zawartosc]] * 0.01 *martianeum[[#This Row],[masa '[kg']]],0)</f>
        <v>0</v>
      </c>
    </row>
    <row r="1765" spans="1:6" x14ac:dyDescent="0.25">
      <c r="A1765" s="1">
        <v>50404</v>
      </c>
      <c r="B1765" t="s">
        <v>18</v>
      </c>
      <c r="C1765">
        <v>15.1</v>
      </c>
      <c r="D1765">
        <v>22.6</v>
      </c>
      <c r="E1765">
        <f>IF(D1765&gt;=1,martianeum[[#This Row],[zawartosc]] * 0.01 *martianeum[[#This Row],[masa '[kg']]],0)</f>
        <v>3.4125999999999999</v>
      </c>
      <c r="F1765">
        <f t="shared" ref="F1765" si="250">SUM(C1759:C1765)</f>
        <v>151.80000000000001</v>
      </c>
    </row>
    <row r="1766" spans="1:6" x14ac:dyDescent="0.25">
      <c r="A1766" s="1">
        <v>50405</v>
      </c>
      <c r="B1766" t="s">
        <v>14</v>
      </c>
      <c r="C1766">
        <v>24.8</v>
      </c>
      <c r="D1766">
        <v>10.5</v>
      </c>
      <c r="E1766">
        <f>IF(D1766&gt;=1,martianeum[[#This Row],[zawartosc]] * 0.01 *martianeum[[#This Row],[masa '[kg']]],0)</f>
        <v>2.6040000000000001</v>
      </c>
    </row>
    <row r="1767" spans="1:6" x14ac:dyDescent="0.25">
      <c r="A1767" s="1">
        <v>50406</v>
      </c>
      <c r="B1767" t="s">
        <v>20</v>
      </c>
      <c r="C1767">
        <v>16.899999999999999</v>
      </c>
      <c r="D1767">
        <v>1.2</v>
      </c>
      <c r="E1767">
        <f>IF(D1767&gt;=1,martianeum[[#This Row],[zawartosc]] * 0.01 *martianeum[[#This Row],[masa '[kg']]],0)</f>
        <v>0.20279999999999998</v>
      </c>
    </row>
    <row r="1768" spans="1:6" x14ac:dyDescent="0.25">
      <c r="A1768" s="1">
        <v>50407</v>
      </c>
      <c r="B1768" t="s">
        <v>20</v>
      </c>
      <c r="C1768">
        <v>23.4</v>
      </c>
      <c r="D1768">
        <v>0</v>
      </c>
      <c r="E1768">
        <f>IF(D1768&gt;=1,martianeum[[#This Row],[zawartosc]] * 0.01 *martianeum[[#This Row],[masa '[kg']]],0)</f>
        <v>0</v>
      </c>
    </row>
    <row r="1769" spans="1:6" x14ac:dyDescent="0.25">
      <c r="A1769" s="1">
        <v>50408</v>
      </c>
      <c r="B1769" t="s">
        <v>6</v>
      </c>
      <c r="C1769">
        <v>10.5</v>
      </c>
      <c r="D1769">
        <v>22.2</v>
      </c>
      <c r="E1769">
        <f>IF(D1769&gt;=1,martianeum[[#This Row],[zawartosc]] * 0.01 *martianeum[[#This Row],[masa '[kg']]],0)</f>
        <v>2.331</v>
      </c>
    </row>
    <row r="1770" spans="1:6" x14ac:dyDescent="0.25">
      <c r="A1770" s="1">
        <v>50409</v>
      </c>
      <c r="B1770" t="s">
        <v>9</v>
      </c>
      <c r="C1770">
        <v>16.2</v>
      </c>
      <c r="D1770">
        <v>0</v>
      </c>
      <c r="E1770">
        <f>IF(D1770&gt;=1,martianeum[[#This Row],[zawartosc]] * 0.01 *martianeum[[#This Row],[masa '[kg']]],0)</f>
        <v>0</v>
      </c>
    </row>
    <row r="1771" spans="1:6" x14ac:dyDescent="0.25">
      <c r="A1771" s="1">
        <v>50410</v>
      </c>
      <c r="B1771" t="s">
        <v>15</v>
      </c>
      <c r="C1771">
        <v>29.7</v>
      </c>
      <c r="D1771">
        <v>0.3</v>
      </c>
      <c r="E1771">
        <f>IF(D1771&gt;=1,martianeum[[#This Row],[zawartosc]] * 0.01 *martianeum[[#This Row],[masa '[kg']]],0)</f>
        <v>0</v>
      </c>
    </row>
    <row r="1772" spans="1:6" x14ac:dyDescent="0.25">
      <c r="A1772" s="1">
        <v>50411</v>
      </c>
      <c r="B1772" t="s">
        <v>9</v>
      </c>
      <c r="C1772">
        <v>12.8</v>
      </c>
      <c r="D1772">
        <v>0</v>
      </c>
      <c r="E1772">
        <f>IF(D1772&gt;=1,martianeum[[#This Row],[zawartosc]] * 0.01 *martianeum[[#This Row],[masa '[kg']]],0)</f>
        <v>0</v>
      </c>
      <c r="F1772">
        <f t="shared" ref="F1772" si="251">SUM(C1766:C1772)</f>
        <v>134.30000000000001</v>
      </c>
    </row>
    <row r="1773" spans="1:6" x14ac:dyDescent="0.25">
      <c r="A1773" s="1">
        <v>50412</v>
      </c>
      <c r="B1773" t="s">
        <v>7</v>
      </c>
      <c r="C1773">
        <v>19.100000000000001</v>
      </c>
      <c r="D1773">
        <v>1.7</v>
      </c>
      <c r="E1773">
        <f>IF(D1773&gt;=1,martianeum[[#This Row],[zawartosc]] * 0.01 *martianeum[[#This Row],[masa '[kg']]],0)</f>
        <v>0.32470000000000004</v>
      </c>
    </row>
    <row r="1774" spans="1:6" x14ac:dyDescent="0.25">
      <c r="A1774" s="1">
        <v>50413</v>
      </c>
      <c r="B1774" t="s">
        <v>10</v>
      </c>
      <c r="C1774">
        <v>27.7</v>
      </c>
      <c r="D1774">
        <v>0</v>
      </c>
      <c r="E1774">
        <f>IF(D1774&gt;=1,martianeum[[#This Row],[zawartosc]] * 0.01 *martianeum[[#This Row],[masa '[kg']]],0)</f>
        <v>0</v>
      </c>
    </row>
    <row r="1775" spans="1:6" x14ac:dyDescent="0.25">
      <c r="A1775" s="1">
        <v>50414</v>
      </c>
      <c r="B1775" t="s">
        <v>13</v>
      </c>
      <c r="C1775">
        <v>22</v>
      </c>
      <c r="D1775">
        <v>5.9</v>
      </c>
      <c r="E1775">
        <f>IF(D1775&gt;=1,martianeum[[#This Row],[zawartosc]] * 0.01 *martianeum[[#This Row],[masa '[kg']]],0)</f>
        <v>1.298</v>
      </c>
    </row>
    <row r="1776" spans="1:6" x14ac:dyDescent="0.25">
      <c r="A1776" s="1">
        <v>50415</v>
      </c>
      <c r="B1776" t="s">
        <v>5</v>
      </c>
      <c r="C1776">
        <v>19.600000000000001</v>
      </c>
      <c r="D1776">
        <v>2.7</v>
      </c>
      <c r="E1776">
        <f>IF(D1776&gt;=1,martianeum[[#This Row],[zawartosc]] * 0.01 *martianeum[[#This Row],[masa '[kg']]],0)</f>
        <v>0.52920000000000011</v>
      </c>
    </row>
    <row r="1777" spans="1:6" x14ac:dyDescent="0.25">
      <c r="A1777" s="1">
        <v>50416</v>
      </c>
      <c r="B1777" t="s">
        <v>7</v>
      </c>
      <c r="C1777">
        <v>16</v>
      </c>
      <c r="D1777">
        <v>0.3</v>
      </c>
      <c r="E1777">
        <f>IF(D1777&gt;=1,martianeum[[#This Row],[zawartosc]] * 0.01 *martianeum[[#This Row],[masa '[kg']]],0)</f>
        <v>0</v>
      </c>
    </row>
    <row r="1778" spans="1:6" x14ac:dyDescent="0.25">
      <c r="A1778" s="1">
        <v>50417</v>
      </c>
      <c r="B1778" t="s">
        <v>4</v>
      </c>
      <c r="C1778">
        <v>14</v>
      </c>
      <c r="D1778">
        <v>1.3</v>
      </c>
      <c r="E1778">
        <f>IF(D1778&gt;=1,martianeum[[#This Row],[zawartosc]] * 0.01 *martianeum[[#This Row],[masa '[kg']]],0)</f>
        <v>0.18200000000000002</v>
      </c>
    </row>
    <row r="1779" spans="1:6" x14ac:dyDescent="0.25">
      <c r="A1779" s="1">
        <v>50418</v>
      </c>
      <c r="B1779" t="s">
        <v>14</v>
      </c>
      <c r="C1779">
        <v>29.5</v>
      </c>
      <c r="D1779">
        <v>3.3</v>
      </c>
      <c r="E1779">
        <f>IF(D1779&gt;=1,martianeum[[#This Row],[zawartosc]] * 0.01 *martianeum[[#This Row],[masa '[kg']]],0)</f>
        <v>0.97350000000000003</v>
      </c>
      <c r="F1779">
        <f t="shared" ref="F1779" si="252">SUM(C1773:C1779)</f>
        <v>147.9</v>
      </c>
    </row>
    <row r="1780" spans="1:6" x14ac:dyDescent="0.25">
      <c r="A1780" s="1">
        <v>50419</v>
      </c>
      <c r="B1780" t="s">
        <v>6</v>
      </c>
      <c r="C1780">
        <v>12.2</v>
      </c>
      <c r="D1780">
        <v>0</v>
      </c>
      <c r="E1780">
        <f>IF(D1780&gt;=1,martianeum[[#This Row],[zawartosc]] * 0.01 *martianeum[[#This Row],[masa '[kg']]],0)</f>
        <v>0</v>
      </c>
    </row>
    <row r="1781" spans="1:6" x14ac:dyDescent="0.25">
      <c r="A1781" s="1">
        <v>50420</v>
      </c>
      <c r="B1781" t="s">
        <v>10</v>
      </c>
      <c r="C1781">
        <v>15</v>
      </c>
      <c r="D1781">
        <v>7.4</v>
      </c>
      <c r="E1781">
        <f>IF(D1781&gt;=1,martianeum[[#This Row],[zawartosc]] * 0.01 *martianeum[[#This Row],[masa '[kg']]],0)</f>
        <v>1.1100000000000001</v>
      </c>
    </row>
    <row r="1782" spans="1:6" x14ac:dyDescent="0.25">
      <c r="A1782" s="1">
        <v>50421</v>
      </c>
      <c r="B1782" t="s">
        <v>19</v>
      </c>
      <c r="C1782">
        <v>10.4</v>
      </c>
      <c r="D1782">
        <v>2</v>
      </c>
      <c r="E1782">
        <f>IF(D1782&gt;=1,martianeum[[#This Row],[zawartosc]] * 0.01 *martianeum[[#This Row],[masa '[kg']]],0)</f>
        <v>0.20800000000000002</v>
      </c>
    </row>
    <row r="1783" spans="1:6" x14ac:dyDescent="0.25">
      <c r="A1783" s="1">
        <v>50422</v>
      </c>
      <c r="B1783" t="s">
        <v>18</v>
      </c>
      <c r="C1783">
        <v>18.600000000000001</v>
      </c>
      <c r="D1783">
        <v>4.5999999999999996</v>
      </c>
      <c r="E1783">
        <f>IF(D1783&gt;=1,martianeum[[#This Row],[zawartosc]] * 0.01 *martianeum[[#This Row],[masa '[kg']]],0)</f>
        <v>0.85560000000000003</v>
      </c>
    </row>
    <row r="1784" spans="1:6" x14ac:dyDescent="0.25">
      <c r="A1784" s="1">
        <v>50423</v>
      </c>
      <c r="B1784" t="s">
        <v>17</v>
      </c>
      <c r="C1784">
        <v>23.7</v>
      </c>
      <c r="D1784">
        <v>7.2</v>
      </c>
      <c r="E1784">
        <f>IF(D1784&gt;=1,martianeum[[#This Row],[zawartosc]] * 0.01 *martianeum[[#This Row],[masa '[kg']]],0)</f>
        <v>1.7064000000000001</v>
      </c>
    </row>
    <row r="1785" spans="1:6" x14ac:dyDescent="0.25">
      <c r="A1785" s="1">
        <v>50424</v>
      </c>
      <c r="B1785" t="s">
        <v>4</v>
      </c>
      <c r="C1785">
        <v>27.2</v>
      </c>
      <c r="D1785">
        <v>0</v>
      </c>
      <c r="E1785">
        <f>IF(D1785&gt;=1,martianeum[[#This Row],[zawartosc]] * 0.01 *martianeum[[#This Row],[masa '[kg']]],0)</f>
        <v>0</v>
      </c>
    </row>
    <row r="1786" spans="1:6" x14ac:dyDescent="0.25">
      <c r="A1786" s="1">
        <v>50425</v>
      </c>
      <c r="B1786" t="s">
        <v>14</v>
      </c>
      <c r="C1786">
        <v>11.3</v>
      </c>
      <c r="D1786">
        <v>18.8</v>
      </c>
      <c r="E1786">
        <f>IF(D1786&gt;=1,martianeum[[#This Row],[zawartosc]] * 0.01 *martianeum[[#This Row],[masa '[kg']]],0)</f>
        <v>2.1244000000000001</v>
      </c>
      <c r="F1786">
        <f t="shared" ref="F1786" si="253">SUM(C1780:C1786)</f>
        <v>118.4</v>
      </c>
    </row>
    <row r="1787" spans="1:6" x14ac:dyDescent="0.25">
      <c r="A1787" s="1">
        <v>50426</v>
      </c>
      <c r="B1787" t="s">
        <v>6</v>
      </c>
      <c r="C1787">
        <v>22.1</v>
      </c>
      <c r="D1787">
        <v>0</v>
      </c>
      <c r="E1787">
        <f>IF(D1787&gt;=1,martianeum[[#This Row],[zawartosc]] * 0.01 *martianeum[[#This Row],[masa '[kg']]],0)</f>
        <v>0</v>
      </c>
    </row>
    <row r="1788" spans="1:6" x14ac:dyDescent="0.25">
      <c r="A1788" s="1">
        <v>50427</v>
      </c>
      <c r="B1788" t="s">
        <v>11</v>
      </c>
      <c r="C1788">
        <v>11</v>
      </c>
      <c r="D1788">
        <v>0</v>
      </c>
      <c r="E1788">
        <f>IF(D1788&gt;=1,martianeum[[#This Row],[zawartosc]] * 0.01 *martianeum[[#This Row],[masa '[kg']]],0)</f>
        <v>0</v>
      </c>
    </row>
    <row r="1789" spans="1:6" x14ac:dyDescent="0.25">
      <c r="A1789" s="1">
        <v>50428</v>
      </c>
      <c r="B1789" t="s">
        <v>18</v>
      </c>
      <c r="C1789">
        <v>14.7</v>
      </c>
      <c r="D1789">
        <v>0</v>
      </c>
      <c r="E1789">
        <f>IF(D1789&gt;=1,martianeum[[#This Row],[zawartosc]] * 0.01 *martianeum[[#This Row],[masa '[kg']]],0)</f>
        <v>0</v>
      </c>
    </row>
    <row r="1790" spans="1:6" x14ac:dyDescent="0.25">
      <c r="A1790" s="1">
        <v>50429</v>
      </c>
      <c r="B1790" t="s">
        <v>18</v>
      </c>
      <c r="C1790">
        <v>10.4</v>
      </c>
      <c r="D1790">
        <v>14.4</v>
      </c>
      <c r="E1790">
        <f>IF(D1790&gt;=1,martianeum[[#This Row],[zawartosc]] * 0.01 *martianeum[[#This Row],[masa '[kg']]],0)</f>
        <v>1.4976000000000003</v>
      </c>
    </row>
    <row r="1791" spans="1:6" x14ac:dyDescent="0.25">
      <c r="A1791" s="1">
        <v>50430</v>
      </c>
      <c r="B1791" t="s">
        <v>23</v>
      </c>
      <c r="C1791">
        <v>29.6</v>
      </c>
      <c r="D1791">
        <v>2.8</v>
      </c>
      <c r="E1791">
        <f>IF(D1791&gt;=1,martianeum[[#This Row],[zawartosc]] * 0.01 *martianeum[[#This Row],[masa '[kg']]],0)</f>
        <v>0.82879999999999998</v>
      </c>
    </row>
    <row r="1792" spans="1:6" x14ac:dyDescent="0.25">
      <c r="A1792" s="1">
        <v>50431</v>
      </c>
      <c r="B1792" t="s">
        <v>17</v>
      </c>
      <c r="C1792">
        <v>11.3</v>
      </c>
      <c r="D1792">
        <v>7.2</v>
      </c>
      <c r="E1792">
        <f>IF(D1792&gt;=1,martianeum[[#This Row],[zawartosc]] * 0.01 *martianeum[[#This Row],[masa '[kg']]],0)</f>
        <v>0.8136000000000001</v>
      </c>
    </row>
    <row r="1793" spans="1:6" x14ac:dyDescent="0.25">
      <c r="A1793" s="1">
        <v>50432</v>
      </c>
      <c r="B1793" t="s">
        <v>19</v>
      </c>
      <c r="C1793">
        <v>22.4</v>
      </c>
      <c r="D1793">
        <v>0</v>
      </c>
      <c r="E1793">
        <f>IF(D1793&gt;=1,martianeum[[#This Row],[zawartosc]] * 0.01 *martianeum[[#This Row],[masa '[kg']]],0)</f>
        <v>0</v>
      </c>
      <c r="F1793">
        <f t="shared" ref="F1793" si="254">SUM(C1787:C1793)</f>
        <v>121.5</v>
      </c>
    </row>
    <row r="1794" spans="1:6" x14ac:dyDescent="0.25">
      <c r="A1794" s="1">
        <v>50433</v>
      </c>
      <c r="B1794" t="s">
        <v>18</v>
      </c>
      <c r="C1794">
        <v>19.600000000000001</v>
      </c>
      <c r="D1794">
        <v>28.7</v>
      </c>
      <c r="E1794">
        <f>IF(D1794&gt;=1,martianeum[[#This Row],[zawartosc]] * 0.01 *martianeum[[#This Row],[masa '[kg']]],0)</f>
        <v>5.6251999999999995</v>
      </c>
    </row>
    <row r="1795" spans="1:6" x14ac:dyDescent="0.25">
      <c r="A1795" s="1">
        <v>50434</v>
      </c>
      <c r="B1795" t="s">
        <v>5</v>
      </c>
      <c r="C1795">
        <v>28.5</v>
      </c>
      <c r="D1795">
        <v>12.9</v>
      </c>
      <c r="E1795">
        <f>IF(D1795&gt;=1,martianeum[[#This Row],[zawartosc]] * 0.01 *martianeum[[#This Row],[masa '[kg']]],0)</f>
        <v>3.6764999999999999</v>
      </c>
    </row>
    <row r="1796" spans="1:6" x14ac:dyDescent="0.25">
      <c r="A1796" s="1">
        <v>50435</v>
      </c>
      <c r="B1796" t="s">
        <v>23</v>
      </c>
      <c r="C1796">
        <v>10.9</v>
      </c>
      <c r="D1796">
        <v>0</v>
      </c>
      <c r="E1796">
        <f>IF(D1796&gt;=1,martianeum[[#This Row],[zawartosc]] * 0.01 *martianeum[[#This Row],[masa '[kg']]],0)</f>
        <v>0</v>
      </c>
    </row>
    <row r="1797" spans="1:6" x14ac:dyDescent="0.25">
      <c r="A1797" s="1">
        <v>50436</v>
      </c>
      <c r="B1797" t="s">
        <v>12</v>
      </c>
      <c r="C1797">
        <v>13.4</v>
      </c>
      <c r="D1797">
        <v>15.7</v>
      </c>
      <c r="E1797">
        <f>IF(D1797&gt;=1,martianeum[[#This Row],[zawartosc]] * 0.01 *martianeum[[#This Row],[masa '[kg']]],0)</f>
        <v>2.1038000000000001</v>
      </c>
    </row>
    <row r="1798" spans="1:6" x14ac:dyDescent="0.25">
      <c r="A1798" s="1">
        <v>50437</v>
      </c>
      <c r="B1798" t="s">
        <v>18</v>
      </c>
      <c r="C1798">
        <v>27.3</v>
      </c>
      <c r="D1798">
        <v>0</v>
      </c>
      <c r="E1798">
        <f>IF(D1798&gt;=1,martianeum[[#This Row],[zawartosc]] * 0.01 *martianeum[[#This Row],[masa '[kg']]],0)</f>
        <v>0</v>
      </c>
    </row>
    <row r="1799" spans="1:6" x14ac:dyDescent="0.25">
      <c r="A1799" s="1">
        <v>50438</v>
      </c>
      <c r="B1799" t="s">
        <v>8</v>
      </c>
      <c r="C1799">
        <v>23.6</v>
      </c>
      <c r="D1799">
        <v>0</v>
      </c>
      <c r="E1799">
        <f>IF(D1799&gt;=1,martianeum[[#This Row],[zawartosc]] * 0.01 *martianeum[[#This Row],[masa '[kg']]],0)</f>
        <v>0</v>
      </c>
    </row>
    <row r="1800" spans="1:6" x14ac:dyDescent="0.25">
      <c r="A1800" s="1">
        <v>50439</v>
      </c>
      <c r="B1800" t="s">
        <v>6</v>
      </c>
      <c r="C1800">
        <v>26.5</v>
      </c>
      <c r="D1800">
        <v>20.3</v>
      </c>
      <c r="E1800">
        <f>IF(D1800&gt;=1,martianeum[[#This Row],[zawartosc]] * 0.01 *martianeum[[#This Row],[masa '[kg']]],0)</f>
        <v>5.3795000000000002</v>
      </c>
      <c r="F1800">
        <f t="shared" ref="F1800" si="255">SUM(C1794:C1800)</f>
        <v>149.80000000000001</v>
      </c>
    </row>
    <row r="1801" spans="1:6" x14ac:dyDescent="0.25">
      <c r="A1801" s="1">
        <v>50440</v>
      </c>
      <c r="B1801" t="s">
        <v>8</v>
      </c>
      <c r="C1801">
        <v>23.6</v>
      </c>
      <c r="D1801">
        <v>6.5</v>
      </c>
      <c r="E1801">
        <f>IF(D1801&gt;=1,martianeum[[#This Row],[zawartosc]] * 0.01 *martianeum[[#This Row],[masa '[kg']]],0)</f>
        <v>1.5340000000000003</v>
      </c>
    </row>
    <row r="1802" spans="1:6" x14ac:dyDescent="0.25">
      <c r="A1802" s="1">
        <v>50441</v>
      </c>
      <c r="B1802" t="s">
        <v>10</v>
      </c>
      <c r="C1802">
        <v>22.4</v>
      </c>
      <c r="D1802">
        <v>13.3</v>
      </c>
      <c r="E1802">
        <f>IF(D1802&gt;=1,martianeum[[#This Row],[zawartosc]] * 0.01 *martianeum[[#This Row],[masa '[kg']]],0)</f>
        <v>2.9792000000000001</v>
      </c>
    </row>
    <row r="1803" spans="1:6" x14ac:dyDescent="0.25">
      <c r="A1803" s="1">
        <v>50442</v>
      </c>
      <c r="B1803" t="s">
        <v>17</v>
      </c>
      <c r="C1803">
        <v>22</v>
      </c>
      <c r="D1803">
        <v>15.5</v>
      </c>
      <c r="E1803">
        <f>IF(D1803&gt;=1,martianeum[[#This Row],[zawartosc]] * 0.01 *martianeum[[#This Row],[masa '[kg']]],0)</f>
        <v>3.41</v>
      </c>
    </row>
    <row r="1804" spans="1:6" x14ac:dyDescent="0.25">
      <c r="A1804" s="1">
        <v>50443</v>
      </c>
      <c r="B1804" t="s">
        <v>26</v>
      </c>
      <c r="C1804">
        <v>10.8</v>
      </c>
      <c r="D1804">
        <v>0.4</v>
      </c>
      <c r="E1804">
        <f>IF(D1804&gt;=1,martianeum[[#This Row],[zawartosc]] * 0.01 *martianeum[[#This Row],[masa '[kg']]],0)</f>
        <v>0</v>
      </c>
    </row>
    <row r="1805" spans="1:6" x14ac:dyDescent="0.25">
      <c r="A1805" s="1">
        <v>50444</v>
      </c>
      <c r="B1805" t="s">
        <v>14</v>
      </c>
      <c r="C1805">
        <v>21.6</v>
      </c>
      <c r="D1805">
        <v>0</v>
      </c>
      <c r="E1805">
        <f>IF(D1805&gt;=1,martianeum[[#This Row],[zawartosc]] * 0.01 *martianeum[[#This Row],[masa '[kg']]],0)</f>
        <v>0</v>
      </c>
    </row>
    <row r="1806" spans="1:6" x14ac:dyDescent="0.25">
      <c r="A1806" s="1">
        <v>50445</v>
      </c>
      <c r="B1806" t="s">
        <v>7</v>
      </c>
      <c r="C1806">
        <v>10.1</v>
      </c>
      <c r="D1806">
        <v>0</v>
      </c>
      <c r="E1806">
        <f>IF(D1806&gt;=1,martianeum[[#This Row],[zawartosc]] * 0.01 *martianeum[[#This Row],[masa '[kg']]],0)</f>
        <v>0</v>
      </c>
    </row>
    <row r="1807" spans="1:6" x14ac:dyDescent="0.25">
      <c r="A1807" s="1">
        <v>50446</v>
      </c>
      <c r="B1807" t="s">
        <v>10</v>
      </c>
      <c r="C1807">
        <v>29</v>
      </c>
      <c r="D1807">
        <v>12.6</v>
      </c>
      <c r="E1807">
        <f>IF(D1807&gt;=1,martianeum[[#This Row],[zawartosc]] * 0.01 *martianeum[[#This Row],[masa '[kg']]],0)</f>
        <v>3.6539999999999999</v>
      </c>
      <c r="F1807">
        <f t="shared" ref="F1807" si="256">SUM(C1801:C1807)</f>
        <v>139.5</v>
      </c>
    </row>
    <row r="1808" spans="1:6" x14ac:dyDescent="0.25">
      <c r="A1808" s="1">
        <v>50447</v>
      </c>
      <c r="B1808" t="s">
        <v>7</v>
      </c>
      <c r="C1808">
        <v>16.399999999999999</v>
      </c>
      <c r="D1808">
        <v>3.7</v>
      </c>
      <c r="E1808">
        <f>IF(D1808&gt;=1,martianeum[[#This Row],[zawartosc]] * 0.01 *martianeum[[#This Row],[masa '[kg']]],0)</f>
        <v>0.60680000000000001</v>
      </c>
    </row>
    <row r="1809" spans="1:6" x14ac:dyDescent="0.25">
      <c r="A1809" s="1">
        <v>50448</v>
      </c>
      <c r="B1809" t="s">
        <v>18</v>
      </c>
      <c r="C1809">
        <v>13.5</v>
      </c>
      <c r="D1809">
        <v>38.5</v>
      </c>
      <c r="E1809">
        <f>IF(D1809&gt;=1,martianeum[[#This Row],[zawartosc]] * 0.01 *martianeum[[#This Row],[masa '[kg']]],0)</f>
        <v>5.1974999999999998</v>
      </c>
    </row>
    <row r="1810" spans="1:6" x14ac:dyDescent="0.25">
      <c r="A1810" s="1">
        <v>50449</v>
      </c>
      <c r="B1810" t="s">
        <v>13</v>
      </c>
      <c r="C1810">
        <v>18.100000000000001</v>
      </c>
      <c r="D1810">
        <v>3</v>
      </c>
      <c r="E1810">
        <f>IF(D1810&gt;=1,martianeum[[#This Row],[zawartosc]] * 0.01 *martianeum[[#This Row],[masa '[kg']]],0)</f>
        <v>0.54300000000000004</v>
      </c>
    </row>
    <row r="1811" spans="1:6" x14ac:dyDescent="0.25">
      <c r="A1811" s="1">
        <v>50450</v>
      </c>
      <c r="B1811" t="s">
        <v>6</v>
      </c>
      <c r="C1811">
        <v>20.399999999999999</v>
      </c>
      <c r="D1811">
        <v>11.7</v>
      </c>
      <c r="E1811">
        <f>IF(D1811&gt;=1,martianeum[[#This Row],[zawartosc]] * 0.01 *martianeum[[#This Row],[masa '[kg']]],0)</f>
        <v>2.3867999999999996</v>
      </c>
    </row>
    <row r="1812" spans="1:6" x14ac:dyDescent="0.25">
      <c r="A1812" s="1">
        <v>50451</v>
      </c>
      <c r="B1812" t="s">
        <v>14</v>
      </c>
      <c r="C1812">
        <v>29.6</v>
      </c>
      <c r="D1812">
        <v>0.9</v>
      </c>
      <c r="E1812">
        <f>IF(D1812&gt;=1,martianeum[[#This Row],[zawartosc]] * 0.01 *martianeum[[#This Row],[masa '[kg']]],0)</f>
        <v>0</v>
      </c>
    </row>
    <row r="1813" spans="1:6" x14ac:dyDescent="0.25">
      <c r="A1813" s="1">
        <v>50452</v>
      </c>
      <c r="B1813" t="s">
        <v>31</v>
      </c>
      <c r="C1813">
        <v>11.4</v>
      </c>
      <c r="D1813">
        <v>0.6</v>
      </c>
      <c r="E1813">
        <f>IF(D1813&gt;=1,martianeum[[#This Row],[zawartosc]] * 0.01 *martianeum[[#This Row],[masa '[kg']]],0)</f>
        <v>0</v>
      </c>
    </row>
    <row r="1814" spans="1:6" x14ac:dyDescent="0.25">
      <c r="A1814" s="1">
        <v>50453</v>
      </c>
      <c r="B1814" t="s">
        <v>10</v>
      </c>
      <c r="C1814">
        <v>28.8</v>
      </c>
      <c r="D1814">
        <v>14.1</v>
      </c>
      <c r="E1814">
        <f>IF(D1814&gt;=1,martianeum[[#This Row],[zawartosc]] * 0.01 *martianeum[[#This Row],[masa '[kg']]],0)</f>
        <v>4.0607999999999995</v>
      </c>
      <c r="F1814">
        <f t="shared" ref="F1814" si="257">SUM(C1808:C1814)</f>
        <v>138.20000000000002</v>
      </c>
    </row>
    <row r="1815" spans="1:6" x14ac:dyDescent="0.25">
      <c r="A1815" s="1">
        <v>50454</v>
      </c>
      <c r="B1815" t="s">
        <v>9</v>
      </c>
      <c r="C1815">
        <v>11.8</v>
      </c>
      <c r="D1815">
        <v>42.4</v>
      </c>
      <c r="E1815">
        <f>IF(D1815&gt;=1,martianeum[[#This Row],[zawartosc]] * 0.01 *martianeum[[#This Row],[masa '[kg']]],0)</f>
        <v>5.0032000000000005</v>
      </c>
    </row>
    <row r="1816" spans="1:6" x14ac:dyDescent="0.25">
      <c r="A1816" s="1">
        <v>50455</v>
      </c>
      <c r="B1816" t="s">
        <v>6</v>
      </c>
      <c r="C1816">
        <v>11.5</v>
      </c>
      <c r="D1816">
        <v>10.1</v>
      </c>
      <c r="E1816">
        <f>IF(D1816&gt;=1,martianeum[[#This Row],[zawartosc]] * 0.01 *martianeum[[#This Row],[masa '[kg']]],0)</f>
        <v>1.1615</v>
      </c>
    </row>
    <row r="1817" spans="1:6" x14ac:dyDescent="0.25">
      <c r="A1817" s="1">
        <v>50456</v>
      </c>
      <c r="B1817" t="s">
        <v>12</v>
      </c>
      <c r="C1817">
        <v>13.6</v>
      </c>
      <c r="D1817">
        <v>8.4</v>
      </c>
      <c r="E1817">
        <f>IF(D1817&gt;=1,martianeum[[#This Row],[zawartosc]] * 0.01 *martianeum[[#This Row],[masa '[kg']]],0)</f>
        <v>1.1424000000000001</v>
      </c>
    </row>
    <row r="1818" spans="1:6" x14ac:dyDescent="0.25">
      <c r="A1818" s="1">
        <v>50457</v>
      </c>
      <c r="B1818" t="s">
        <v>30</v>
      </c>
      <c r="C1818">
        <v>14.1</v>
      </c>
      <c r="D1818">
        <v>0.7</v>
      </c>
      <c r="E1818">
        <f>IF(D1818&gt;=1,martianeum[[#This Row],[zawartosc]] * 0.01 *martianeum[[#This Row],[masa '[kg']]],0)</f>
        <v>0</v>
      </c>
    </row>
    <row r="1819" spans="1:6" x14ac:dyDescent="0.25">
      <c r="A1819" s="1">
        <v>50458</v>
      </c>
      <c r="B1819" t="s">
        <v>18</v>
      </c>
      <c r="C1819">
        <v>19.399999999999999</v>
      </c>
      <c r="D1819">
        <v>32.700000000000003</v>
      </c>
      <c r="E1819">
        <f>IF(D1819&gt;=1,martianeum[[#This Row],[zawartosc]] * 0.01 *martianeum[[#This Row],[masa '[kg']]],0)</f>
        <v>6.3437999999999999</v>
      </c>
    </row>
    <row r="1820" spans="1:6" x14ac:dyDescent="0.25">
      <c r="A1820" s="1">
        <v>50459</v>
      </c>
      <c r="B1820" t="s">
        <v>32</v>
      </c>
      <c r="C1820">
        <v>28.5</v>
      </c>
      <c r="D1820">
        <v>0</v>
      </c>
      <c r="E1820">
        <f>IF(D1820&gt;=1,martianeum[[#This Row],[zawartosc]] * 0.01 *martianeum[[#This Row],[masa '[kg']]],0)</f>
        <v>0</v>
      </c>
    </row>
    <row r="1821" spans="1:6" x14ac:dyDescent="0.25">
      <c r="A1821" s="1">
        <v>50460</v>
      </c>
      <c r="B1821" t="s">
        <v>18</v>
      </c>
      <c r="C1821">
        <v>23.7</v>
      </c>
      <c r="D1821">
        <v>12.2</v>
      </c>
      <c r="E1821">
        <f>IF(D1821&gt;=1,martianeum[[#This Row],[zawartosc]] * 0.01 *martianeum[[#This Row],[masa '[kg']]],0)</f>
        <v>2.8914</v>
      </c>
      <c r="F1821">
        <f t="shared" ref="F1821" si="258">SUM(C1815:C1821)</f>
        <v>122.60000000000001</v>
      </c>
    </row>
    <row r="1822" spans="1:6" x14ac:dyDescent="0.25">
      <c r="A1822" s="1">
        <v>50461</v>
      </c>
      <c r="B1822" t="s">
        <v>19</v>
      </c>
      <c r="C1822">
        <v>21.7</v>
      </c>
      <c r="D1822">
        <v>0</v>
      </c>
      <c r="E1822">
        <f>IF(D1822&gt;=1,martianeum[[#This Row],[zawartosc]] * 0.01 *martianeum[[#This Row],[masa '[kg']]],0)</f>
        <v>0</v>
      </c>
    </row>
    <row r="1823" spans="1:6" x14ac:dyDescent="0.25">
      <c r="A1823" s="1">
        <v>50462</v>
      </c>
      <c r="B1823" t="s">
        <v>5</v>
      </c>
      <c r="C1823">
        <v>13.3</v>
      </c>
      <c r="D1823">
        <v>0</v>
      </c>
      <c r="E1823">
        <f>IF(D1823&gt;=1,martianeum[[#This Row],[zawartosc]] * 0.01 *martianeum[[#This Row],[masa '[kg']]],0)</f>
        <v>0</v>
      </c>
    </row>
    <row r="1824" spans="1:6" x14ac:dyDescent="0.25">
      <c r="A1824" s="1">
        <v>50463</v>
      </c>
      <c r="B1824" t="s">
        <v>8</v>
      </c>
      <c r="C1824">
        <v>14.4</v>
      </c>
      <c r="D1824">
        <v>0</v>
      </c>
      <c r="E1824">
        <f>IF(D1824&gt;=1,martianeum[[#This Row],[zawartosc]] * 0.01 *martianeum[[#This Row],[masa '[kg']]],0)</f>
        <v>0</v>
      </c>
    </row>
    <row r="1825" spans="1:6" x14ac:dyDescent="0.25">
      <c r="A1825" s="1">
        <v>50464</v>
      </c>
      <c r="B1825" t="s">
        <v>10</v>
      </c>
      <c r="C1825">
        <v>28.5</v>
      </c>
      <c r="D1825">
        <v>21.5</v>
      </c>
      <c r="E1825">
        <f>IF(D1825&gt;=1,martianeum[[#This Row],[zawartosc]] * 0.01 *martianeum[[#This Row],[masa '[kg']]],0)</f>
        <v>6.1274999999999995</v>
      </c>
    </row>
    <row r="1826" spans="1:6" x14ac:dyDescent="0.25">
      <c r="A1826" s="1">
        <v>50465</v>
      </c>
      <c r="B1826" t="s">
        <v>18</v>
      </c>
      <c r="C1826">
        <v>20.5</v>
      </c>
      <c r="D1826">
        <v>0</v>
      </c>
      <c r="E1826">
        <f>IF(D1826&gt;=1,martianeum[[#This Row],[zawartosc]] * 0.01 *martianeum[[#This Row],[masa '[kg']]],0)</f>
        <v>0</v>
      </c>
    </row>
    <row r="1827" spans="1:6" x14ac:dyDescent="0.25">
      <c r="A1827" s="1">
        <v>50466</v>
      </c>
      <c r="B1827" t="s">
        <v>9</v>
      </c>
      <c r="C1827">
        <v>11.4</v>
      </c>
      <c r="D1827">
        <v>39</v>
      </c>
      <c r="E1827">
        <f>IF(D1827&gt;=1,martianeum[[#This Row],[zawartosc]] * 0.01 *martianeum[[#This Row],[masa '[kg']]],0)</f>
        <v>4.4460000000000006</v>
      </c>
    </row>
    <row r="1828" spans="1:6" x14ac:dyDescent="0.25">
      <c r="A1828" s="1">
        <v>50467</v>
      </c>
      <c r="B1828" t="s">
        <v>8</v>
      </c>
      <c r="C1828">
        <v>12.5</v>
      </c>
      <c r="D1828">
        <v>0</v>
      </c>
      <c r="E1828">
        <f>IF(D1828&gt;=1,martianeum[[#This Row],[zawartosc]] * 0.01 *martianeum[[#This Row],[masa '[kg']]],0)</f>
        <v>0</v>
      </c>
      <c r="F1828">
        <f t="shared" ref="F1828" si="259">SUM(C1822:C1828)</f>
        <v>122.30000000000001</v>
      </c>
    </row>
    <row r="1829" spans="1:6" x14ac:dyDescent="0.25">
      <c r="A1829" s="1">
        <v>50468</v>
      </c>
      <c r="B1829" t="s">
        <v>14</v>
      </c>
      <c r="C1829">
        <v>16.600000000000001</v>
      </c>
      <c r="D1829">
        <v>4.5999999999999996</v>
      </c>
      <c r="E1829">
        <f>IF(D1829&gt;=1,martianeum[[#This Row],[zawartosc]] * 0.01 *martianeum[[#This Row],[masa '[kg']]],0)</f>
        <v>0.76360000000000006</v>
      </c>
    </row>
    <row r="1830" spans="1:6" x14ac:dyDescent="0.25">
      <c r="A1830" s="1">
        <v>50469</v>
      </c>
      <c r="B1830" t="s">
        <v>14</v>
      </c>
      <c r="C1830">
        <v>10.6</v>
      </c>
      <c r="D1830">
        <v>11.3</v>
      </c>
      <c r="E1830">
        <f>IF(D1830&gt;=1,martianeum[[#This Row],[zawartosc]] * 0.01 *martianeum[[#This Row],[masa '[kg']]],0)</f>
        <v>1.1978</v>
      </c>
    </row>
    <row r="1831" spans="1:6" x14ac:dyDescent="0.25">
      <c r="A1831" s="1">
        <v>50470</v>
      </c>
      <c r="B1831" t="s">
        <v>6</v>
      </c>
      <c r="C1831">
        <v>27.9</v>
      </c>
      <c r="D1831">
        <v>16.100000000000001</v>
      </c>
      <c r="E1831">
        <f>IF(D1831&gt;=1,martianeum[[#This Row],[zawartosc]] * 0.01 *martianeum[[#This Row],[masa '[kg']]],0)</f>
        <v>4.4919000000000002</v>
      </c>
    </row>
    <row r="1832" spans="1:6" x14ac:dyDescent="0.25">
      <c r="A1832" s="1">
        <v>50471</v>
      </c>
      <c r="B1832" t="s">
        <v>9</v>
      </c>
      <c r="C1832">
        <v>11.1</v>
      </c>
      <c r="D1832">
        <v>28.2</v>
      </c>
      <c r="E1832">
        <f>IF(D1832&gt;=1,martianeum[[#This Row],[zawartosc]] * 0.01 *martianeum[[#This Row],[masa '[kg']]],0)</f>
        <v>3.1301999999999994</v>
      </c>
    </row>
    <row r="1833" spans="1:6" x14ac:dyDescent="0.25">
      <c r="A1833" s="1">
        <v>50472</v>
      </c>
      <c r="B1833" t="s">
        <v>6</v>
      </c>
      <c r="C1833">
        <v>21.5</v>
      </c>
      <c r="D1833">
        <v>12.8</v>
      </c>
      <c r="E1833">
        <f>IF(D1833&gt;=1,martianeum[[#This Row],[zawartosc]] * 0.01 *martianeum[[#This Row],[masa '[kg']]],0)</f>
        <v>2.7520000000000002</v>
      </c>
    </row>
    <row r="1834" spans="1:6" x14ac:dyDescent="0.25">
      <c r="A1834" s="1">
        <v>50473</v>
      </c>
      <c r="B1834" t="s">
        <v>5</v>
      </c>
      <c r="C1834">
        <v>28.4</v>
      </c>
      <c r="D1834">
        <v>4.5999999999999996</v>
      </c>
      <c r="E1834">
        <f>IF(D1834&gt;=1,martianeum[[#This Row],[zawartosc]] * 0.01 *martianeum[[#This Row],[masa '[kg']]],0)</f>
        <v>1.3064</v>
      </c>
    </row>
    <row r="1835" spans="1:6" x14ac:dyDescent="0.25">
      <c r="A1835" s="1">
        <v>50474</v>
      </c>
      <c r="B1835" t="s">
        <v>21</v>
      </c>
      <c r="C1835">
        <v>18.100000000000001</v>
      </c>
      <c r="D1835">
        <v>5.9</v>
      </c>
      <c r="E1835">
        <f>IF(D1835&gt;=1,martianeum[[#This Row],[zawartosc]] * 0.01 *martianeum[[#This Row],[masa '[kg']]],0)</f>
        <v>1.0679000000000001</v>
      </c>
      <c r="F1835">
        <f t="shared" ref="F1835" si="260">SUM(C1829:C1835)</f>
        <v>134.19999999999999</v>
      </c>
    </row>
    <row r="1836" spans="1:6" x14ac:dyDescent="0.25">
      <c r="A1836" s="1">
        <v>50475</v>
      </c>
      <c r="B1836" t="s">
        <v>19</v>
      </c>
      <c r="C1836">
        <v>25.3</v>
      </c>
      <c r="D1836">
        <v>0</v>
      </c>
      <c r="E1836">
        <f>IF(D1836&gt;=1,martianeum[[#This Row],[zawartosc]] * 0.01 *martianeum[[#This Row],[masa '[kg']]],0)</f>
        <v>0</v>
      </c>
    </row>
    <row r="1837" spans="1:6" x14ac:dyDescent="0.25">
      <c r="A1837" s="1">
        <v>50476</v>
      </c>
      <c r="B1837" t="s">
        <v>8</v>
      </c>
      <c r="C1837">
        <v>15.6</v>
      </c>
      <c r="D1837">
        <v>10.6</v>
      </c>
      <c r="E1837">
        <f>IF(D1837&gt;=1,martianeum[[#This Row],[zawartosc]] * 0.01 *martianeum[[#This Row],[masa '[kg']]],0)</f>
        <v>1.6536</v>
      </c>
    </row>
    <row r="1838" spans="1:6" x14ac:dyDescent="0.25">
      <c r="A1838" s="1">
        <v>50477</v>
      </c>
      <c r="B1838" t="s">
        <v>18</v>
      </c>
      <c r="C1838">
        <v>19.899999999999999</v>
      </c>
      <c r="D1838">
        <v>0</v>
      </c>
      <c r="E1838">
        <f>IF(D1838&gt;=1,martianeum[[#This Row],[zawartosc]] * 0.01 *martianeum[[#This Row],[masa '[kg']]],0)</f>
        <v>0</v>
      </c>
    </row>
    <row r="1839" spans="1:6" x14ac:dyDescent="0.25">
      <c r="A1839" s="1">
        <v>50478</v>
      </c>
      <c r="B1839" t="s">
        <v>6</v>
      </c>
      <c r="C1839">
        <v>24.7</v>
      </c>
      <c r="D1839">
        <v>14.7</v>
      </c>
      <c r="E1839">
        <f>IF(D1839&gt;=1,martianeum[[#This Row],[zawartosc]] * 0.01 *martianeum[[#This Row],[masa '[kg']]],0)</f>
        <v>3.6308999999999996</v>
      </c>
    </row>
    <row r="1840" spans="1:6" x14ac:dyDescent="0.25">
      <c r="A1840" s="1">
        <v>50479</v>
      </c>
      <c r="B1840" t="s">
        <v>22</v>
      </c>
      <c r="C1840">
        <v>21.9</v>
      </c>
      <c r="D1840">
        <v>5.6</v>
      </c>
      <c r="E1840">
        <f>IF(D1840&gt;=1,martianeum[[#This Row],[zawartosc]] * 0.01 *martianeum[[#This Row],[masa '[kg']]],0)</f>
        <v>1.2263999999999997</v>
      </c>
    </row>
    <row r="1841" spans="1:6" x14ac:dyDescent="0.25">
      <c r="A1841" s="1">
        <v>50480</v>
      </c>
      <c r="B1841" t="s">
        <v>13</v>
      </c>
      <c r="C1841">
        <v>18</v>
      </c>
      <c r="D1841">
        <v>6.2</v>
      </c>
      <c r="E1841">
        <f>IF(D1841&gt;=1,martianeum[[#This Row],[zawartosc]] * 0.01 *martianeum[[#This Row],[masa '[kg']]],0)</f>
        <v>1.1160000000000001</v>
      </c>
    </row>
    <row r="1842" spans="1:6" x14ac:dyDescent="0.25">
      <c r="A1842" s="1">
        <v>50481</v>
      </c>
      <c r="B1842" t="s">
        <v>28</v>
      </c>
      <c r="C1842">
        <v>24.5</v>
      </c>
      <c r="D1842">
        <v>0.6</v>
      </c>
      <c r="E1842">
        <f>IF(D1842&gt;=1,martianeum[[#This Row],[zawartosc]] * 0.01 *martianeum[[#This Row],[masa '[kg']]],0)</f>
        <v>0</v>
      </c>
      <c r="F1842">
        <f t="shared" ref="F1842" si="261">SUM(C1836:C1842)</f>
        <v>149.9</v>
      </c>
    </row>
    <row r="1843" spans="1:6" x14ac:dyDescent="0.25">
      <c r="A1843" s="1">
        <v>50482</v>
      </c>
      <c r="B1843" t="s">
        <v>7</v>
      </c>
      <c r="C1843">
        <v>10.9</v>
      </c>
      <c r="D1843">
        <v>0</v>
      </c>
      <c r="E1843">
        <f>IF(D1843&gt;=1,martianeum[[#This Row],[zawartosc]] * 0.01 *martianeum[[#This Row],[masa '[kg']]],0)</f>
        <v>0</v>
      </c>
    </row>
    <row r="1844" spans="1:6" x14ac:dyDescent="0.25">
      <c r="A1844" s="1">
        <v>50483</v>
      </c>
      <c r="B1844" t="s">
        <v>25</v>
      </c>
      <c r="C1844">
        <v>11.3</v>
      </c>
      <c r="D1844">
        <v>2.7</v>
      </c>
      <c r="E1844">
        <f>IF(D1844&gt;=1,martianeum[[#This Row],[zawartosc]] * 0.01 *martianeum[[#This Row],[masa '[kg']]],0)</f>
        <v>0.30510000000000004</v>
      </c>
    </row>
    <row r="1845" spans="1:6" x14ac:dyDescent="0.25">
      <c r="A1845" s="1">
        <v>50484</v>
      </c>
      <c r="B1845" t="s">
        <v>9</v>
      </c>
      <c r="C1845">
        <v>13.2</v>
      </c>
      <c r="D1845">
        <v>30</v>
      </c>
      <c r="E1845">
        <f>IF(D1845&gt;=1,martianeum[[#This Row],[zawartosc]] * 0.01 *martianeum[[#This Row],[masa '[kg']]],0)</f>
        <v>3.9599999999999995</v>
      </c>
    </row>
    <row r="1846" spans="1:6" x14ac:dyDescent="0.25">
      <c r="A1846" s="1">
        <v>50485</v>
      </c>
      <c r="B1846" t="s">
        <v>7</v>
      </c>
      <c r="C1846">
        <v>18.7</v>
      </c>
      <c r="D1846">
        <v>4.7</v>
      </c>
      <c r="E1846">
        <f>IF(D1846&gt;=1,martianeum[[#This Row],[zawartosc]] * 0.01 *martianeum[[#This Row],[masa '[kg']]],0)</f>
        <v>0.87890000000000001</v>
      </c>
    </row>
    <row r="1847" spans="1:6" x14ac:dyDescent="0.25">
      <c r="A1847" s="1">
        <v>50486</v>
      </c>
      <c r="B1847" t="s">
        <v>7</v>
      </c>
      <c r="C1847">
        <v>12.1</v>
      </c>
      <c r="D1847">
        <v>1.5</v>
      </c>
      <c r="E1847">
        <f>IF(D1847&gt;=1,martianeum[[#This Row],[zawartosc]] * 0.01 *martianeum[[#This Row],[masa '[kg']]],0)</f>
        <v>0.18149999999999999</v>
      </c>
    </row>
    <row r="1848" spans="1:6" x14ac:dyDescent="0.25">
      <c r="A1848" s="1">
        <v>50487</v>
      </c>
      <c r="B1848" t="s">
        <v>14</v>
      </c>
      <c r="C1848">
        <v>11.9</v>
      </c>
      <c r="D1848">
        <v>1.3</v>
      </c>
      <c r="E1848">
        <f>IF(D1848&gt;=1,martianeum[[#This Row],[zawartosc]] * 0.01 *martianeum[[#This Row],[masa '[kg']]],0)</f>
        <v>0.15470000000000003</v>
      </c>
    </row>
    <row r="1849" spans="1:6" x14ac:dyDescent="0.25">
      <c r="A1849" s="1">
        <v>50488</v>
      </c>
      <c r="B1849" t="s">
        <v>25</v>
      </c>
      <c r="C1849">
        <v>17.7</v>
      </c>
      <c r="D1849">
        <v>2.6</v>
      </c>
      <c r="E1849">
        <f>IF(D1849&gt;=1,martianeum[[#This Row],[zawartosc]] * 0.01 *martianeum[[#This Row],[masa '[kg']]],0)</f>
        <v>0.4602</v>
      </c>
      <c r="F1849">
        <f t="shared" ref="F1849" si="262">SUM(C1843:C1849)</f>
        <v>95.800000000000011</v>
      </c>
    </row>
    <row r="1850" spans="1:6" x14ac:dyDescent="0.25">
      <c r="A1850" s="1">
        <v>50489</v>
      </c>
      <c r="B1850" t="s">
        <v>20</v>
      </c>
      <c r="C1850">
        <v>25.9</v>
      </c>
      <c r="D1850">
        <v>0.8</v>
      </c>
      <c r="E1850">
        <f>IF(D1850&gt;=1,martianeum[[#This Row],[zawartosc]] * 0.01 *martianeum[[#This Row],[masa '[kg']]],0)</f>
        <v>0</v>
      </c>
    </row>
    <row r="1851" spans="1:6" x14ac:dyDescent="0.25">
      <c r="A1851" s="1">
        <v>50490</v>
      </c>
      <c r="B1851" t="s">
        <v>5</v>
      </c>
      <c r="C1851">
        <v>27.7</v>
      </c>
      <c r="D1851">
        <v>0</v>
      </c>
      <c r="E1851">
        <f>IF(D1851&gt;=1,martianeum[[#This Row],[zawartosc]] * 0.01 *martianeum[[#This Row],[masa '[kg']]],0)</f>
        <v>0</v>
      </c>
    </row>
    <row r="1852" spans="1:6" x14ac:dyDescent="0.25">
      <c r="A1852" s="1">
        <v>50491</v>
      </c>
      <c r="B1852" t="s">
        <v>12</v>
      </c>
      <c r="C1852">
        <v>13.3</v>
      </c>
      <c r="D1852">
        <v>13.3</v>
      </c>
      <c r="E1852">
        <f>IF(D1852&gt;=1,martianeum[[#This Row],[zawartosc]] * 0.01 *martianeum[[#This Row],[masa '[kg']]],0)</f>
        <v>1.7689000000000001</v>
      </c>
    </row>
    <row r="1853" spans="1:6" x14ac:dyDescent="0.25">
      <c r="A1853" s="1">
        <v>50492</v>
      </c>
      <c r="B1853" t="s">
        <v>18</v>
      </c>
      <c r="C1853">
        <v>11.7</v>
      </c>
      <c r="D1853">
        <v>4.9000000000000004</v>
      </c>
      <c r="E1853">
        <f>IF(D1853&gt;=1,martianeum[[#This Row],[zawartosc]] * 0.01 *martianeum[[#This Row],[masa '[kg']]],0)</f>
        <v>0.57330000000000003</v>
      </c>
    </row>
    <row r="1854" spans="1:6" x14ac:dyDescent="0.25">
      <c r="A1854" s="1">
        <v>50493</v>
      </c>
      <c r="B1854" t="s">
        <v>25</v>
      </c>
      <c r="C1854">
        <v>26.5</v>
      </c>
      <c r="D1854">
        <v>4.5</v>
      </c>
      <c r="E1854">
        <f>IF(D1854&gt;=1,martianeum[[#This Row],[zawartosc]] * 0.01 *martianeum[[#This Row],[masa '[kg']]],0)</f>
        <v>1.1924999999999999</v>
      </c>
    </row>
    <row r="1855" spans="1:6" x14ac:dyDescent="0.25">
      <c r="A1855" s="1">
        <v>50494</v>
      </c>
      <c r="B1855" t="s">
        <v>26</v>
      </c>
      <c r="C1855">
        <v>18.7</v>
      </c>
      <c r="D1855">
        <v>2.2999999999999998</v>
      </c>
      <c r="E1855">
        <f>IF(D1855&gt;=1,martianeum[[#This Row],[zawartosc]] * 0.01 *martianeum[[#This Row],[masa '[kg']]],0)</f>
        <v>0.43009999999999998</v>
      </c>
    </row>
    <row r="1856" spans="1:6" x14ac:dyDescent="0.25">
      <c r="A1856" s="1">
        <v>50495</v>
      </c>
      <c r="B1856" t="s">
        <v>21</v>
      </c>
      <c r="C1856">
        <v>11.7</v>
      </c>
      <c r="D1856">
        <v>6</v>
      </c>
      <c r="E1856">
        <f>IF(D1856&gt;=1,martianeum[[#This Row],[zawartosc]] * 0.01 *martianeum[[#This Row],[masa '[kg']]],0)</f>
        <v>0.70199999999999996</v>
      </c>
      <c r="F1856">
        <f t="shared" ref="F1856" si="263">SUM(C1850:C1856)</f>
        <v>135.5</v>
      </c>
    </row>
    <row r="1857" spans="1:6" x14ac:dyDescent="0.25">
      <c r="A1857" s="1">
        <v>50496</v>
      </c>
      <c r="B1857" t="s">
        <v>18</v>
      </c>
      <c r="C1857">
        <v>27.5</v>
      </c>
      <c r="D1857">
        <v>22.6</v>
      </c>
      <c r="E1857">
        <f>IF(D1857&gt;=1,martianeum[[#This Row],[zawartosc]] * 0.01 *martianeum[[#This Row],[masa '[kg']]],0)</f>
        <v>6.2149999999999999</v>
      </c>
    </row>
    <row r="1858" spans="1:6" x14ac:dyDescent="0.25">
      <c r="A1858" s="1">
        <v>50497</v>
      </c>
      <c r="B1858" t="s">
        <v>26</v>
      </c>
      <c r="C1858">
        <v>27.4</v>
      </c>
      <c r="D1858">
        <v>0</v>
      </c>
      <c r="E1858">
        <f>IF(D1858&gt;=1,martianeum[[#This Row],[zawartosc]] * 0.01 *martianeum[[#This Row],[masa '[kg']]],0)</f>
        <v>0</v>
      </c>
    </row>
    <row r="1859" spans="1:6" x14ac:dyDescent="0.25">
      <c r="A1859" s="1">
        <v>50498</v>
      </c>
      <c r="B1859" t="s">
        <v>10</v>
      </c>
      <c r="C1859">
        <v>14.8</v>
      </c>
      <c r="D1859">
        <v>0</v>
      </c>
      <c r="E1859">
        <f>IF(D1859&gt;=1,martianeum[[#This Row],[zawartosc]] * 0.01 *martianeum[[#This Row],[masa '[kg']]],0)</f>
        <v>0</v>
      </c>
    </row>
    <row r="1860" spans="1:6" x14ac:dyDescent="0.25">
      <c r="A1860" s="1">
        <v>50499</v>
      </c>
      <c r="B1860" t="s">
        <v>16</v>
      </c>
      <c r="C1860">
        <v>26.2</v>
      </c>
      <c r="D1860">
        <v>0</v>
      </c>
      <c r="E1860">
        <f>IF(D1860&gt;=1,martianeum[[#This Row],[zawartosc]] * 0.01 *martianeum[[#This Row],[masa '[kg']]],0)</f>
        <v>0</v>
      </c>
    </row>
    <row r="1861" spans="1:6" x14ac:dyDescent="0.25">
      <c r="A1861" s="1">
        <v>50500</v>
      </c>
      <c r="B1861" t="s">
        <v>14</v>
      </c>
      <c r="C1861">
        <v>12.9</v>
      </c>
      <c r="D1861">
        <v>17.899999999999999</v>
      </c>
      <c r="E1861">
        <f>IF(D1861&gt;=1,martianeum[[#This Row],[zawartosc]] * 0.01 *martianeum[[#This Row],[masa '[kg']]],0)</f>
        <v>2.3090999999999999</v>
      </c>
    </row>
    <row r="1862" spans="1:6" x14ac:dyDescent="0.25">
      <c r="A1862" s="1">
        <v>50501</v>
      </c>
      <c r="B1862" t="s">
        <v>24</v>
      </c>
      <c r="C1862">
        <v>12.5</v>
      </c>
      <c r="D1862">
        <v>0</v>
      </c>
      <c r="E1862">
        <f>IF(D1862&gt;=1,martianeum[[#This Row],[zawartosc]] * 0.01 *martianeum[[#This Row],[masa '[kg']]],0)</f>
        <v>0</v>
      </c>
    </row>
    <row r="1863" spans="1:6" x14ac:dyDescent="0.25">
      <c r="A1863" s="1">
        <v>50502</v>
      </c>
      <c r="B1863" t="s">
        <v>23</v>
      </c>
      <c r="C1863">
        <v>12.3</v>
      </c>
      <c r="D1863">
        <v>0</v>
      </c>
      <c r="E1863">
        <f>IF(D1863&gt;=1,martianeum[[#This Row],[zawartosc]] * 0.01 *martianeum[[#This Row],[masa '[kg']]],0)</f>
        <v>0</v>
      </c>
      <c r="F1863">
        <f t="shared" ref="F1863" si="264">SUM(C1857:C1863)</f>
        <v>133.60000000000002</v>
      </c>
    </row>
    <row r="1864" spans="1:6" x14ac:dyDescent="0.25">
      <c r="A1864" s="1">
        <v>50503</v>
      </c>
      <c r="B1864" t="s">
        <v>4</v>
      </c>
      <c r="C1864">
        <v>19.399999999999999</v>
      </c>
      <c r="D1864">
        <v>0</v>
      </c>
      <c r="E1864">
        <f>IF(D1864&gt;=1,martianeum[[#This Row],[zawartosc]] * 0.01 *martianeum[[#This Row],[masa '[kg']]],0)</f>
        <v>0</v>
      </c>
    </row>
    <row r="1865" spans="1:6" x14ac:dyDescent="0.25">
      <c r="A1865" s="1">
        <v>50504</v>
      </c>
      <c r="B1865" t="s">
        <v>14</v>
      </c>
      <c r="C1865">
        <v>20.9</v>
      </c>
      <c r="D1865">
        <v>0</v>
      </c>
      <c r="E1865">
        <f>IF(D1865&gt;=1,martianeum[[#This Row],[zawartosc]] * 0.01 *martianeum[[#This Row],[masa '[kg']]],0)</f>
        <v>0</v>
      </c>
    </row>
    <row r="1866" spans="1:6" x14ac:dyDescent="0.25">
      <c r="A1866" s="1">
        <v>50505</v>
      </c>
      <c r="B1866" t="s">
        <v>8</v>
      </c>
      <c r="C1866">
        <v>10.4</v>
      </c>
      <c r="D1866">
        <v>0</v>
      </c>
      <c r="E1866">
        <f>IF(D1866&gt;=1,martianeum[[#This Row],[zawartosc]] * 0.01 *martianeum[[#This Row],[masa '[kg']]],0)</f>
        <v>0</v>
      </c>
    </row>
    <row r="1867" spans="1:6" x14ac:dyDescent="0.25">
      <c r="A1867" s="1">
        <v>50506</v>
      </c>
      <c r="B1867" t="s">
        <v>10</v>
      </c>
      <c r="C1867">
        <v>22.2</v>
      </c>
      <c r="D1867">
        <v>2.5</v>
      </c>
      <c r="E1867">
        <f>IF(D1867&gt;=1,martianeum[[#This Row],[zawartosc]] * 0.01 *martianeum[[#This Row],[masa '[kg']]],0)</f>
        <v>0.55500000000000005</v>
      </c>
    </row>
    <row r="1868" spans="1:6" x14ac:dyDescent="0.25">
      <c r="A1868" s="1">
        <v>50507</v>
      </c>
      <c r="B1868" t="s">
        <v>9</v>
      </c>
      <c r="C1868">
        <v>16.8</v>
      </c>
      <c r="D1868">
        <v>0</v>
      </c>
      <c r="E1868">
        <f>IF(D1868&gt;=1,martianeum[[#This Row],[zawartosc]] * 0.01 *martianeum[[#This Row],[masa '[kg']]],0)</f>
        <v>0</v>
      </c>
    </row>
    <row r="1869" spans="1:6" x14ac:dyDescent="0.25">
      <c r="A1869" s="1">
        <v>50508</v>
      </c>
      <c r="B1869" t="s">
        <v>18</v>
      </c>
      <c r="C1869">
        <v>21.7</v>
      </c>
      <c r="D1869">
        <v>33.299999999999997</v>
      </c>
      <c r="E1869">
        <f>IF(D1869&gt;=1,martianeum[[#This Row],[zawartosc]] * 0.01 *martianeum[[#This Row],[masa '[kg']]],0)</f>
        <v>7.2260999999999989</v>
      </c>
    </row>
    <row r="1870" spans="1:6" x14ac:dyDescent="0.25">
      <c r="A1870" s="1">
        <v>50509</v>
      </c>
      <c r="B1870" t="s">
        <v>10</v>
      </c>
      <c r="C1870">
        <v>10.199999999999999</v>
      </c>
      <c r="D1870">
        <v>16.600000000000001</v>
      </c>
      <c r="E1870">
        <f>IF(D1870&gt;=1,martianeum[[#This Row],[zawartosc]] * 0.01 *martianeum[[#This Row],[masa '[kg']]],0)</f>
        <v>1.6932</v>
      </c>
      <c r="F1870">
        <f t="shared" ref="F1870" si="265">SUM(C1864:C1870)</f>
        <v>121.6</v>
      </c>
    </row>
    <row r="1871" spans="1:6" x14ac:dyDescent="0.25">
      <c r="A1871" s="1">
        <v>50510</v>
      </c>
      <c r="B1871" t="s">
        <v>9</v>
      </c>
      <c r="C1871">
        <v>16.5</v>
      </c>
      <c r="D1871">
        <v>0</v>
      </c>
      <c r="E1871">
        <f>IF(D1871&gt;=1,martianeum[[#This Row],[zawartosc]] * 0.01 *martianeum[[#This Row],[masa '[kg']]],0)</f>
        <v>0</v>
      </c>
    </row>
    <row r="1872" spans="1:6" x14ac:dyDescent="0.25">
      <c r="A1872" s="1">
        <v>50511</v>
      </c>
      <c r="B1872" t="s">
        <v>15</v>
      </c>
      <c r="C1872">
        <v>29.1</v>
      </c>
      <c r="D1872">
        <v>0.5</v>
      </c>
      <c r="E1872">
        <f>IF(D1872&gt;=1,martianeum[[#This Row],[zawartosc]] * 0.01 *martianeum[[#This Row],[masa '[kg']]],0)</f>
        <v>0</v>
      </c>
    </row>
    <row r="1873" spans="1:6" x14ac:dyDescent="0.25">
      <c r="A1873" s="1">
        <v>50512</v>
      </c>
      <c r="B1873" t="s">
        <v>10</v>
      </c>
      <c r="C1873">
        <v>17.8</v>
      </c>
      <c r="D1873">
        <v>0</v>
      </c>
      <c r="E1873">
        <f>IF(D1873&gt;=1,martianeum[[#This Row],[zawartosc]] * 0.01 *martianeum[[#This Row],[masa '[kg']]],0)</f>
        <v>0</v>
      </c>
    </row>
    <row r="1874" spans="1:6" x14ac:dyDescent="0.25">
      <c r="A1874" s="1">
        <v>50513</v>
      </c>
      <c r="B1874" t="s">
        <v>9</v>
      </c>
      <c r="C1874">
        <v>10</v>
      </c>
      <c r="D1874">
        <v>0</v>
      </c>
      <c r="E1874">
        <f>IF(D1874&gt;=1,martianeum[[#This Row],[zawartosc]] * 0.01 *martianeum[[#This Row],[masa '[kg']]],0)</f>
        <v>0</v>
      </c>
    </row>
    <row r="1875" spans="1:6" x14ac:dyDescent="0.25">
      <c r="A1875" s="1">
        <v>50514</v>
      </c>
      <c r="B1875" t="s">
        <v>8</v>
      </c>
      <c r="C1875">
        <v>15.5</v>
      </c>
      <c r="D1875">
        <v>8.6</v>
      </c>
      <c r="E1875">
        <f>IF(D1875&gt;=1,martianeum[[#This Row],[zawartosc]] * 0.01 *martianeum[[#This Row],[masa '[kg']]],0)</f>
        <v>1.333</v>
      </c>
    </row>
    <row r="1876" spans="1:6" x14ac:dyDescent="0.25">
      <c r="A1876" s="1">
        <v>50515</v>
      </c>
      <c r="B1876" t="s">
        <v>9</v>
      </c>
      <c r="C1876">
        <v>15.3</v>
      </c>
      <c r="D1876">
        <v>21.4</v>
      </c>
      <c r="E1876">
        <f>IF(D1876&gt;=1,martianeum[[#This Row],[zawartosc]] * 0.01 *martianeum[[#This Row],[masa '[kg']]],0)</f>
        <v>3.2742</v>
      </c>
    </row>
    <row r="1877" spans="1:6" x14ac:dyDescent="0.25">
      <c r="A1877" s="1">
        <v>50516</v>
      </c>
      <c r="B1877" t="s">
        <v>11</v>
      </c>
      <c r="C1877">
        <v>23.7</v>
      </c>
      <c r="D1877">
        <v>0</v>
      </c>
      <c r="E1877">
        <f>IF(D1877&gt;=1,martianeum[[#This Row],[zawartosc]] * 0.01 *martianeum[[#This Row],[masa '[kg']]],0)</f>
        <v>0</v>
      </c>
      <c r="F1877">
        <f t="shared" ref="F1877" si="266">SUM(C1871:C1877)</f>
        <v>127.9</v>
      </c>
    </row>
    <row r="1878" spans="1:6" x14ac:dyDescent="0.25">
      <c r="A1878" s="1">
        <v>50517</v>
      </c>
      <c r="B1878" t="s">
        <v>10</v>
      </c>
      <c r="C1878">
        <v>26.1</v>
      </c>
      <c r="D1878">
        <v>12.5</v>
      </c>
      <c r="E1878">
        <f>IF(D1878&gt;=1,martianeum[[#This Row],[zawartosc]] * 0.01 *martianeum[[#This Row],[masa '[kg']]],0)</f>
        <v>3.2625000000000002</v>
      </c>
    </row>
    <row r="1879" spans="1:6" x14ac:dyDescent="0.25">
      <c r="A1879" s="1">
        <v>50518</v>
      </c>
      <c r="B1879" t="s">
        <v>10</v>
      </c>
      <c r="C1879">
        <v>13.4</v>
      </c>
      <c r="D1879">
        <v>0</v>
      </c>
      <c r="E1879">
        <f>IF(D1879&gt;=1,martianeum[[#This Row],[zawartosc]] * 0.01 *martianeum[[#This Row],[masa '[kg']]],0)</f>
        <v>0</v>
      </c>
    </row>
    <row r="1880" spans="1:6" x14ac:dyDescent="0.25">
      <c r="A1880" s="1">
        <v>50519</v>
      </c>
      <c r="B1880" t="s">
        <v>4</v>
      </c>
      <c r="C1880">
        <v>17.8</v>
      </c>
      <c r="D1880">
        <v>3.7</v>
      </c>
      <c r="E1880">
        <f>IF(D1880&gt;=1,martianeum[[#This Row],[zawartosc]] * 0.01 *martianeum[[#This Row],[masa '[kg']]],0)</f>
        <v>0.65860000000000007</v>
      </c>
    </row>
    <row r="1881" spans="1:6" x14ac:dyDescent="0.25">
      <c r="A1881" s="1">
        <v>50520</v>
      </c>
      <c r="B1881" t="s">
        <v>23</v>
      </c>
      <c r="C1881">
        <v>13</v>
      </c>
      <c r="D1881">
        <v>2.7</v>
      </c>
      <c r="E1881">
        <f>IF(D1881&gt;=1,martianeum[[#This Row],[zawartosc]] * 0.01 *martianeum[[#This Row],[masa '[kg']]],0)</f>
        <v>0.35100000000000003</v>
      </c>
    </row>
    <row r="1882" spans="1:6" x14ac:dyDescent="0.25">
      <c r="A1882" s="1">
        <v>50521</v>
      </c>
      <c r="B1882" t="s">
        <v>6</v>
      </c>
      <c r="C1882">
        <v>28.2</v>
      </c>
      <c r="D1882">
        <v>0</v>
      </c>
      <c r="E1882">
        <f>IF(D1882&gt;=1,martianeum[[#This Row],[zawartosc]] * 0.01 *martianeum[[#This Row],[masa '[kg']]],0)</f>
        <v>0</v>
      </c>
    </row>
    <row r="1883" spans="1:6" x14ac:dyDescent="0.25">
      <c r="A1883" s="1">
        <v>50522</v>
      </c>
      <c r="B1883" t="s">
        <v>9</v>
      </c>
      <c r="C1883">
        <v>23</v>
      </c>
      <c r="D1883">
        <v>0</v>
      </c>
      <c r="E1883">
        <f>IF(D1883&gt;=1,martianeum[[#This Row],[zawartosc]] * 0.01 *martianeum[[#This Row],[masa '[kg']]],0)</f>
        <v>0</v>
      </c>
    </row>
    <row r="1884" spans="1:6" x14ac:dyDescent="0.25">
      <c r="A1884" s="1">
        <v>50523</v>
      </c>
      <c r="B1884" t="s">
        <v>6</v>
      </c>
      <c r="C1884">
        <v>21.5</v>
      </c>
      <c r="D1884">
        <v>0</v>
      </c>
      <c r="E1884">
        <f>IF(D1884&gt;=1,martianeum[[#This Row],[zawartosc]] * 0.01 *martianeum[[#This Row],[masa '[kg']]],0)</f>
        <v>0</v>
      </c>
      <c r="F1884">
        <f t="shared" ref="F1884" si="267">SUM(C1878:C1884)</f>
        <v>143</v>
      </c>
    </row>
    <row r="1885" spans="1:6" x14ac:dyDescent="0.25">
      <c r="A1885" s="1">
        <v>50524</v>
      </c>
      <c r="B1885" t="s">
        <v>17</v>
      </c>
      <c r="C1885">
        <v>22.3</v>
      </c>
      <c r="D1885">
        <v>0</v>
      </c>
      <c r="E1885">
        <f>IF(D1885&gt;=1,martianeum[[#This Row],[zawartosc]] * 0.01 *martianeum[[#This Row],[masa '[kg']]],0)</f>
        <v>0</v>
      </c>
    </row>
    <row r="1886" spans="1:6" x14ac:dyDescent="0.25">
      <c r="A1886" s="1">
        <v>50525</v>
      </c>
      <c r="B1886" t="s">
        <v>9</v>
      </c>
      <c r="C1886">
        <v>28.2</v>
      </c>
      <c r="D1886">
        <v>0</v>
      </c>
      <c r="E1886">
        <f>IF(D1886&gt;=1,martianeum[[#This Row],[zawartosc]] * 0.01 *martianeum[[#This Row],[masa '[kg']]],0)</f>
        <v>0</v>
      </c>
    </row>
    <row r="1887" spans="1:6" x14ac:dyDescent="0.25">
      <c r="A1887" s="1">
        <v>50526</v>
      </c>
      <c r="B1887" t="s">
        <v>23</v>
      </c>
      <c r="C1887">
        <v>11.9</v>
      </c>
      <c r="D1887">
        <v>3.4</v>
      </c>
      <c r="E1887">
        <f>IF(D1887&gt;=1,martianeum[[#This Row],[zawartosc]] * 0.01 *martianeum[[#This Row],[masa '[kg']]],0)</f>
        <v>0.40460000000000002</v>
      </c>
    </row>
    <row r="1888" spans="1:6" x14ac:dyDescent="0.25">
      <c r="A1888" s="1">
        <v>50527</v>
      </c>
      <c r="B1888" t="s">
        <v>17</v>
      </c>
      <c r="C1888">
        <v>20.9</v>
      </c>
      <c r="D1888">
        <v>7.5</v>
      </c>
      <c r="E1888">
        <f>IF(D1888&gt;=1,martianeum[[#This Row],[zawartosc]] * 0.01 *martianeum[[#This Row],[masa '[kg']]],0)</f>
        <v>1.5674999999999999</v>
      </c>
    </row>
    <row r="1889" spans="1:6" x14ac:dyDescent="0.25">
      <c r="A1889" s="1">
        <v>50528</v>
      </c>
      <c r="B1889" t="s">
        <v>31</v>
      </c>
      <c r="C1889">
        <v>18.399999999999999</v>
      </c>
      <c r="D1889">
        <v>0.2</v>
      </c>
      <c r="E1889">
        <f>IF(D1889&gt;=1,martianeum[[#This Row],[zawartosc]] * 0.01 *martianeum[[#This Row],[masa '[kg']]],0)</f>
        <v>0</v>
      </c>
    </row>
    <row r="1890" spans="1:6" x14ac:dyDescent="0.25">
      <c r="A1890" s="1">
        <v>50529</v>
      </c>
      <c r="B1890" t="s">
        <v>9</v>
      </c>
      <c r="C1890">
        <v>27.8</v>
      </c>
      <c r="D1890">
        <v>35.9</v>
      </c>
      <c r="E1890">
        <f>IF(D1890&gt;=1,martianeum[[#This Row],[zawartosc]] * 0.01 *martianeum[[#This Row],[masa '[kg']]],0)</f>
        <v>9.9802</v>
      </c>
    </row>
    <row r="1891" spans="1:6" x14ac:dyDescent="0.25">
      <c r="A1891" s="1">
        <v>50530</v>
      </c>
      <c r="B1891" t="s">
        <v>18</v>
      </c>
      <c r="C1891">
        <v>20.7</v>
      </c>
      <c r="D1891">
        <v>14.7</v>
      </c>
      <c r="E1891">
        <f>IF(D1891&gt;=1,martianeum[[#This Row],[zawartosc]] * 0.01 *martianeum[[#This Row],[masa '[kg']]],0)</f>
        <v>3.0428999999999999</v>
      </c>
      <c r="F1891">
        <f t="shared" ref="F1891" si="268">SUM(C1885:C1891)</f>
        <v>150.19999999999999</v>
      </c>
    </row>
    <row r="1892" spans="1:6" x14ac:dyDescent="0.25">
      <c r="A1892" s="1">
        <v>50531</v>
      </c>
      <c r="B1892" t="s">
        <v>4</v>
      </c>
      <c r="C1892">
        <v>13</v>
      </c>
      <c r="D1892">
        <v>0</v>
      </c>
      <c r="E1892">
        <f>IF(D1892&gt;=1,martianeum[[#This Row],[zawartosc]] * 0.01 *martianeum[[#This Row],[masa '[kg']]],0)</f>
        <v>0</v>
      </c>
    </row>
    <row r="1893" spans="1:6" x14ac:dyDescent="0.25">
      <c r="A1893" s="1">
        <v>50532</v>
      </c>
      <c r="B1893" t="s">
        <v>18</v>
      </c>
      <c r="C1893">
        <v>29.4</v>
      </c>
      <c r="D1893">
        <v>0</v>
      </c>
      <c r="E1893">
        <f>IF(D1893&gt;=1,martianeum[[#This Row],[zawartosc]] * 0.01 *martianeum[[#This Row],[masa '[kg']]],0)</f>
        <v>0</v>
      </c>
    </row>
    <row r="1894" spans="1:6" x14ac:dyDescent="0.25">
      <c r="A1894" s="1">
        <v>50533</v>
      </c>
      <c r="B1894" t="s">
        <v>5</v>
      </c>
      <c r="C1894">
        <v>19.8</v>
      </c>
      <c r="D1894">
        <v>13.9</v>
      </c>
      <c r="E1894">
        <f>IF(D1894&gt;=1,martianeum[[#This Row],[zawartosc]] * 0.01 *martianeum[[#This Row],[masa '[kg']]],0)</f>
        <v>2.7522000000000002</v>
      </c>
    </row>
    <row r="1895" spans="1:6" x14ac:dyDescent="0.25">
      <c r="A1895" s="1">
        <v>50534</v>
      </c>
      <c r="B1895" t="s">
        <v>10</v>
      </c>
      <c r="C1895">
        <v>10.9</v>
      </c>
      <c r="D1895">
        <v>17</v>
      </c>
      <c r="E1895">
        <f>IF(D1895&gt;=1,martianeum[[#This Row],[zawartosc]] * 0.01 *martianeum[[#This Row],[masa '[kg']]],0)</f>
        <v>1.8530000000000002</v>
      </c>
    </row>
    <row r="1896" spans="1:6" x14ac:dyDescent="0.25">
      <c r="A1896" s="1">
        <v>50535</v>
      </c>
      <c r="B1896" t="s">
        <v>9</v>
      </c>
      <c r="C1896">
        <v>27.3</v>
      </c>
      <c r="D1896">
        <v>15.8</v>
      </c>
      <c r="E1896">
        <f>IF(D1896&gt;=1,martianeum[[#This Row],[zawartosc]] * 0.01 *martianeum[[#This Row],[masa '[kg']]],0)</f>
        <v>4.3134000000000006</v>
      </c>
    </row>
    <row r="1897" spans="1:6" x14ac:dyDescent="0.25">
      <c r="A1897" s="1">
        <v>50536</v>
      </c>
      <c r="B1897" t="s">
        <v>18</v>
      </c>
      <c r="C1897">
        <v>16.399999999999999</v>
      </c>
      <c r="D1897">
        <v>0</v>
      </c>
      <c r="E1897">
        <f>IF(D1897&gt;=1,martianeum[[#This Row],[zawartosc]] * 0.01 *martianeum[[#This Row],[masa '[kg']]],0)</f>
        <v>0</v>
      </c>
    </row>
    <row r="1898" spans="1:6" x14ac:dyDescent="0.25">
      <c r="A1898" s="1">
        <v>50537</v>
      </c>
      <c r="B1898" t="s">
        <v>14</v>
      </c>
      <c r="C1898">
        <v>28</v>
      </c>
      <c r="D1898">
        <v>9.6999999999999993</v>
      </c>
      <c r="E1898">
        <f>IF(D1898&gt;=1,martianeum[[#This Row],[zawartosc]] * 0.01 *martianeum[[#This Row],[masa '[kg']]],0)</f>
        <v>2.7159999999999997</v>
      </c>
      <c r="F1898">
        <f t="shared" ref="F1898" si="269">SUM(C1892:C1898)</f>
        <v>144.80000000000001</v>
      </c>
    </row>
    <row r="1899" spans="1:6" x14ac:dyDescent="0.25">
      <c r="A1899" s="1">
        <v>50538</v>
      </c>
      <c r="B1899" t="s">
        <v>6</v>
      </c>
      <c r="C1899">
        <v>17.399999999999999</v>
      </c>
      <c r="D1899">
        <v>6.6</v>
      </c>
      <c r="E1899">
        <f>IF(D1899&gt;=1,martianeum[[#This Row],[zawartosc]] * 0.01 *martianeum[[#This Row],[masa '[kg']]],0)</f>
        <v>1.1483999999999999</v>
      </c>
    </row>
    <row r="1900" spans="1:6" x14ac:dyDescent="0.25">
      <c r="A1900" s="1">
        <v>50539</v>
      </c>
      <c r="B1900" t="s">
        <v>7</v>
      </c>
      <c r="C1900">
        <v>25.7</v>
      </c>
      <c r="D1900">
        <v>0.7</v>
      </c>
      <c r="E1900">
        <f>IF(D1900&gt;=1,martianeum[[#This Row],[zawartosc]] * 0.01 *martianeum[[#This Row],[masa '[kg']]],0)</f>
        <v>0</v>
      </c>
    </row>
    <row r="1901" spans="1:6" x14ac:dyDescent="0.25">
      <c r="A1901" s="1">
        <v>50540</v>
      </c>
      <c r="B1901" t="s">
        <v>18</v>
      </c>
      <c r="C1901">
        <v>20.100000000000001</v>
      </c>
      <c r="D1901">
        <v>11</v>
      </c>
      <c r="E1901">
        <f>IF(D1901&gt;=1,martianeum[[#This Row],[zawartosc]] * 0.01 *martianeum[[#This Row],[masa '[kg']]],0)</f>
        <v>2.2110000000000003</v>
      </c>
    </row>
    <row r="1902" spans="1:6" x14ac:dyDescent="0.25">
      <c r="A1902" s="1">
        <v>50541</v>
      </c>
      <c r="B1902" t="s">
        <v>18</v>
      </c>
      <c r="C1902">
        <v>17.899999999999999</v>
      </c>
      <c r="D1902">
        <v>0</v>
      </c>
      <c r="E1902">
        <f>IF(D1902&gt;=1,martianeum[[#This Row],[zawartosc]] * 0.01 *martianeum[[#This Row],[masa '[kg']]],0)</f>
        <v>0</v>
      </c>
    </row>
    <row r="1903" spans="1:6" x14ac:dyDescent="0.25">
      <c r="A1903" s="1">
        <v>50542</v>
      </c>
      <c r="B1903" t="s">
        <v>10</v>
      </c>
      <c r="C1903">
        <v>10.7</v>
      </c>
      <c r="D1903">
        <v>6.4</v>
      </c>
      <c r="E1903">
        <f>IF(D1903&gt;=1,martianeum[[#This Row],[zawartosc]] * 0.01 *martianeum[[#This Row],[masa '[kg']]],0)</f>
        <v>0.68479999999999996</v>
      </c>
    </row>
    <row r="1904" spans="1:6" x14ac:dyDescent="0.25">
      <c r="A1904" s="1">
        <v>50543</v>
      </c>
      <c r="B1904" t="s">
        <v>8</v>
      </c>
      <c r="C1904">
        <v>20.399999999999999</v>
      </c>
      <c r="D1904">
        <v>0</v>
      </c>
      <c r="E1904">
        <f>IF(D1904&gt;=1,martianeum[[#This Row],[zawartosc]] * 0.01 *martianeum[[#This Row],[masa '[kg']]],0)</f>
        <v>0</v>
      </c>
    </row>
    <row r="1905" spans="1:6" x14ac:dyDescent="0.25">
      <c r="A1905" s="1">
        <v>50544</v>
      </c>
      <c r="B1905" t="s">
        <v>11</v>
      </c>
      <c r="C1905">
        <v>25.4</v>
      </c>
      <c r="D1905">
        <v>1</v>
      </c>
      <c r="E1905">
        <f>IF(D1905&gt;=1,martianeum[[#This Row],[zawartosc]] * 0.01 *martianeum[[#This Row],[masa '[kg']]],0)</f>
        <v>0.254</v>
      </c>
      <c r="F1905">
        <f t="shared" ref="F1905" si="270">SUM(C1899:C1905)</f>
        <v>137.6</v>
      </c>
    </row>
    <row r="1906" spans="1:6" x14ac:dyDescent="0.25">
      <c r="A1906" s="1">
        <v>50545</v>
      </c>
      <c r="B1906" t="s">
        <v>7</v>
      </c>
      <c r="C1906">
        <v>10.9</v>
      </c>
      <c r="D1906">
        <v>0.2</v>
      </c>
      <c r="E1906">
        <f>IF(D1906&gt;=1,martianeum[[#This Row],[zawartosc]] * 0.01 *martianeum[[#This Row],[masa '[kg']]],0)</f>
        <v>0</v>
      </c>
    </row>
    <row r="1907" spans="1:6" x14ac:dyDescent="0.25">
      <c r="A1907" s="1">
        <v>50546</v>
      </c>
      <c r="B1907" t="s">
        <v>26</v>
      </c>
      <c r="C1907">
        <v>18.5</v>
      </c>
      <c r="D1907">
        <v>0.5</v>
      </c>
      <c r="E1907">
        <f>IF(D1907&gt;=1,martianeum[[#This Row],[zawartosc]] * 0.01 *martianeum[[#This Row],[masa '[kg']]],0)</f>
        <v>0</v>
      </c>
    </row>
    <row r="1908" spans="1:6" x14ac:dyDescent="0.25">
      <c r="A1908" s="1">
        <v>50547</v>
      </c>
      <c r="B1908" t="s">
        <v>9</v>
      </c>
      <c r="C1908">
        <v>14.8</v>
      </c>
      <c r="D1908">
        <v>50.3</v>
      </c>
      <c r="E1908">
        <f>IF(D1908&gt;=1,martianeum[[#This Row],[zawartosc]] * 0.01 *martianeum[[#This Row],[masa '[kg']]],0)</f>
        <v>7.4444000000000008</v>
      </c>
    </row>
    <row r="1909" spans="1:6" x14ac:dyDescent="0.25">
      <c r="A1909" s="1">
        <v>50548</v>
      </c>
      <c r="B1909" t="s">
        <v>17</v>
      </c>
      <c r="C1909">
        <v>28.5</v>
      </c>
      <c r="D1909">
        <v>0.7</v>
      </c>
      <c r="E1909">
        <f>IF(D1909&gt;=1,martianeum[[#This Row],[zawartosc]] * 0.01 *martianeum[[#This Row],[masa '[kg']]],0)</f>
        <v>0</v>
      </c>
    </row>
    <row r="1910" spans="1:6" x14ac:dyDescent="0.25">
      <c r="A1910" s="1">
        <v>50549</v>
      </c>
      <c r="B1910" t="s">
        <v>30</v>
      </c>
      <c r="C1910">
        <v>19.399999999999999</v>
      </c>
      <c r="D1910">
        <v>0</v>
      </c>
      <c r="E1910">
        <f>IF(D1910&gt;=1,martianeum[[#This Row],[zawartosc]] * 0.01 *martianeum[[#This Row],[masa '[kg']]],0)</f>
        <v>0</v>
      </c>
    </row>
    <row r="1911" spans="1:6" x14ac:dyDescent="0.25">
      <c r="A1911" s="1">
        <v>50550</v>
      </c>
      <c r="B1911" t="s">
        <v>22</v>
      </c>
      <c r="C1911">
        <v>20.7</v>
      </c>
      <c r="D1911">
        <v>4.7</v>
      </c>
      <c r="E1911">
        <f>IF(D1911&gt;=1,martianeum[[#This Row],[zawartosc]] * 0.01 *martianeum[[#This Row],[masa '[kg']]],0)</f>
        <v>0.97289999999999999</v>
      </c>
    </row>
    <row r="1912" spans="1:6" x14ac:dyDescent="0.25">
      <c r="A1912" s="1">
        <v>50551</v>
      </c>
      <c r="B1912" t="s">
        <v>25</v>
      </c>
      <c r="C1912">
        <v>25.7</v>
      </c>
      <c r="D1912">
        <v>0</v>
      </c>
      <c r="E1912">
        <f>IF(D1912&gt;=1,martianeum[[#This Row],[zawartosc]] * 0.01 *martianeum[[#This Row],[masa '[kg']]],0)</f>
        <v>0</v>
      </c>
      <c r="F1912">
        <f t="shared" ref="F1912" si="271">SUM(C1906:C1912)</f>
        <v>138.5</v>
      </c>
    </row>
    <row r="1913" spans="1:6" x14ac:dyDescent="0.25">
      <c r="A1913" s="1">
        <v>50552</v>
      </c>
      <c r="B1913" t="s">
        <v>18</v>
      </c>
      <c r="C1913">
        <v>21.4</v>
      </c>
      <c r="D1913">
        <v>0</v>
      </c>
      <c r="E1913">
        <f>IF(D1913&gt;=1,martianeum[[#This Row],[zawartosc]] * 0.01 *martianeum[[#This Row],[masa '[kg']]],0)</f>
        <v>0</v>
      </c>
    </row>
    <row r="1914" spans="1:6" x14ac:dyDescent="0.25">
      <c r="A1914" s="1">
        <v>50553</v>
      </c>
      <c r="B1914" t="s">
        <v>9</v>
      </c>
      <c r="C1914">
        <v>19.2</v>
      </c>
      <c r="D1914">
        <v>0</v>
      </c>
      <c r="E1914">
        <f>IF(D1914&gt;=1,martianeum[[#This Row],[zawartosc]] * 0.01 *martianeum[[#This Row],[masa '[kg']]],0)</f>
        <v>0</v>
      </c>
    </row>
    <row r="1915" spans="1:6" x14ac:dyDescent="0.25">
      <c r="A1915" s="1">
        <v>50554</v>
      </c>
      <c r="B1915" t="s">
        <v>17</v>
      </c>
      <c r="C1915">
        <v>19.399999999999999</v>
      </c>
      <c r="D1915">
        <v>14.2</v>
      </c>
      <c r="E1915">
        <f>IF(D1915&gt;=1,martianeum[[#This Row],[zawartosc]] * 0.01 *martianeum[[#This Row],[masa '[kg']]],0)</f>
        <v>2.7547999999999995</v>
      </c>
    </row>
    <row r="1916" spans="1:6" x14ac:dyDescent="0.25">
      <c r="A1916" s="1">
        <v>50555</v>
      </c>
      <c r="B1916" t="s">
        <v>18</v>
      </c>
      <c r="C1916">
        <v>24.2</v>
      </c>
      <c r="D1916">
        <v>1.9</v>
      </c>
      <c r="E1916">
        <f>IF(D1916&gt;=1,martianeum[[#This Row],[zawartosc]] * 0.01 *martianeum[[#This Row],[masa '[kg']]],0)</f>
        <v>0.45979999999999999</v>
      </c>
    </row>
    <row r="1917" spans="1:6" x14ac:dyDescent="0.25">
      <c r="A1917" s="1">
        <v>50556</v>
      </c>
      <c r="B1917" t="s">
        <v>6</v>
      </c>
      <c r="C1917">
        <v>27.7</v>
      </c>
      <c r="D1917">
        <v>19.5</v>
      </c>
      <c r="E1917">
        <f>IF(D1917&gt;=1,martianeum[[#This Row],[zawartosc]] * 0.01 *martianeum[[#This Row],[masa '[kg']]],0)</f>
        <v>5.4015000000000004</v>
      </c>
    </row>
    <row r="1918" spans="1:6" x14ac:dyDescent="0.25">
      <c r="A1918" s="1">
        <v>50557</v>
      </c>
      <c r="B1918" t="s">
        <v>4</v>
      </c>
      <c r="C1918">
        <v>16.899999999999999</v>
      </c>
      <c r="D1918">
        <v>4.0999999999999996</v>
      </c>
      <c r="E1918">
        <f>IF(D1918&gt;=1,martianeum[[#This Row],[zawartosc]] * 0.01 *martianeum[[#This Row],[masa '[kg']]],0)</f>
        <v>0.69289999999999985</v>
      </c>
    </row>
    <row r="1919" spans="1:6" x14ac:dyDescent="0.25">
      <c r="A1919" s="1">
        <v>50558</v>
      </c>
      <c r="B1919" t="s">
        <v>18</v>
      </c>
      <c r="C1919">
        <v>11.8</v>
      </c>
      <c r="D1919">
        <v>0</v>
      </c>
      <c r="E1919">
        <f>IF(D1919&gt;=1,martianeum[[#This Row],[zawartosc]] * 0.01 *martianeum[[#This Row],[masa '[kg']]],0)</f>
        <v>0</v>
      </c>
      <c r="F1919">
        <f t="shared" ref="F1919" si="272">SUM(C1913:C1919)</f>
        <v>140.6</v>
      </c>
    </row>
    <row r="1920" spans="1:6" x14ac:dyDescent="0.25">
      <c r="A1920" s="1">
        <v>50559</v>
      </c>
      <c r="B1920" t="s">
        <v>11</v>
      </c>
      <c r="C1920">
        <v>15.7</v>
      </c>
      <c r="D1920">
        <v>9.4</v>
      </c>
      <c r="E1920">
        <f>IF(D1920&gt;=1,martianeum[[#This Row],[zawartosc]] * 0.01 *martianeum[[#This Row],[masa '[kg']]],0)</f>
        <v>1.4758</v>
      </c>
    </row>
    <row r="1921" spans="1:6" x14ac:dyDescent="0.25">
      <c r="A1921" s="1">
        <v>50560</v>
      </c>
      <c r="B1921" t="s">
        <v>5</v>
      </c>
      <c r="C1921">
        <v>14.2</v>
      </c>
      <c r="D1921">
        <v>0</v>
      </c>
      <c r="E1921">
        <f>IF(D1921&gt;=1,martianeum[[#This Row],[zawartosc]] * 0.01 *martianeum[[#This Row],[masa '[kg']]],0)</f>
        <v>0</v>
      </c>
    </row>
    <row r="1922" spans="1:6" x14ac:dyDescent="0.25">
      <c r="A1922" s="1">
        <v>50561</v>
      </c>
      <c r="B1922" t="s">
        <v>14</v>
      </c>
      <c r="C1922">
        <v>18.100000000000001</v>
      </c>
      <c r="D1922">
        <v>13.1</v>
      </c>
      <c r="E1922">
        <f>IF(D1922&gt;=1,martianeum[[#This Row],[zawartosc]] * 0.01 *martianeum[[#This Row],[masa '[kg']]],0)</f>
        <v>2.3711000000000002</v>
      </c>
    </row>
    <row r="1923" spans="1:6" x14ac:dyDescent="0.25">
      <c r="A1923" s="1">
        <v>50562</v>
      </c>
      <c r="B1923" t="s">
        <v>18</v>
      </c>
      <c r="C1923">
        <v>21.9</v>
      </c>
      <c r="D1923">
        <v>27.5</v>
      </c>
      <c r="E1923">
        <f>IF(D1923&gt;=1,martianeum[[#This Row],[zawartosc]] * 0.01 *martianeum[[#This Row],[masa '[kg']]],0)</f>
        <v>6.0225</v>
      </c>
    </row>
    <row r="1924" spans="1:6" x14ac:dyDescent="0.25">
      <c r="A1924" s="1">
        <v>50563</v>
      </c>
      <c r="B1924" t="s">
        <v>9</v>
      </c>
      <c r="C1924">
        <v>28</v>
      </c>
      <c r="D1924">
        <v>2.1</v>
      </c>
      <c r="E1924">
        <f>IF(D1924&gt;=1,martianeum[[#This Row],[zawartosc]] * 0.01 *martianeum[[#This Row],[masa '[kg']]],0)</f>
        <v>0.58800000000000008</v>
      </c>
    </row>
    <row r="1925" spans="1:6" x14ac:dyDescent="0.25">
      <c r="A1925" s="1">
        <v>50564</v>
      </c>
      <c r="B1925" t="s">
        <v>12</v>
      </c>
      <c r="C1925">
        <v>14.2</v>
      </c>
      <c r="D1925">
        <v>7</v>
      </c>
      <c r="E1925">
        <f>IF(D1925&gt;=1,martianeum[[#This Row],[zawartosc]] * 0.01 *martianeum[[#This Row],[masa '[kg']]],0)</f>
        <v>0.99399999999999999</v>
      </c>
    </row>
    <row r="1926" spans="1:6" x14ac:dyDescent="0.25">
      <c r="A1926" s="1">
        <v>50565</v>
      </c>
      <c r="B1926" t="s">
        <v>12</v>
      </c>
      <c r="C1926">
        <v>11.1</v>
      </c>
      <c r="D1926">
        <v>0</v>
      </c>
      <c r="E1926">
        <f>IF(D1926&gt;=1,martianeum[[#This Row],[zawartosc]] * 0.01 *martianeum[[#This Row],[masa '[kg']]],0)</f>
        <v>0</v>
      </c>
      <c r="F1926">
        <f t="shared" ref="F1926" si="273">SUM(C1920:C1926)</f>
        <v>123.2</v>
      </c>
    </row>
    <row r="1927" spans="1:6" x14ac:dyDescent="0.25">
      <c r="A1927" s="1">
        <v>50566</v>
      </c>
      <c r="B1927" t="s">
        <v>13</v>
      </c>
      <c r="C1927">
        <v>11.8</v>
      </c>
      <c r="D1927">
        <v>6</v>
      </c>
      <c r="E1927">
        <f>IF(D1927&gt;=1,martianeum[[#This Row],[zawartosc]] * 0.01 *martianeum[[#This Row],[masa '[kg']]],0)</f>
        <v>0.70799999999999996</v>
      </c>
    </row>
    <row r="1928" spans="1:6" x14ac:dyDescent="0.25">
      <c r="A1928" s="1">
        <v>50567</v>
      </c>
      <c r="B1928" t="s">
        <v>32</v>
      </c>
      <c r="C1928">
        <v>26.8</v>
      </c>
      <c r="D1928">
        <v>0.9</v>
      </c>
      <c r="E1928">
        <f>IF(D1928&gt;=1,martianeum[[#This Row],[zawartosc]] * 0.01 *martianeum[[#This Row],[masa '[kg']]],0)</f>
        <v>0</v>
      </c>
    </row>
    <row r="1929" spans="1:6" x14ac:dyDescent="0.25">
      <c r="A1929" s="1">
        <v>50568</v>
      </c>
      <c r="B1929" t="s">
        <v>9</v>
      </c>
      <c r="C1929">
        <v>27.3</v>
      </c>
      <c r="D1929">
        <v>44.5</v>
      </c>
      <c r="E1929">
        <f>IF(D1929&gt;=1,martianeum[[#This Row],[zawartosc]] * 0.01 *martianeum[[#This Row],[masa '[kg']]],0)</f>
        <v>12.1485</v>
      </c>
    </row>
    <row r="1930" spans="1:6" x14ac:dyDescent="0.25">
      <c r="A1930" s="1">
        <v>50569</v>
      </c>
      <c r="B1930" t="s">
        <v>7</v>
      </c>
      <c r="C1930">
        <v>14.3</v>
      </c>
      <c r="D1930">
        <v>3.7</v>
      </c>
      <c r="E1930">
        <f>IF(D1930&gt;=1,martianeum[[#This Row],[zawartosc]] * 0.01 *martianeum[[#This Row],[masa '[kg']]],0)</f>
        <v>0.52910000000000013</v>
      </c>
    </row>
    <row r="1931" spans="1:6" x14ac:dyDescent="0.25">
      <c r="A1931" s="1">
        <v>50570</v>
      </c>
      <c r="B1931" t="s">
        <v>4</v>
      </c>
      <c r="C1931">
        <v>19.399999999999999</v>
      </c>
      <c r="D1931">
        <v>0</v>
      </c>
      <c r="E1931">
        <f>IF(D1931&gt;=1,martianeum[[#This Row],[zawartosc]] * 0.01 *martianeum[[#This Row],[masa '[kg']]],0)</f>
        <v>0</v>
      </c>
    </row>
    <row r="1932" spans="1:6" x14ac:dyDescent="0.25">
      <c r="A1932" s="1">
        <v>50571</v>
      </c>
      <c r="B1932" t="s">
        <v>18</v>
      </c>
      <c r="C1932">
        <v>26.5</v>
      </c>
      <c r="D1932">
        <v>0</v>
      </c>
      <c r="E1932">
        <f>IF(D1932&gt;=1,martianeum[[#This Row],[zawartosc]] * 0.01 *martianeum[[#This Row],[masa '[kg']]],0)</f>
        <v>0</v>
      </c>
    </row>
    <row r="1933" spans="1:6" x14ac:dyDescent="0.25">
      <c r="A1933" s="1">
        <v>50572</v>
      </c>
      <c r="B1933" t="s">
        <v>18</v>
      </c>
      <c r="C1933">
        <v>28.3</v>
      </c>
      <c r="D1933">
        <v>14.4</v>
      </c>
      <c r="E1933">
        <f>IF(D1933&gt;=1,martianeum[[#This Row],[zawartosc]] * 0.01 *martianeum[[#This Row],[masa '[kg']]],0)</f>
        <v>4.0752000000000006</v>
      </c>
      <c r="F1933">
        <f t="shared" ref="F1933" si="274">SUM(C1927:C1933)</f>
        <v>154.4</v>
      </c>
    </row>
    <row r="1934" spans="1:6" x14ac:dyDescent="0.25">
      <c r="A1934" s="1">
        <v>50573</v>
      </c>
      <c r="B1934" t="s">
        <v>26</v>
      </c>
      <c r="C1934">
        <v>19.8</v>
      </c>
      <c r="D1934">
        <v>0</v>
      </c>
      <c r="E1934">
        <f>IF(D1934&gt;=1,martianeum[[#This Row],[zawartosc]] * 0.01 *martianeum[[#This Row],[masa '[kg']]],0)</f>
        <v>0</v>
      </c>
    </row>
    <row r="1935" spans="1:6" x14ac:dyDescent="0.25">
      <c r="A1935" s="1">
        <v>50574</v>
      </c>
      <c r="B1935" t="s">
        <v>9</v>
      </c>
      <c r="C1935">
        <v>16</v>
      </c>
      <c r="D1935">
        <v>28.7</v>
      </c>
      <c r="E1935">
        <f>IF(D1935&gt;=1,martianeum[[#This Row],[zawartosc]] * 0.01 *martianeum[[#This Row],[masa '[kg']]],0)</f>
        <v>4.5919999999999996</v>
      </c>
    </row>
    <row r="1936" spans="1:6" x14ac:dyDescent="0.25">
      <c r="A1936" s="1">
        <v>50575</v>
      </c>
      <c r="B1936" t="s">
        <v>18</v>
      </c>
      <c r="C1936">
        <v>14.5</v>
      </c>
      <c r="D1936">
        <v>12</v>
      </c>
      <c r="E1936">
        <f>IF(D1936&gt;=1,martianeum[[#This Row],[zawartosc]] * 0.01 *martianeum[[#This Row],[masa '[kg']]],0)</f>
        <v>1.74</v>
      </c>
    </row>
    <row r="1937" spans="1:6" x14ac:dyDescent="0.25">
      <c r="A1937" s="1">
        <v>50576</v>
      </c>
      <c r="B1937" t="s">
        <v>14</v>
      </c>
      <c r="C1937">
        <v>14.3</v>
      </c>
      <c r="D1937">
        <v>13</v>
      </c>
      <c r="E1937">
        <f>IF(D1937&gt;=1,martianeum[[#This Row],[zawartosc]] * 0.01 *martianeum[[#This Row],[masa '[kg']]],0)</f>
        <v>1.8590000000000002</v>
      </c>
    </row>
    <row r="1938" spans="1:6" x14ac:dyDescent="0.25">
      <c r="A1938" s="1">
        <v>50577</v>
      </c>
      <c r="B1938" t="s">
        <v>17</v>
      </c>
      <c r="C1938">
        <v>12.7</v>
      </c>
      <c r="D1938">
        <v>10.7</v>
      </c>
      <c r="E1938">
        <f>IF(D1938&gt;=1,martianeum[[#This Row],[zawartosc]] * 0.01 *martianeum[[#This Row],[masa '[kg']]],0)</f>
        <v>1.3589</v>
      </c>
    </row>
    <row r="1939" spans="1:6" x14ac:dyDescent="0.25">
      <c r="A1939" s="1">
        <v>50578</v>
      </c>
      <c r="B1939" t="s">
        <v>21</v>
      </c>
      <c r="C1939">
        <v>12.6</v>
      </c>
      <c r="D1939">
        <v>0</v>
      </c>
      <c r="E1939">
        <f>IF(D1939&gt;=1,martianeum[[#This Row],[zawartosc]] * 0.01 *martianeum[[#This Row],[masa '[kg']]],0)</f>
        <v>0</v>
      </c>
    </row>
    <row r="1940" spans="1:6" x14ac:dyDescent="0.25">
      <c r="A1940" s="1">
        <v>50579</v>
      </c>
      <c r="B1940" t="s">
        <v>25</v>
      </c>
      <c r="C1940">
        <v>19.899999999999999</v>
      </c>
      <c r="D1940">
        <v>6.6</v>
      </c>
      <c r="E1940">
        <f>IF(D1940&gt;=1,martianeum[[#This Row],[zawartosc]] * 0.01 *martianeum[[#This Row],[masa '[kg']]],0)</f>
        <v>1.3133999999999999</v>
      </c>
      <c r="F1940">
        <f t="shared" ref="F1940" si="275">SUM(C1934:C1940)</f>
        <v>109.79999999999998</v>
      </c>
    </row>
    <row r="1941" spans="1:6" x14ac:dyDescent="0.25">
      <c r="A1941" s="1">
        <v>50580</v>
      </c>
      <c r="B1941" t="s">
        <v>6</v>
      </c>
      <c r="C1941">
        <v>27.4</v>
      </c>
      <c r="D1941">
        <v>6.6</v>
      </c>
      <c r="E1941">
        <f>IF(D1941&gt;=1,martianeum[[#This Row],[zawartosc]] * 0.01 *martianeum[[#This Row],[masa '[kg']]],0)</f>
        <v>1.8084</v>
      </c>
    </row>
    <row r="1942" spans="1:6" x14ac:dyDescent="0.25">
      <c r="A1942" s="1">
        <v>50581</v>
      </c>
      <c r="B1942" t="s">
        <v>18</v>
      </c>
      <c r="C1942">
        <v>27.4</v>
      </c>
      <c r="D1942">
        <v>0</v>
      </c>
      <c r="E1942">
        <f>IF(D1942&gt;=1,martianeum[[#This Row],[zawartosc]] * 0.01 *martianeum[[#This Row],[masa '[kg']]],0)</f>
        <v>0</v>
      </c>
    </row>
    <row r="1943" spans="1:6" x14ac:dyDescent="0.25">
      <c r="A1943" s="1">
        <v>50582</v>
      </c>
      <c r="B1943" t="s">
        <v>27</v>
      </c>
      <c r="C1943">
        <v>11.2</v>
      </c>
      <c r="D1943">
        <v>0.3</v>
      </c>
      <c r="E1943">
        <f>IF(D1943&gt;=1,martianeum[[#This Row],[zawartosc]] * 0.01 *martianeum[[#This Row],[masa '[kg']]],0)</f>
        <v>0</v>
      </c>
    </row>
    <row r="1944" spans="1:6" x14ac:dyDescent="0.25">
      <c r="A1944" s="1">
        <v>50583</v>
      </c>
      <c r="B1944" t="s">
        <v>10</v>
      </c>
      <c r="C1944">
        <v>19.899999999999999</v>
      </c>
      <c r="D1944">
        <v>19.399999999999999</v>
      </c>
      <c r="E1944">
        <f>IF(D1944&gt;=1,martianeum[[#This Row],[zawartosc]] * 0.01 *martianeum[[#This Row],[masa '[kg']]],0)</f>
        <v>3.8605999999999994</v>
      </c>
    </row>
    <row r="1945" spans="1:6" x14ac:dyDescent="0.25">
      <c r="A1945" s="1">
        <v>50584</v>
      </c>
      <c r="B1945" t="s">
        <v>3</v>
      </c>
      <c r="C1945">
        <v>13</v>
      </c>
      <c r="D1945">
        <v>0.4</v>
      </c>
      <c r="E1945">
        <f>IF(D1945&gt;=1,martianeum[[#This Row],[zawartosc]] * 0.01 *martianeum[[#This Row],[masa '[kg']]],0)</f>
        <v>0</v>
      </c>
    </row>
    <row r="1946" spans="1:6" x14ac:dyDescent="0.25">
      <c r="A1946" s="1">
        <v>50585</v>
      </c>
      <c r="B1946" t="s">
        <v>17</v>
      </c>
      <c r="C1946">
        <v>25.4</v>
      </c>
      <c r="D1946">
        <v>12.4</v>
      </c>
      <c r="E1946">
        <f>IF(D1946&gt;=1,martianeum[[#This Row],[zawartosc]] * 0.01 *martianeum[[#This Row],[masa '[kg']]],0)</f>
        <v>3.1496</v>
      </c>
    </row>
    <row r="1947" spans="1:6" x14ac:dyDescent="0.25">
      <c r="A1947" s="1">
        <v>50586</v>
      </c>
      <c r="B1947" t="s">
        <v>8</v>
      </c>
      <c r="C1947">
        <v>23.5</v>
      </c>
      <c r="D1947">
        <v>0.7</v>
      </c>
      <c r="E1947">
        <f>IF(D1947&gt;=1,martianeum[[#This Row],[zawartosc]] * 0.01 *martianeum[[#This Row],[masa '[kg']]],0)</f>
        <v>0</v>
      </c>
      <c r="F1947">
        <f t="shared" ref="F1947" si="276">SUM(C1941:C1947)</f>
        <v>147.80000000000001</v>
      </c>
    </row>
    <row r="1948" spans="1:6" x14ac:dyDescent="0.25">
      <c r="A1948" s="1">
        <v>50587</v>
      </c>
      <c r="B1948" t="s">
        <v>21</v>
      </c>
      <c r="C1948">
        <v>16</v>
      </c>
      <c r="D1948">
        <v>0.1</v>
      </c>
      <c r="E1948">
        <f>IF(D1948&gt;=1,martianeum[[#This Row],[zawartosc]] * 0.01 *martianeum[[#This Row],[masa '[kg']]],0)</f>
        <v>0</v>
      </c>
    </row>
    <row r="1949" spans="1:6" x14ac:dyDescent="0.25">
      <c r="A1949" s="1">
        <v>50588</v>
      </c>
      <c r="B1949" t="s">
        <v>5</v>
      </c>
      <c r="C1949">
        <v>25</v>
      </c>
      <c r="D1949">
        <v>11.7</v>
      </c>
      <c r="E1949">
        <f>IF(D1949&gt;=1,martianeum[[#This Row],[zawartosc]] * 0.01 *martianeum[[#This Row],[masa '[kg']]],0)</f>
        <v>2.9249999999999998</v>
      </c>
    </row>
    <row r="1950" spans="1:6" x14ac:dyDescent="0.25">
      <c r="A1950" s="1">
        <v>50589</v>
      </c>
      <c r="B1950" t="s">
        <v>30</v>
      </c>
      <c r="C1950">
        <v>22.2</v>
      </c>
      <c r="D1950">
        <v>0.9</v>
      </c>
      <c r="E1950">
        <f>IF(D1950&gt;=1,martianeum[[#This Row],[zawartosc]] * 0.01 *martianeum[[#This Row],[masa '[kg']]],0)</f>
        <v>0</v>
      </c>
    </row>
    <row r="1951" spans="1:6" x14ac:dyDescent="0.25">
      <c r="A1951" s="1">
        <v>50590</v>
      </c>
      <c r="B1951" t="s">
        <v>23</v>
      </c>
      <c r="C1951">
        <v>29.6</v>
      </c>
      <c r="D1951">
        <v>0</v>
      </c>
      <c r="E1951">
        <f>IF(D1951&gt;=1,martianeum[[#This Row],[zawartosc]] * 0.01 *martianeum[[#This Row],[masa '[kg']]],0)</f>
        <v>0</v>
      </c>
    </row>
    <row r="1952" spans="1:6" x14ac:dyDescent="0.25">
      <c r="A1952" s="1">
        <v>50591</v>
      </c>
      <c r="B1952" t="s">
        <v>9</v>
      </c>
      <c r="C1952">
        <v>10.1</v>
      </c>
      <c r="D1952">
        <v>0</v>
      </c>
      <c r="E1952">
        <f>IF(D1952&gt;=1,martianeum[[#This Row],[zawartosc]] * 0.01 *martianeum[[#This Row],[masa '[kg']]],0)</f>
        <v>0</v>
      </c>
    </row>
    <row r="1953" spans="1:6" x14ac:dyDescent="0.25">
      <c r="A1953" s="1">
        <v>50592</v>
      </c>
      <c r="B1953" t="s">
        <v>8</v>
      </c>
      <c r="C1953">
        <v>26.3</v>
      </c>
      <c r="D1953">
        <v>6.7</v>
      </c>
      <c r="E1953">
        <f>IF(D1953&gt;=1,martianeum[[#This Row],[zawartosc]] * 0.01 *martianeum[[#This Row],[masa '[kg']]],0)</f>
        <v>1.7621000000000002</v>
      </c>
    </row>
    <row r="1954" spans="1:6" x14ac:dyDescent="0.25">
      <c r="A1954" s="1">
        <v>50593</v>
      </c>
      <c r="B1954" t="s">
        <v>9</v>
      </c>
      <c r="C1954">
        <v>27.3</v>
      </c>
      <c r="D1954">
        <v>15.3</v>
      </c>
      <c r="E1954">
        <f>IF(D1954&gt;=1,martianeum[[#This Row],[zawartosc]] * 0.01 *martianeum[[#This Row],[masa '[kg']]],0)</f>
        <v>4.1768999999999998</v>
      </c>
      <c r="F1954">
        <f t="shared" ref="F1954" si="277">SUM(C1948:C1954)</f>
        <v>156.50000000000003</v>
      </c>
    </row>
    <row r="1955" spans="1:6" x14ac:dyDescent="0.25">
      <c r="A1955" s="1">
        <v>50594</v>
      </c>
      <c r="B1955" t="s">
        <v>10</v>
      </c>
      <c r="C1955">
        <v>27.8</v>
      </c>
      <c r="D1955">
        <v>0</v>
      </c>
      <c r="E1955">
        <f>IF(D1955&gt;=1,martianeum[[#This Row],[zawartosc]] * 0.01 *martianeum[[#This Row],[masa '[kg']]],0)</f>
        <v>0</v>
      </c>
    </row>
    <row r="1956" spans="1:6" x14ac:dyDescent="0.25">
      <c r="A1956" s="1">
        <v>50595</v>
      </c>
      <c r="B1956" t="s">
        <v>5</v>
      </c>
      <c r="C1956">
        <v>16.7</v>
      </c>
      <c r="D1956">
        <v>4.9000000000000004</v>
      </c>
      <c r="E1956">
        <f>IF(D1956&gt;=1,martianeum[[#This Row],[zawartosc]] * 0.01 *martianeum[[#This Row],[masa '[kg']]],0)</f>
        <v>0.81830000000000003</v>
      </c>
    </row>
    <row r="1957" spans="1:6" x14ac:dyDescent="0.25">
      <c r="A1957" s="1">
        <v>50596</v>
      </c>
      <c r="B1957" t="s">
        <v>14</v>
      </c>
      <c r="C1957">
        <v>15</v>
      </c>
      <c r="D1957">
        <v>9.4</v>
      </c>
      <c r="E1957">
        <f>IF(D1957&gt;=1,martianeum[[#This Row],[zawartosc]] * 0.01 *martianeum[[#This Row],[masa '[kg']]],0)</f>
        <v>1.41</v>
      </c>
    </row>
    <row r="1958" spans="1:6" x14ac:dyDescent="0.25">
      <c r="A1958" s="1">
        <v>50597</v>
      </c>
      <c r="B1958" t="s">
        <v>9</v>
      </c>
      <c r="C1958">
        <v>10.4</v>
      </c>
      <c r="D1958">
        <v>28.5</v>
      </c>
      <c r="E1958">
        <f>IF(D1958&gt;=1,martianeum[[#This Row],[zawartosc]] * 0.01 *martianeum[[#This Row],[masa '[kg']]],0)</f>
        <v>2.9640000000000004</v>
      </c>
    </row>
    <row r="1959" spans="1:6" x14ac:dyDescent="0.25">
      <c r="A1959" s="1">
        <v>50598</v>
      </c>
      <c r="B1959" t="s">
        <v>14</v>
      </c>
      <c r="C1959">
        <v>18.100000000000001</v>
      </c>
      <c r="D1959">
        <v>9.6</v>
      </c>
      <c r="E1959">
        <f>IF(D1959&gt;=1,martianeum[[#This Row],[zawartosc]] * 0.01 *martianeum[[#This Row],[masa '[kg']]],0)</f>
        <v>1.7376000000000003</v>
      </c>
    </row>
    <row r="1960" spans="1:6" x14ac:dyDescent="0.25">
      <c r="A1960" s="1">
        <v>50599</v>
      </c>
      <c r="B1960" t="s">
        <v>32</v>
      </c>
      <c r="C1960">
        <v>26.7</v>
      </c>
      <c r="D1960">
        <v>1.5</v>
      </c>
      <c r="E1960">
        <f>IF(D1960&gt;=1,martianeum[[#This Row],[zawartosc]] * 0.01 *martianeum[[#This Row],[masa '[kg']]],0)</f>
        <v>0.40049999999999997</v>
      </c>
    </row>
    <row r="1961" spans="1:6" x14ac:dyDescent="0.25">
      <c r="A1961" s="1">
        <v>50600</v>
      </c>
      <c r="B1961" t="s">
        <v>12</v>
      </c>
      <c r="C1961">
        <v>22.9</v>
      </c>
      <c r="D1961">
        <v>8.9</v>
      </c>
      <c r="E1961">
        <f>IF(D1961&gt;=1,martianeum[[#This Row],[zawartosc]] * 0.01 *martianeum[[#This Row],[masa '[kg']]],0)</f>
        <v>2.0381</v>
      </c>
      <c r="F1961">
        <f t="shared" ref="F1961" si="278">SUM(C1955:C1961)</f>
        <v>137.6</v>
      </c>
    </row>
    <row r="1962" spans="1:6" x14ac:dyDescent="0.25">
      <c r="A1962" s="1">
        <v>50601</v>
      </c>
      <c r="B1962" t="s">
        <v>14</v>
      </c>
      <c r="C1962">
        <v>29.3</v>
      </c>
      <c r="D1962">
        <v>0</v>
      </c>
      <c r="E1962">
        <f>IF(D1962&gt;=1,martianeum[[#This Row],[zawartosc]] * 0.01 *martianeum[[#This Row],[masa '[kg']]],0)</f>
        <v>0</v>
      </c>
    </row>
    <row r="1963" spans="1:6" x14ac:dyDescent="0.25">
      <c r="A1963" s="1">
        <v>50602</v>
      </c>
      <c r="B1963" t="s">
        <v>6</v>
      </c>
      <c r="C1963">
        <v>26.4</v>
      </c>
      <c r="D1963">
        <v>3.2</v>
      </c>
      <c r="E1963">
        <f>IF(D1963&gt;=1,martianeum[[#This Row],[zawartosc]] * 0.01 *martianeum[[#This Row],[masa '[kg']]],0)</f>
        <v>0.8448</v>
      </c>
    </row>
    <row r="1964" spans="1:6" x14ac:dyDescent="0.25">
      <c r="A1964" s="1">
        <v>50603</v>
      </c>
      <c r="B1964" t="s">
        <v>17</v>
      </c>
      <c r="C1964">
        <v>20</v>
      </c>
      <c r="D1964">
        <v>7.3</v>
      </c>
      <c r="E1964">
        <f>IF(D1964&gt;=1,martianeum[[#This Row],[zawartosc]] * 0.01 *martianeum[[#This Row],[masa '[kg']]],0)</f>
        <v>1.46</v>
      </c>
    </row>
    <row r="1965" spans="1:6" x14ac:dyDescent="0.25">
      <c r="A1965" s="1">
        <v>50604</v>
      </c>
      <c r="B1965" t="s">
        <v>10</v>
      </c>
      <c r="C1965">
        <v>17.100000000000001</v>
      </c>
      <c r="D1965">
        <v>0</v>
      </c>
      <c r="E1965">
        <f>IF(D1965&gt;=1,martianeum[[#This Row],[zawartosc]] * 0.01 *martianeum[[#This Row],[masa '[kg']]],0)</f>
        <v>0</v>
      </c>
    </row>
    <row r="1966" spans="1:6" x14ac:dyDescent="0.25">
      <c r="A1966" s="1">
        <v>50605</v>
      </c>
      <c r="B1966" t="s">
        <v>4</v>
      </c>
      <c r="C1966">
        <v>18.8</v>
      </c>
      <c r="D1966">
        <v>0</v>
      </c>
      <c r="E1966">
        <f>IF(D1966&gt;=1,martianeum[[#This Row],[zawartosc]] * 0.01 *martianeum[[#This Row],[masa '[kg']]],0)</f>
        <v>0</v>
      </c>
    </row>
    <row r="1967" spans="1:6" x14ac:dyDescent="0.25">
      <c r="A1967" s="1">
        <v>50606</v>
      </c>
      <c r="B1967" t="s">
        <v>12</v>
      </c>
      <c r="C1967">
        <v>12.6</v>
      </c>
      <c r="D1967">
        <v>4.4000000000000004</v>
      </c>
      <c r="E1967">
        <f>IF(D1967&gt;=1,martianeum[[#This Row],[zawartosc]] * 0.01 *martianeum[[#This Row],[masa '[kg']]],0)</f>
        <v>0.5544</v>
      </c>
    </row>
    <row r="1968" spans="1:6" x14ac:dyDescent="0.25">
      <c r="A1968" s="1">
        <v>50607</v>
      </c>
      <c r="B1968" t="s">
        <v>21</v>
      </c>
      <c r="C1968">
        <v>24</v>
      </c>
      <c r="D1968">
        <v>0</v>
      </c>
      <c r="E1968">
        <f>IF(D1968&gt;=1,martianeum[[#This Row],[zawartosc]] * 0.01 *martianeum[[#This Row],[masa '[kg']]],0)</f>
        <v>0</v>
      </c>
      <c r="F1968">
        <f t="shared" ref="F1968" si="279">SUM(C1962:C1968)</f>
        <v>148.19999999999999</v>
      </c>
    </row>
    <row r="1969" spans="1:6" x14ac:dyDescent="0.25">
      <c r="A1969" s="1">
        <v>50608</v>
      </c>
      <c r="B1969" t="s">
        <v>18</v>
      </c>
      <c r="C1969">
        <v>13.4</v>
      </c>
      <c r="D1969">
        <v>35.6</v>
      </c>
      <c r="E1969">
        <f>IF(D1969&gt;=1,martianeum[[#This Row],[zawartosc]] * 0.01 *martianeum[[#This Row],[masa '[kg']]],0)</f>
        <v>4.7704000000000004</v>
      </c>
    </row>
    <row r="1970" spans="1:6" x14ac:dyDescent="0.25">
      <c r="A1970" s="1">
        <v>50609</v>
      </c>
      <c r="B1970" t="s">
        <v>9</v>
      </c>
      <c r="C1970">
        <v>25.7</v>
      </c>
      <c r="D1970">
        <v>21.1</v>
      </c>
      <c r="E1970">
        <f>IF(D1970&gt;=1,martianeum[[#This Row],[zawartosc]] * 0.01 *martianeum[[#This Row],[masa '[kg']]],0)</f>
        <v>5.4227000000000007</v>
      </c>
    </row>
    <row r="1971" spans="1:6" x14ac:dyDescent="0.25">
      <c r="A1971" s="1">
        <v>50610</v>
      </c>
      <c r="B1971" t="s">
        <v>20</v>
      </c>
      <c r="C1971">
        <v>24.9</v>
      </c>
      <c r="D1971">
        <v>2</v>
      </c>
      <c r="E1971">
        <f>IF(D1971&gt;=1,martianeum[[#This Row],[zawartosc]] * 0.01 *martianeum[[#This Row],[masa '[kg']]],0)</f>
        <v>0.498</v>
      </c>
    </row>
    <row r="1972" spans="1:6" x14ac:dyDescent="0.25">
      <c r="A1972" s="1">
        <v>50611</v>
      </c>
      <c r="B1972" t="s">
        <v>10</v>
      </c>
      <c r="C1972">
        <v>12.5</v>
      </c>
      <c r="D1972">
        <v>0</v>
      </c>
      <c r="E1972">
        <f>IF(D1972&gt;=1,martianeum[[#This Row],[zawartosc]] * 0.01 *martianeum[[#This Row],[masa '[kg']]],0)</f>
        <v>0</v>
      </c>
    </row>
    <row r="1973" spans="1:6" x14ac:dyDescent="0.25">
      <c r="A1973" s="1">
        <v>50612</v>
      </c>
      <c r="B1973" t="s">
        <v>9</v>
      </c>
      <c r="C1973">
        <v>21.8</v>
      </c>
      <c r="D1973">
        <v>0</v>
      </c>
      <c r="E1973">
        <f>IF(D1973&gt;=1,martianeum[[#This Row],[zawartosc]] * 0.01 *martianeum[[#This Row],[masa '[kg']]],0)</f>
        <v>0</v>
      </c>
    </row>
    <row r="1974" spans="1:6" x14ac:dyDescent="0.25">
      <c r="A1974" s="1">
        <v>50613</v>
      </c>
      <c r="B1974" t="s">
        <v>4</v>
      </c>
      <c r="C1974">
        <v>15.8</v>
      </c>
      <c r="D1974">
        <v>6.7</v>
      </c>
      <c r="E1974">
        <f>IF(D1974&gt;=1,martianeum[[#This Row],[zawartosc]] * 0.01 *martianeum[[#This Row],[masa '[kg']]],0)</f>
        <v>1.0586000000000002</v>
      </c>
    </row>
    <row r="1975" spans="1:6" x14ac:dyDescent="0.25">
      <c r="A1975" s="1">
        <v>50614</v>
      </c>
      <c r="B1975" t="s">
        <v>11</v>
      </c>
      <c r="C1975">
        <v>13.9</v>
      </c>
      <c r="D1975">
        <v>0</v>
      </c>
      <c r="E1975">
        <f>IF(D1975&gt;=1,martianeum[[#This Row],[zawartosc]] * 0.01 *martianeum[[#This Row],[masa '[kg']]],0)</f>
        <v>0</v>
      </c>
      <c r="F1975">
        <f t="shared" ref="F1975" si="280">SUM(C1969:C1975)</f>
        <v>128</v>
      </c>
    </row>
    <row r="1976" spans="1:6" x14ac:dyDescent="0.25">
      <c r="A1976" s="1">
        <v>50615</v>
      </c>
      <c r="B1976" t="s">
        <v>19</v>
      </c>
      <c r="C1976">
        <v>12.2</v>
      </c>
      <c r="D1976">
        <v>4.4000000000000004</v>
      </c>
      <c r="E1976">
        <f>IF(D1976&gt;=1,martianeum[[#This Row],[zawartosc]] * 0.01 *martianeum[[#This Row],[masa '[kg']]],0)</f>
        <v>0.53680000000000005</v>
      </c>
    </row>
    <row r="1977" spans="1:6" x14ac:dyDescent="0.25">
      <c r="A1977" s="1">
        <v>50616</v>
      </c>
      <c r="B1977" t="s">
        <v>10</v>
      </c>
      <c r="C1977">
        <v>12.2</v>
      </c>
      <c r="D1977">
        <v>0</v>
      </c>
      <c r="E1977">
        <f>IF(D1977&gt;=1,martianeum[[#This Row],[zawartosc]] * 0.01 *martianeum[[#This Row],[masa '[kg']]],0)</f>
        <v>0</v>
      </c>
    </row>
    <row r="1978" spans="1:6" x14ac:dyDescent="0.25">
      <c r="A1978" s="1">
        <v>50617</v>
      </c>
      <c r="B1978" t="s">
        <v>18</v>
      </c>
      <c r="C1978">
        <v>13.7</v>
      </c>
      <c r="D1978">
        <v>28</v>
      </c>
      <c r="E1978">
        <f>IF(D1978&gt;=1,martianeum[[#This Row],[zawartosc]] * 0.01 *martianeum[[#This Row],[masa '[kg']]],0)</f>
        <v>3.8360000000000003</v>
      </c>
    </row>
    <row r="1979" spans="1:6" x14ac:dyDescent="0.25">
      <c r="A1979" s="1">
        <v>50618</v>
      </c>
      <c r="B1979" t="s">
        <v>16</v>
      </c>
      <c r="C1979">
        <v>27.9</v>
      </c>
      <c r="D1979">
        <v>0</v>
      </c>
      <c r="E1979">
        <f>IF(D1979&gt;=1,martianeum[[#This Row],[zawartosc]] * 0.01 *martianeum[[#This Row],[masa '[kg']]],0)</f>
        <v>0</v>
      </c>
    </row>
    <row r="1980" spans="1:6" x14ac:dyDescent="0.25">
      <c r="A1980" s="1">
        <v>50619</v>
      </c>
      <c r="B1980" t="s">
        <v>12</v>
      </c>
      <c r="C1980">
        <v>25.6</v>
      </c>
      <c r="D1980">
        <v>1.7</v>
      </c>
      <c r="E1980">
        <f>IF(D1980&gt;=1,martianeum[[#This Row],[zawartosc]] * 0.01 *martianeum[[#This Row],[masa '[kg']]],0)</f>
        <v>0.43520000000000003</v>
      </c>
    </row>
    <row r="1981" spans="1:6" x14ac:dyDescent="0.25">
      <c r="A1981" s="1">
        <v>50620</v>
      </c>
      <c r="B1981" t="s">
        <v>13</v>
      </c>
      <c r="C1981">
        <v>11.7</v>
      </c>
      <c r="D1981">
        <v>4.5999999999999996</v>
      </c>
      <c r="E1981">
        <f>IF(D1981&gt;=1,martianeum[[#This Row],[zawartosc]] * 0.01 *martianeum[[#This Row],[masa '[kg']]],0)</f>
        <v>0.53820000000000001</v>
      </c>
    </row>
    <row r="1982" spans="1:6" x14ac:dyDescent="0.25">
      <c r="A1982" s="1">
        <v>50621</v>
      </c>
      <c r="B1982" t="s">
        <v>7</v>
      </c>
      <c r="C1982">
        <v>27.3</v>
      </c>
      <c r="D1982">
        <v>0</v>
      </c>
      <c r="E1982">
        <f>IF(D1982&gt;=1,martianeum[[#This Row],[zawartosc]] * 0.01 *martianeum[[#This Row],[masa '[kg']]],0)</f>
        <v>0</v>
      </c>
      <c r="F1982">
        <f t="shared" ref="F1982" si="281">SUM(C1976:C1982)</f>
        <v>130.6</v>
      </c>
    </row>
    <row r="1983" spans="1:6" x14ac:dyDescent="0.25">
      <c r="A1983" s="1">
        <v>50622</v>
      </c>
      <c r="B1983" t="s">
        <v>10</v>
      </c>
      <c r="C1983">
        <v>25.6</v>
      </c>
      <c r="D1983">
        <v>18.2</v>
      </c>
      <c r="E1983">
        <f>IF(D1983&gt;=1,martianeum[[#This Row],[zawartosc]] * 0.01 *martianeum[[#This Row],[masa '[kg']]],0)</f>
        <v>4.6592000000000002</v>
      </c>
    </row>
    <row r="1984" spans="1:6" x14ac:dyDescent="0.25">
      <c r="A1984" s="1">
        <v>50623</v>
      </c>
      <c r="B1984" t="s">
        <v>27</v>
      </c>
      <c r="C1984">
        <v>23.6</v>
      </c>
      <c r="D1984">
        <v>0.1</v>
      </c>
      <c r="E1984">
        <f>IF(D1984&gt;=1,martianeum[[#This Row],[zawartosc]] * 0.01 *martianeum[[#This Row],[masa '[kg']]],0)</f>
        <v>0</v>
      </c>
    </row>
    <row r="1985" spans="1:6" x14ac:dyDescent="0.25">
      <c r="A1985" s="1">
        <v>50624</v>
      </c>
      <c r="B1985" t="s">
        <v>9</v>
      </c>
      <c r="C1985">
        <v>14.6</v>
      </c>
      <c r="D1985">
        <v>0</v>
      </c>
      <c r="E1985">
        <f>IF(D1985&gt;=1,martianeum[[#This Row],[zawartosc]] * 0.01 *martianeum[[#This Row],[masa '[kg']]],0)</f>
        <v>0</v>
      </c>
    </row>
    <row r="1986" spans="1:6" x14ac:dyDescent="0.25">
      <c r="A1986" s="1">
        <v>50625</v>
      </c>
      <c r="B1986" t="s">
        <v>8</v>
      </c>
      <c r="C1986">
        <v>17.399999999999999</v>
      </c>
      <c r="D1986">
        <v>7.8</v>
      </c>
      <c r="E1986">
        <f>IF(D1986&gt;=1,martianeum[[#This Row],[zawartosc]] * 0.01 *martianeum[[#This Row],[masa '[kg']]],0)</f>
        <v>1.3572</v>
      </c>
    </row>
    <row r="1987" spans="1:6" x14ac:dyDescent="0.25">
      <c r="A1987" s="1">
        <v>50626</v>
      </c>
      <c r="B1987" t="s">
        <v>9</v>
      </c>
      <c r="C1987">
        <v>27.4</v>
      </c>
      <c r="D1987">
        <v>0</v>
      </c>
      <c r="E1987">
        <f>IF(D1987&gt;=1,martianeum[[#This Row],[zawartosc]] * 0.01 *martianeum[[#This Row],[masa '[kg']]],0)</f>
        <v>0</v>
      </c>
    </row>
    <row r="1988" spans="1:6" x14ac:dyDescent="0.25">
      <c r="A1988" s="1">
        <v>50627</v>
      </c>
      <c r="B1988" t="s">
        <v>18</v>
      </c>
      <c r="C1988">
        <v>15.2</v>
      </c>
      <c r="D1988">
        <v>5.9</v>
      </c>
      <c r="E1988">
        <f>IF(D1988&gt;=1,martianeum[[#This Row],[zawartosc]] * 0.01 *martianeum[[#This Row],[masa '[kg']]],0)</f>
        <v>0.89680000000000004</v>
      </c>
    </row>
    <row r="1989" spans="1:6" x14ac:dyDescent="0.25">
      <c r="A1989" s="1">
        <v>50628</v>
      </c>
      <c r="B1989" t="s">
        <v>28</v>
      </c>
      <c r="C1989">
        <v>11.6</v>
      </c>
      <c r="D1989">
        <v>0</v>
      </c>
      <c r="E1989">
        <f>IF(D1989&gt;=1,martianeum[[#This Row],[zawartosc]] * 0.01 *martianeum[[#This Row],[masa '[kg']]],0)</f>
        <v>0</v>
      </c>
      <c r="F1989">
        <f t="shared" ref="F1989" si="282">SUM(C1983:C1989)</f>
        <v>135.4</v>
      </c>
    </row>
    <row r="1990" spans="1:6" x14ac:dyDescent="0.25">
      <c r="A1990" s="1">
        <v>50629</v>
      </c>
      <c r="B1990" t="s">
        <v>25</v>
      </c>
      <c r="C1990">
        <v>10.8</v>
      </c>
      <c r="D1990">
        <v>1.6</v>
      </c>
      <c r="E1990">
        <f>IF(D1990&gt;=1,martianeum[[#This Row],[zawartosc]] * 0.01 *martianeum[[#This Row],[masa '[kg']]],0)</f>
        <v>0.17280000000000001</v>
      </c>
    </row>
    <row r="1991" spans="1:6" x14ac:dyDescent="0.25">
      <c r="A1991" s="1">
        <v>50630</v>
      </c>
      <c r="B1991" t="s">
        <v>21</v>
      </c>
      <c r="C1991">
        <v>12</v>
      </c>
      <c r="D1991">
        <v>3.9</v>
      </c>
      <c r="E1991">
        <f>IF(D1991&gt;=1,martianeum[[#This Row],[zawartosc]] * 0.01 *martianeum[[#This Row],[masa '[kg']]],0)</f>
        <v>0.46799999999999997</v>
      </c>
    </row>
    <row r="1992" spans="1:6" x14ac:dyDescent="0.25">
      <c r="A1992" s="1">
        <v>50631</v>
      </c>
      <c r="B1992" t="s">
        <v>25</v>
      </c>
      <c r="C1992">
        <v>14</v>
      </c>
      <c r="D1992">
        <v>5</v>
      </c>
      <c r="E1992">
        <f>IF(D1992&gt;=1,martianeum[[#This Row],[zawartosc]] * 0.01 *martianeum[[#This Row],[masa '[kg']]],0)</f>
        <v>0.70000000000000007</v>
      </c>
    </row>
    <row r="1993" spans="1:6" x14ac:dyDescent="0.25">
      <c r="A1993" s="1">
        <v>50632</v>
      </c>
      <c r="B1993" t="s">
        <v>18</v>
      </c>
      <c r="C1993">
        <v>26.4</v>
      </c>
      <c r="D1993">
        <v>0</v>
      </c>
      <c r="E1993">
        <f>IF(D1993&gt;=1,martianeum[[#This Row],[zawartosc]] * 0.01 *martianeum[[#This Row],[masa '[kg']]],0)</f>
        <v>0</v>
      </c>
    </row>
    <row r="1994" spans="1:6" x14ac:dyDescent="0.25">
      <c r="A1994" s="1">
        <v>50633</v>
      </c>
      <c r="B1994" t="s">
        <v>14</v>
      </c>
      <c r="C1994">
        <v>23</v>
      </c>
      <c r="D1994">
        <v>20.100000000000001</v>
      </c>
      <c r="E1994">
        <f>IF(D1994&gt;=1,martianeum[[#This Row],[zawartosc]] * 0.01 *martianeum[[#This Row],[masa '[kg']]],0)</f>
        <v>4.6230000000000002</v>
      </c>
    </row>
    <row r="1995" spans="1:6" x14ac:dyDescent="0.25">
      <c r="A1995" s="1">
        <v>50634</v>
      </c>
      <c r="B1995" t="s">
        <v>7</v>
      </c>
      <c r="C1995">
        <v>20.5</v>
      </c>
      <c r="D1995">
        <v>1.1000000000000001</v>
      </c>
      <c r="E1995">
        <f>IF(D1995&gt;=1,martianeum[[#This Row],[zawartosc]] * 0.01 *martianeum[[#This Row],[masa '[kg']]],0)</f>
        <v>0.22550000000000003</v>
      </c>
    </row>
    <row r="1996" spans="1:6" x14ac:dyDescent="0.25">
      <c r="A1996" s="1">
        <v>50635</v>
      </c>
      <c r="B1996" t="s">
        <v>13</v>
      </c>
      <c r="C1996">
        <v>15.9</v>
      </c>
      <c r="D1996">
        <v>3.1</v>
      </c>
      <c r="E1996">
        <f>IF(D1996&gt;=1,martianeum[[#This Row],[zawartosc]] * 0.01 *martianeum[[#This Row],[masa '[kg']]],0)</f>
        <v>0.49290000000000006</v>
      </c>
      <c r="F1996">
        <f t="shared" ref="F1996" si="283">SUM(C1990:C1996)</f>
        <v>122.6</v>
      </c>
    </row>
    <row r="1997" spans="1:6" x14ac:dyDescent="0.25">
      <c r="A1997" s="1">
        <v>50636</v>
      </c>
      <c r="B1997" t="s">
        <v>9</v>
      </c>
      <c r="C1997">
        <v>20.8</v>
      </c>
      <c r="D1997">
        <v>6.9</v>
      </c>
      <c r="E1997">
        <f>IF(D1997&gt;=1,martianeum[[#This Row],[zawartosc]] * 0.01 *martianeum[[#This Row],[masa '[kg']]],0)</f>
        <v>1.4352000000000003</v>
      </c>
    </row>
    <row r="1998" spans="1:6" x14ac:dyDescent="0.25">
      <c r="A1998" s="1">
        <v>50637</v>
      </c>
      <c r="B1998" t="s">
        <v>20</v>
      </c>
      <c r="C1998">
        <v>12.9</v>
      </c>
      <c r="D1998">
        <v>1.5</v>
      </c>
      <c r="E1998">
        <f>IF(D1998&gt;=1,martianeum[[#This Row],[zawartosc]] * 0.01 *martianeum[[#This Row],[masa '[kg']]],0)</f>
        <v>0.19350000000000001</v>
      </c>
    </row>
    <row r="1999" spans="1:6" x14ac:dyDescent="0.25">
      <c r="A1999" s="1">
        <v>50638</v>
      </c>
      <c r="B1999" t="s">
        <v>18</v>
      </c>
      <c r="C1999">
        <v>11.6</v>
      </c>
      <c r="D1999">
        <v>15.8</v>
      </c>
      <c r="E1999">
        <f>IF(D1999&gt;=1,martianeum[[#This Row],[zawartosc]] * 0.01 *martianeum[[#This Row],[masa '[kg']]],0)</f>
        <v>1.8328</v>
      </c>
    </row>
    <row r="2000" spans="1:6" x14ac:dyDescent="0.25">
      <c r="A2000" s="1">
        <v>50639</v>
      </c>
      <c r="B2000" t="s">
        <v>12</v>
      </c>
      <c r="C2000">
        <v>25.6</v>
      </c>
      <c r="D2000">
        <v>0</v>
      </c>
      <c r="E2000">
        <f>IF(D2000&gt;=1,martianeum[[#This Row],[zawartosc]] * 0.01 *martianeum[[#This Row],[masa '[kg']]],0)</f>
        <v>0</v>
      </c>
    </row>
    <row r="2001" spans="1:6" x14ac:dyDescent="0.25">
      <c r="A2001" s="1">
        <v>50640</v>
      </c>
      <c r="B2001" t="s">
        <v>6</v>
      </c>
      <c r="C2001">
        <v>15.7</v>
      </c>
      <c r="D2001">
        <v>6.7</v>
      </c>
      <c r="E2001">
        <f>IF(D2001&gt;=1,martianeum[[#This Row],[zawartosc]] * 0.01 *martianeum[[#This Row],[masa '[kg']]],0)</f>
        <v>1.0519000000000001</v>
      </c>
    </row>
    <row r="2002" spans="1:6" x14ac:dyDescent="0.25">
      <c r="A2002" s="1">
        <v>50641</v>
      </c>
      <c r="B2002" t="s">
        <v>13</v>
      </c>
      <c r="C2002">
        <v>25.5</v>
      </c>
      <c r="D2002">
        <v>0</v>
      </c>
      <c r="E2002">
        <f>IF(D2002&gt;=1,martianeum[[#This Row],[zawartosc]] * 0.01 *martianeum[[#This Row],[masa '[kg']]],0)</f>
        <v>0</v>
      </c>
    </row>
    <row r="2003" spans="1:6" x14ac:dyDescent="0.25">
      <c r="A2003" s="1">
        <v>50642</v>
      </c>
      <c r="B2003" t="s">
        <v>21</v>
      </c>
      <c r="C2003">
        <v>19.5</v>
      </c>
      <c r="D2003">
        <v>3.4</v>
      </c>
      <c r="E2003">
        <f>IF(D2003&gt;=1,martianeum[[#This Row],[zawartosc]] * 0.01 *martianeum[[#This Row],[masa '[kg']]],0)</f>
        <v>0.66300000000000003</v>
      </c>
      <c r="F2003">
        <f t="shared" ref="F2003" si="284">SUM(C1997:C2003)</f>
        <v>131.60000000000002</v>
      </c>
    </row>
    <row r="2004" spans="1:6" x14ac:dyDescent="0.25">
      <c r="A2004" s="1">
        <v>50643</v>
      </c>
      <c r="B2004" t="s">
        <v>24</v>
      </c>
      <c r="C2004">
        <v>14.1</v>
      </c>
      <c r="D2004">
        <v>0</v>
      </c>
      <c r="E2004">
        <f>IF(D2004&gt;=1,martianeum[[#This Row],[zawartosc]] * 0.01 *martianeum[[#This Row],[masa '[kg']]],0)</f>
        <v>0</v>
      </c>
    </row>
    <row r="2005" spans="1:6" x14ac:dyDescent="0.25">
      <c r="A2005" s="1">
        <v>50644</v>
      </c>
      <c r="B2005" t="s">
        <v>5</v>
      </c>
      <c r="C2005">
        <v>26.4</v>
      </c>
      <c r="D2005">
        <v>0</v>
      </c>
      <c r="E2005">
        <f>IF(D2005&gt;=1,martianeum[[#This Row],[zawartosc]] * 0.01 *martianeum[[#This Row],[masa '[kg']]],0)</f>
        <v>0</v>
      </c>
    </row>
    <row r="2006" spans="1:6" x14ac:dyDescent="0.25">
      <c r="A2006" s="1">
        <v>50645</v>
      </c>
      <c r="B2006" t="s">
        <v>14</v>
      </c>
      <c r="C2006">
        <v>11.7</v>
      </c>
      <c r="D2006">
        <v>8.4</v>
      </c>
      <c r="E2006">
        <f>IF(D2006&gt;=1,martianeum[[#This Row],[zawartosc]] * 0.01 *martianeum[[#This Row],[masa '[kg']]],0)</f>
        <v>0.98280000000000001</v>
      </c>
    </row>
    <row r="2007" spans="1:6" x14ac:dyDescent="0.25">
      <c r="A2007" s="1">
        <v>50646</v>
      </c>
      <c r="B2007" t="s">
        <v>24</v>
      </c>
      <c r="C2007">
        <v>28</v>
      </c>
      <c r="D2007">
        <v>0</v>
      </c>
      <c r="E2007">
        <f>IF(D2007&gt;=1,martianeum[[#This Row],[zawartosc]] * 0.01 *martianeum[[#This Row],[masa '[kg']]],0)</f>
        <v>0</v>
      </c>
    </row>
    <row r="2008" spans="1:6" x14ac:dyDescent="0.25">
      <c r="A2008" s="1">
        <v>50647</v>
      </c>
      <c r="B2008" t="s">
        <v>16</v>
      </c>
      <c r="C2008">
        <v>13</v>
      </c>
      <c r="D2008">
        <v>0.1</v>
      </c>
      <c r="E2008">
        <f>IF(D2008&gt;=1,martianeum[[#This Row],[zawartosc]] * 0.01 *martianeum[[#This Row],[masa '[kg']]],0)</f>
        <v>0</v>
      </c>
    </row>
    <row r="2009" spans="1:6" x14ac:dyDescent="0.25">
      <c r="A2009" s="1">
        <v>50648</v>
      </c>
      <c r="B2009" t="s">
        <v>10</v>
      </c>
      <c r="C2009">
        <v>10.8</v>
      </c>
      <c r="D2009">
        <v>11.3</v>
      </c>
      <c r="E2009">
        <f>IF(D2009&gt;=1,martianeum[[#This Row],[zawartosc]] * 0.01 *martianeum[[#This Row],[masa '[kg']]],0)</f>
        <v>1.2204000000000002</v>
      </c>
    </row>
    <row r="2010" spans="1:6" x14ac:dyDescent="0.25">
      <c r="A2010" s="1">
        <v>50649</v>
      </c>
      <c r="B2010" t="s">
        <v>10</v>
      </c>
      <c r="C2010">
        <v>26.4</v>
      </c>
      <c r="D2010">
        <v>18.7</v>
      </c>
      <c r="E2010">
        <f>IF(D2010&gt;=1,martianeum[[#This Row],[zawartosc]] * 0.01 *martianeum[[#This Row],[masa '[kg']]],0)</f>
        <v>4.9367999999999999</v>
      </c>
      <c r="F2010">
        <f t="shared" ref="F2010" si="285">SUM(C2004:C2010)</f>
        <v>130.4</v>
      </c>
    </row>
    <row r="2011" spans="1:6" x14ac:dyDescent="0.25">
      <c r="A2011" s="1">
        <v>50650</v>
      </c>
      <c r="B2011" t="s">
        <v>18</v>
      </c>
      <c r="C2011">
        <v>26.7</v>
      </c>
      <c r="D2011">
        <v>3.9</v>
      </c>
      <c r="E2011">
        <f>IF(D2011&gt;=1,martianeum[[#This Row],[zawartosc]] * 0.01 *martianeum[[#This Row],[masa '[kg']]],0)</f>
        <v>1.0412999999999999</v>
      </c>
    </row>
    <row r="2012" spans="1:6" x14ac:dyDescent="0.25">
      <c r="A2012" s="1">
        <v>50651</v>
      </c>
      <c r="B2012" t="s">
        <v>10</v>
      </c>
      <c r="C2012">
        <v>11.7</v>
      </c>
      <c r="D2012">
        <v>13</v>
      </c>
      <c r="E2012">
        <f>IF(D2012&gt;=1,martianeum[[#This Row],[zawartosc]] * 0.01 *martianeum[[#This Row],[masa '[kg']]],0)</f>
        <v>1.5209999999999999</v>
      </c>
    </row>
    <row r="2013" spans="1:6" x14ac:dyDescent="0.25">
      <c r="A2013" s="1">
        <v>50652</v>
      </c>
      <c r="B2013" t="s">
        <v>29</v>
      </c>
      <c r="C2013">
        <v>12</v>
      </c>
      <c r="D2013">
        <v>0.4</v>
      </c>
      <c r="E2013">
        <f>IF(D2013&gt;=1,martianeum[[#This Row],[zawartosc]] * 0.01 *martianeum[[#This Row],[masa '[kg']]],0)</f>
        <v>0</v>
      </c>
    </row>
    <row r="2014" spans="1:6" x14ac:dyDescent="0.25">
      <c r="A2014" s="1">
        <v>50653</v>
      </c>
      <c r="B2014" t="s">
        <v>20</v>
      </c>
      <c r="C2014">
        <v>24.2</v>
      </c>
      <c r="D2014">
        <v>0.7</v>
      </c>
      <c r="E2014">
        <f>IF(D2014&gt;=1,martianeum[[#This Row],[zawartosc]] * 0.01 *martianeum[[#This Row],[masa '[kg']]],0)</f>
        <v>0</v>
      </c>
    </row>
    <row r="2015" spans="1:6" x14ac:dyDescent="0.25">
      <c r="A2015" s="1">
        <v>50654</v>
      </c>
      <c r="B2015" t="s">
        <v>25</v>
      </c>
      <c r="C2015">
        <v>27.3</v>
      </c>
      <c r="D2015">
        <v>3.7</v>
      </c>
      <c r="E2015">
        <f>IF(D2015&gt;=1,martianeum[[#This Row],[zawartosc]] * 0.01 *martianeum[[#This Row],[masa '[kg']]],0)</f>
        <v>1.0101000000000002</v>
      </c>
    </row>
    <row r="2016" spans="1:6" x14ac:dyDescent="0.25">
      <c r="A2016" s="1">
        <v>50655</v>
      </c>
      <c r="B2016" t="s">
        <v>12</v>
      </c>
      <c r="C2016">
        <v>10.7</v>
      </c>
      <c r="D2016">
        <v>0</v>
      </c>
      <c r="E2016">
        <f>IF(D2016&gt;=1,martianeum[[#This Row],[zawartosc]] * 0.01 *martianeum[[#This Row],[masa '[kg']]],0)</f>
        <v>0</v>
      </c>
    </row>
    <row r="2017" spans="1:6" x14ac:dyDescent="0.25">
      <c r="A2017" s="1">
        <v>50656</v>
      </c>
      <c r="B2017" t="s">
        <v>7</v>
      </c>
      <c r="C2017">
        <v>11.1</v>
      </c>
      <c r="D2017">
        <v>0</v>
      </c>
      <c r="E2017">
        <f>IF(D2017&gt;=1,martianeum[[#This Row],[zawartosc]] * 0.01 *martianeum[[#This Row],[masa '[kg']]],0)</f>
        <v>0</v>
      </c>
      <c r="F2017">
        <f t="shared" ref="F2017" si="286">SUM(C2011:C2017)</f>
        <v>123.69999999999999</v>
      </c>
    </row>
    <row r="2018" spans="1:6" x14ac:dyDescent="0.25">
      <c r="A2018" s="1">
        <v>50657</v>
      </c>
      <c r="B2018" t="s">
        <v>6</v>
      </c>
      <c r="C2018">
        <v>28.5</v>
      </c>
      <c r="D2018">
        <v>19.8</v>
      </c>
      <c r="E2018">
        <f>IF(D2018&gt;=1,martianeum[[#This Row],[zawartosc]] * 0.01 *martianeum[[#This Row],[masa '[kg']]],0)</f>
        <v>5.6430000000000007</v>
      </c>
    </row>
    <row r="2019" spans="1:6" x14ac:dyDescent="0.25">
      <c r="A2019" s="1">
        <v>50658</v>
      </c>
      <c r="B2019" t="s">
        <v>18</v>
      </c>
      <c r="C2019">
        <v>10.1</v>
      </c>
      <c r="D2019">
        <v>0</v>
      </c>
      <c r="E2019">
        <f>IF(D2019&gt;=1,martianeum[[#This Row],[zawartosc]] * 0.01 *martianeum[[#This Row],[masa '[kg']]],0)</f>
        <v>0</v>
      </c>
    </row>
    <row r="2020" spans="1:6" x14ac:dyDescent="0.25">
      <c r="A2020" s="1">
        <v>50659</v>
      </c>
      <c r="B2020" t="s">
        <v>8</v>
      </c>
      <c r="C2020">
        <v>20.8</v>
      </c>
      <c r="D2020">
        <v>11.2</v>
      </c>
      <c r="E2020">
        <f>IF(D2020&gt;=1,martianeum[[#This Row],[zawartosc]] * 0.01 *martianeum[[#This Row],[masa '[kg']]],0)</f>
        <v>2.3295999999999997</v>
      </c>
    </row>
    <row r="2021" spans="1:6" x14ac:dyDescent="0.25">
      <c r="A2021" s="1">
        <v>50660</v>
      </c>
      <c r="B2021" t="s">
        <v>6</v>
      </c>
      <c r="C2021">
        <v>16.600000000000001</v>
      </c>
      <c r="D2021">
        <v>0</v>
      </c>
      <c r="E2021">
        <f>IF(D2021&gt;=1,martianeum[[#This Row],[zawartosc]] * 0.01 *martianeum[[#This Row],[masa '[kg']]],0)</f>
        <v>0</v>
      </c>
    </row>
    <row r="2022" spans="1:6" x14ac:dyDescent="0.25">
      <c r="A2022" s="1">
        <v>50661</v>
      </c>
      <c r="B2022" t="s">
        <v>12</v>
      </c>
      <c r="C2022">
        <v>26.4</v>
      </c>
      <c r="D2022">
        <v>10</v>
      </c>
      <c r="E2022">
        <f>IF(D2022&gt;=1,martianeum[[#This Row],[zawartosc]] * 0.01 *martianeum[[#This Row],[masa '[kg']]],0)</f>
        <v>2.64</v>
      </c>
    </row>
    <row r="2023" spans="1:6" x14ac:dyDescent="0.25">
      <c r="A2023" s="1">
        <v>50662</v>
      </c>
      <c r="B2023" t="s">
        <v>21</v>
      </c>
      <c r="C2023">
        <v>15.1</v>
      </c>
      <c r="D2023">
        <v>0</v>
      </c>
      <c r="E2023">
        <f>IF(D2023&gt;=1,martianeum[[#This Row],[zawartosc]] * 0.01 *martianeum[[#This Row],[masa '[kg']]],0)</f>
        <v>0</v>
      </c>
    </row>
    <row r="2024" spans="1:6" x14ac:dyDescent="0.25">
      <c r="A2024" s="1">
        <v>50663</v>
      </c>
      <c r="B2024" t="s">
        <v>5</v>
      </c>
      <c r="C2024">
        <v>20.9</v>
      </c>
      <c r="D2024">
        <v>10.1</v>
      </c>
      <c r="E2024">
        <f>IF(D2024&gt;=1,martianeum[[#This Row],[zawartosc]] * 0.01 *martianeum[[#This Row],[masa '[kg']]],0)</f>
        <v>2.1108999999999996</v>
      </c>
      <c r="F2024">
        <f t="shared" ref="F2024" si="287">SUM(C2018:C2024)</f>
        <v>138.4</v>
      </c>
    </row>
    <row r="2025" spans="1:6" x14ac:dyDescent="0.25">
      <c r="A2025" s="1">
        <v>50664</v>
      </c>
      <c r="B2025" t="s">
        <v>12</v>
      </c>
      <c r="C2025">
        <v>27.3</v>
      </c>
      <c r="D2025">
        <v>5.3</v>
      </c>
      <c r="E2025">
        <f>IF(D2025&gt;=1,martianeum[[#This Row],[zawartosc]] * 0.01 *martianeum[[#This Row],[masa '[kg']]],0)</f>
        <v>1.4469000000000001</v>
      </c>
    </row>
    <row r="2026" spans="1:6" x14ac:dyDescent="0.25">
      <c r="A2026" s="1">
        <v>50665</v>
      </c>
      <c r="B2026" t="s">
        <v>5</v>
      </c>
      <c r="C2026">
        <v>17.600000000000001</v>
      </c>
      <c r="D2026">
        <v>5.5</v>
      </c>
      <c r="E2026">
        <f>IF(D2026&gt;=1,martianeum[[#This Row],[zawartosc]] * 0.01 *martianeum[[#This Row],[masa '[kg']]],0)</f>
        <v>0.96800000000000008</v>
      </c>
    </row>
    <row r="2027" spans="1:6" x14ac:dyDescent="0.25">
      <c r="A2027" s="1">
        <v>50666</v>
      </c>
      <c r="B2027" t="s">
        <v>18</v>
      </c>
      <c r="C2027">
        <v>27.8</v>
      </c>
      <c r="D2027">
        <v>0</v>
      </c>
      <c r="E2027">
        <f>IF(D2027&gt;=1,martianeum[[#This Row],[zawartosc]] * 0.01 *martianeum[[#This Row],[masa '[kg']]],0)</f>
        <v>0</v>
      </c>
    </row>
    <row r="2028" spans="1:6" x14ac:dyDescent="0.25">
      <c r="A2028" s="1">
        <v>50667</v>
      </c>
      <c r="B2028" t="s">
        <v>9</v>
      </c>
      <c r="C2028">
        <v>25.8</v>
      </c>
      <c r="D2028">
        <v>12.1</v>
      </c>
      <c r="E2028">
        <f>IF(D2028&gt;=1,martianeum[[#This Row],[zawartosc]] * 0.01 *martianeum[[#This Row],[masa '[kg']]],0)</f>
        <v>3.1217999999999999</v>
      </c>
    </row>
    <row r="2029" spans="1:6" x14ac:dyDescent="0.25">
      <c r="A2029" s="1">
        <v>50668</v>
      </c>
      <c r="B2029" t="s">
        <v>25</v>
      </c>
      <c r="C2029">
        <v>18.100000000000001</v>
      </c>
      <c r="D2029">
        <v>1.1000000000000001</v>
      </c>
      <c r="E2029">
        <f>IF(D2029&gt;=1,martianeum[[#This Row],[zawartosc]] * 0.01 *martianeum[[#This Row],[masa '[kg']]],0)</f>
        <v>0.19910000000000003</v>
      </c>
    </row>
    <row r="2030" spans="1:6" x14ac:dyDescent="0.25">
      <c r="A2030" s="1">
        <v>50669</v>
      </c>
      <c r="B2030" t="s">
        <v>11</v>
      </c>
      <c r="C2030">
        <v>21.9</v>
      </c>
      <c r="D2030">
        <v>7.7</v>
      </c>
      <c r="E2030">
        <f>IF(D2030&gt;=1,martianeum[[#This Row],[zawartosc]] * 0.01 *martianeum[[#This Row],[masa '[kg']]],0)</f>
        <v>1.6862999999999999</v>
      </c>
    </row>
    <row r="2031" spans="1:6" x14ac:dyDescent="0.25">
      <c r="A2031" s="1">
        <v>50670</v>
      </c>
      <c r="B2031" t="s">
        <v>26</v>
      </c>
      <c r="C2031">
        <v>23.2</v>
      </c>
      <c r="D2031">
        <v>5.0999999999999996</v>
      </c>
      <c r="E2031">
        <f>IF(D2031&gt;=1,martianeum[[#This Row],[zawartosc]] * 0.01 *martianeum[[#This Row],[masa '[kg']]],0)</f>
        <v>1.1831999999999998</v>
      </c>
      <c r="F2031">
        <f t="shared" ref="F2031" si="288">SUM(C2025:C2031)</f>
        <v>161.69999999999999</v>
      </c>
    </row>
    <row r="2032" spans="1:6" x14ac:dyDescent="0.25">
      <c r="A2032" s="1">
        <v>50671</v>
      </c>
      <c r="B2032" t="s">
        <v>30</v>
      </c>
      <c r="C2032">
        <v>26.6</v>
      </c>
      <c r="D2032">
        <v>0.3</v>
      </c>
      <c r="E2032">
        <f>IF(D2032&gt;=1,martianeum[[#This Row],[zawartosc]] * 0.01 *martianeum[[#This Row],[masa '[kg']]],0)</f>
        <v>0</v>
      </c>
    </row>
    <row r="2033" spans="1:6" x14ac:dyDescent="0.25">
      <c r="A2033" s="1">
        <v>50672</v>
      </c>
      <c r="B2033" t="s">
        <v>10</v>
      </c>
      <c r="C2033">
        <v>23.2</v>
      </c>
      <c r="D2033">
        <v>0</v>
      </c>
      <c r="E2033">
        <f>IF(D2033&gt;=1,martianeum[[#This Row],[zawartosc]] * 0.01 *martianeum[[#This Row],[masa '[kg']]],0)</f>
        <v>0</v>
      </c>
    </row>
    <row r="2034" spans="1:6" x14ac:dyDescent="0.25">
      <c r="A2034" s="1">
        <v>50673</v>
      </c>
      <c r="B2034" t="s">
        <v>9</v>
      </c>
      <c r="C2034">
        <v>11</v>
      </c>
      <c r="D2034">
        <v>40.9</v>
      </c>
      <c r="E2034">
        <f>IF(D2034&gt;=1,martianeum[[#This Row],[zawartosc]] * 0.01 *martianeum[[#This Row],[masa '[kg']]],0)</f>
        <v>4.4989999999999997</v>
      </c>
    </row>
    <row r="2035" spans="1:6" x14ac:dyDescent="0.25">
      <c r="A2035" s="1">
        <v>50674</v>
      </c>
      <c r="B2035" t="s">
        <v>22</v>
      </c>
      <c r="C2035">
        <v>26.8</v>
      </c>
      <c r="D2035">
        <v>2.2999999999999998</v>
      </c>
      <c r="E2035">
        <f>IF(D2035&gt;=1,martianeum[[#This Row],[zawartosc]] * 0.01 *martianeum[[#This Row],[masa '[kg']]],0)</f>
        <v>0.61640000000000006</v>
      </c>
    </row>
    <row r="2036" spans="1:6" x14ac:dyDescent="0.25">
      <c r="A2036" s="1">
        <v>50675</v>
      </c>
      <c r="B2036" t="s">
        <v>12</v>
      </c>
      <c r="C2036">
        <v>22.2</v>
      </c>
      <c r="D2036">
        <v>0</v>
      </c>
      <c r="E2036">
        <f>IF(D2036&gt;=1,martianeum[[#This Row],[zawartosc]] * 0.01 *martianeum[[#This Row],[masa '[kg']]],0)</f>
        <v>0</v>
      </c>
    </row>
    <row r="2037" spans="1:6" x14ac:dyDescent="0.25">
      <c r="A2037" s="1">
        <v>50676</v>
      </c>
      <c r="B2037" t="s">
        <v>17</v>
      </c>
      <c r="C2037">
        <v>10.199999999999999</v>
      </c>
      <c r="D2037">
        <v>6.1</v>
      </c>
      <c r="E2037">
        <f>IF(D2037&gt;=1,martianeum[[#This Row],[zawartosc]] * 0.01 *martianeum[[#This Row],[masa '[kg']]],0)</f>
        <v>0.62219999999999998</v>
      </c>
    </row>
    <row r="2038" spans="1:6" x14ac:dyDescent="0.25">
      <c r="A2038" s="1">
        <v>50677</v>
      </c>
      <c r="B2038" t="s">
        <v>32</v>
      </c>
      <c r="C2038">
        <v>18.399999999999999</v>
      </c>
      <c r="D2038">
        <v>1.5</v>
      </c>
      <c r="E2038">
        <f>IF(D2038&gt;=1,martianeum[[#This Row],[zawartosc]] * 0.01 *martianeum[[#This Row],[masa '[kg']]],0)</f>
        <v>0.27599999999999997</v>
      </c>
      <c r="F2038">
        <f t="shared" ref="F2038" si="289">SUM(C2032:C2038)</f>
        <v>138.4</v>
      </c>
    </row>
    <row r="2039" spans="1:6" x14ac:dyDescent="0.25">
      <c r="A2039" s="1">
        <v>50678</v>
      </c>
      <c r="B2039" t="s">
        <v>6</v>
      </c>
      <c r="C2039">
        <v>29.4</v>
      </c>
      <c r="D2039">
        <v>22.3</v>
      </c>
      <c r="E2039">
        <f>IF(D2039&gt;=1,martianeum[[#This Row],[zawartosc]] * 0.01 *martianeum[[#This Row],[masa '[kg']]],0)</f>
        <v>6.5561999999999996</v>
      </c>
    </row>
    <row r="2040" spans="1:6" x14ac:dyDescent="0.25">
      <c r="A2040" s="1">
        <v>50679</v>
      </c>
      <c r="B2040" t="s">
        <v>22</v>
      </c>
      <c r="C2040">
        <v>23.4</v>
      </c>
      <c r="D2040">
        <v>0</v>
      </c>
      <c r="E2040">
        <f>IF(D2040&gt;=1,martianeum[[#This Row],[zawartosc]] * 0.01 *martianeum[[#This Row],[masa '[kg']]],0)</f>
        <v>0</v>
      </c>
    </row>
    <row r="2041" spans="1:6" x14ac:dyDescent="0.25">
      <c r="A2041" s="1">
        <v>50680</v>
      </c>
      <c r="B2041" t="s">
        <v>4</v>
      </c>
      <c r="C2041">
        <v>13.6</v>
      </c>
      <c r="D2041">
        <v>6.1</v>
      </c>
      <c r="E2041">
        <f>IF(D2041&gt;=1,martianeum[[#This Row],[zawartosc]] * 0.01 *martianeum[[#This Row],[masa '[kg']]],0)</f>
        <v>0.8296</v>
      </c>
    </row>
    <row r="2042" spans="1:6" x14ac:dyDescent="0.25">
      <c r="A2042" s="1">
        <v>50681</v>
      </c>
      <c r="B2042" t="s">
        <v>6</v>
      </c>
      <c r="C2042">
        <v>17.7</v>
      </c>
      <c r="D2042">
        <v>1.4</v>
      </c>
      <c r="E2042">
        <f>IF(D2042&gt;=1,martianeum[[#This Row],[zawartosc]] * 0.01 *martianeum[[#This Row],[masa '[kg']]],0)</f>
        <v>0.24779999999999996</v>
      </c>
    </row>
    <row r="2043" spans="1:6" x14ac:dyDescent="0.25">
      <c r="A2043" s="1">
        <v>50682</v>
      </c>
      <c r="B2043" t="s">
        <v>22</v>
      </c>
      <c r="C2043">
        <v>17</v>
      </c>
      <c r="D2043">
        <v>5.9</v>
      </c>
      <c r="E2043">
        <f>IF(D2043&gt;=1,martianeum[[#This Row],[zawartosc]] * 0.01 *martianeum[[#This Row],[masa '[kg']]],0)</f>
        <v>1.0030000000000001</v>
      </c>
    </row>
    <row r="2044" spans="1:6" x14ac:dyDescent="0.25">
      <c r="A2044" s="1">
        <v>50683</v>
      </c>
      <c r="B2044" t="s">
        <v>5</v>
      </c>
      <c r="C2044">
        <v>29.6</v>
      </c>
      <c r="D2044">
        <v>6.6</v>
      </c>
      <c r="E2044">
        <f>IF(D2044&gt;=1,martianeum[[#This Row],[zawartosc]] * 0.01 *martianeum[[#This Row],[masa '[kg']]],0)</f>
        <v>1.9536000000000002</v>
      </c>
    </row>
    <row r="2045" spans="1:6" x14ac:dyDescent="0.25">
      <c r="A2045" s="1">
        <v>50684</v>
      </c>
      <c r="B2045" t="s">
        <v>9</v>
      </c>
      <c r="C2045">
        <v>23.4</v>
      </c>
      <c r="D2045">
        <v>0</v>
      </c>
      <c r="E2045">
        <f>IF(D2045&gt;=1,martianeum[[#This Row],[zawartosc]] * 0.01 *martianeum[[#This Row],[masa '[kg']]],0)</f>
        <v>0</v>
      </c>
      <c r="F2045">
        <f t="shared" ref="F2045" si="290">SUM(C2039:C2045)</f>
        <v>154.1</v>
      </c>
    </row>
    <row r="2046" spans="1:6" x14ac:dyDescent="0.25">
      <c r="A2046" s="1">
        <v>50685</v>
      </c>
      <c r="B2046" t="s">
        <v>6</v>
      </c>
      <c r="C2046">
        <v>21.3</v>
      </c>
      <c r="D2046">
        <v>22.4</v>
      </c>
      <c r="E2046">
        <f>IF(D2046&gt;=1,martianeum[[#This Row],[zawartosc]] * 0.01 *martianeum[[#This Row],[masa '[kg']]],0)</f>
        <v>4.7711999999999994</v>
      </c>
    </row>
    <row r="2047" spans="1:6" x14ac:dyDescent="0.25">
      <c r="A2047" s="1">
        <v>50686</v>
      </c>
      <c r="B2047" t="s">
        <v>18</v>
      </c>
      <c r="C2047">
        <v>18.600000000000001</v>
      </c>
      <c r="D2047">
        <v>0</v>
      </c>
      <c r="E2047">
        <f>IF(D2047&gt;=1,martianeum[[#This Row],[zawartosc]] * 0.01 *martianeum[[#This Row],[masa '[kg']]],0)</f>
        <v>0</v>
      </c>
    </row>
    <row r="2048" spans="1:6" x14ac:dyDescent="0.25">
      <c r="A2048" s="1">
        <v>50687</v>
      </c>
      <c r="B2048" t="s">
        <v>12</v>
      </c>
      <c r="C2048">
        <v>16.8</v>
      </c>
      <c r="D2048">
        <v>2.8</v>
      </c>
      <c r="E2048">
        <f>IF(D2048&gt;=1,martianeum[[#This Row],[zawartosc]] * 0.01 *martianeum[[#This Row],[masa '[kg']]],0)</f>
        <v>0.47039999999999998</v>
      </c>
    </row>
    <row r="2049" spans="1:6" x14ac:dyDescent="0.25">
      <c r="A2049" s="1">
        <v>50688</v>
      </c>
      <c r="B2049" t="s">
        <v>19</v>
      </c>
      <c r="C2049">
        <v>13.2</v>
      </c>
      <c r="D2049">
        <v>4</v>
      </c>
      <c r="E2049">
        <f>IF(D2049&gt;=1,martianeum[[#This Row],[zawartosc]] * 0.01 *martianeum[[#This Row],[masa '[kg']]],0)</f>
        <v>0.52800000000000002</v>
      </c>
    </row>
    <row r="2050" spans="1:6" x14ac:dyDescent="0.25">
      <c r="A2050" s="1">
        <v>50689</v>
      </c>
      <c r="B2050" t="s">
        <v>18</v>
      </c>
      <c r="C2050">
        <v>29.8</v>
      </c>
      <c r="D2050">
        <v>24.9</v>
      </c>
      <c r="E2050">
        <f>IF(D2050&gt;=1,martianeum[[#This Row],[zawartosc]] * 0.01 *martianeum[[#This Row],[masa '[kg']]],0)</f>
        <v>7.4202000000000004</v>
      </c>
    </row>
    <row r="2051" spans="1:6" x14ac:dyDescent="0.25">
      <c r="A2051" s="1">
        <v>50690</v>
      </c>
      <c r="B2051" t="s">
        <v>9</v>
      </c>
      <c r="C2051">
        <v>10.6</v>
      </c>
      <c r="D2051">
        <v>31.8</v>
      </c>
      <c r="E2051">
        <f>IF(D2051&gt;=1,martianeum[[#This Row],[zawartosc]] * 0.01 *martianeum[[#This Row],[masa '[kg']]],0)</f>
        <v>3.3708</v>
      </c>
    </row>
    <row r="2052" spans="1:6" x14ac:dyDescent="0.25">
      <c r="A2052" s="1">
        <v>50691</v>
      </c>
      <c r="B2052" t="s">
        <v>14</v>
      </c>
      <c r="C2052">
        <v>11.9</v>
      </c>
      <c r="D2052">
        <v>12.3</v>
      </c>
      <c r="E2052">
        <f>IF(D2052&gt;=1,martianeum[[#This Row],[zawartosc]] * 0.01 *martianeum[[#This Row],[masa '[kg']]],0)</f>
        <v>1.4637000000000002</v>
      </c>
      <c r="F2052">
        <f t="shared" ref="F2052" si="291">SUM(C2046:C2052)</f>
        <v>122.2</v>
      </c>
    </row>
    <row r="2053" spans="1:6" x14ac:dyDescent="0.25">
      <c r="A2053" s="1">
        <v>50692</v>
      </c>
      <c r="B2053" t="s">
        <v>29</v>
      </c>
      <c r="C2053">
        <v>26.8</v>
      </c>
      <c r="D2053">
        <v>0.5</v>
      </c>
      <c r="E2053">
        <f>IF(D2053&gt;=1,martianeum[[#This Row],[zawartosc]] * 0.01 *martianeum[[#This Row],[masa '[kg']]],0)</f>
        <v>0</v>
      </c>
    </row>
    <row r="2054" spans="1:6" x14ac:dyDescent="0.25">
      <c r="A2054" s="1">
        <v>50693</v>
      </c>
      <c r="B2054" t="s">
        <v>21</v>
      </c>
      <c r="C2054">
        <v>29</v>
      </c>
      <c r="D2054">
        <v>3.5</v>
      </c>
      <c r="E2054">
        <f>IF(D2054&gt;=1,martianeum[[#This Row],[zawartosc]] * 0.01 *martianeum[[#This Row],[masa '[kg']]],0)</f>
        <v>1.0150000000000001</v>
      </c>
    </row>
    <row r="2055" spans="1:6" x14ac:dyDescent="0.25">
      <c r="A2055" s="1">
        <v>50694</v>
      </c>
      <c r="B2055" t="s">
        <v>19</v>
      </c>
      <c r="C2055">
        <v>22.9</v>
      </c>
      <c r="D2055">
        <v>2</v>
      </c>
      <c r="E2055">
        <f>IF(D2055&gt;=1,martianeum[[#This Row],[zawartosc]] * 0.01 *martianeum[[#This Row],[masa '[kg']]],0)</f>
        <v>0.45799999999999996</v>
      </c>
    </row>
    <row r="2056" spans="1:6" x14ac:dyDescent="0.25">
      <c r="A2056" s="1">
        <v>50695</v>
      </c>
      <c r="B2056" t="s">
        <v>20</v>
      </c>
      <c r="C2056">
        <v>27.1</v>
      </c>
      <c r="D2056">
        <v>0</v>
      </c>
      <c r="E2056">
        <f>IF(D2056&gt;=1,martianeum[[#This Row],[zawartosc]] * 0.01 *martianeum[[#This Row],[masa '[kg']]],0)</f>
        <v>0</v>
      </c>
    </row>
    <row r="2057" spans="1:6" x14ac:dyDescent="0.25">
      <c r="A2057" s="1">
        <v>50696</v>
      </c>
      <c r="B2057" t="s">
        <v>9</v>
      </c>
      <c r="C2057">
        <v>11.8</v>
      </c>
      <c r="D2057">
        <v>49</v>
      </c>
      <c r="E2057">
        <f>IF(D2057&gt;=1,martianeum[[#This Row],[zawartosc]] * 0.01 *martianeum[[#This Row],[masa '[kg']]],0)</f>
        <v>5.782</v>
      </c>
    </row>
    <row r="2058" spans="1:6" x14ac:dyDescent="0.25">
      <c r="A2058" s="1">
        <v>50697</v>
      </c>
      <c r="B2058" t="s">
        <v>5</v>
      </c>
      <c r="C2058">
        <v>26.6</v>
      </c>
      <c r="D2058">
        <v>0</v>
      </c>
      <c r="E2058">
        <f>IF(D2058&gt;=1,martianeum[[#This Row],[zawartosc]] * 0.01 *martianeum[[#This Row],[masa '[kg']]],0)</f>
        <v>0</v>
      </c>
    </row>
    <row r="2059" spans="1:6" x14ac:dyDescent="0.25">
      <c r="A2059" s="1">
        <v>50698</v>
      </c>
      <c r="B2059" t="s">
        <v>17</v>
      </c>
      <c r="C2059">
        <v>21.3</v>
      </c>
      <c r="D2059">
        <v>0</v>
      </c>
      <c r="E2059">
        <f>IF(D2059&gt;=1,martianeum[[#This Row],[zawartosc]] * 0.01 *martianeum[[#This Row],[masa '[kg']]],0)</f>
        <v>0</v>
      </c>
      <c r="F2059">
        <f t="shared" ref="F2059" si="292">SUM(C2053:C2059)</f>
        <v>165.5</v>
      </c>
    </row>
    <row r="2060" spans="1:6" x14ac:dyDescent="0.25">
      <c r="A2060" s="1">
        <v>50699</v>
      </c>
      <c r="B2060" t="s">
        <v>10</v>
      </c>
      <c r="C2060">
        <v>23.2</v>
      </c>
      <c r="D2060">
        <v>0</v>
      </c>
      <c r="E2060">
        <f>IF(D2060&gt;=1,martianeum[[#This Row],[zawartosc]] * 0.01 *martianeum[[#This Row],[masa '[kg']]],0)</f>
        <v>0</v>
      </c>
    </row>
    <row r="2061" spans="1:6" x14ac:dyDescent="0.25">
      <c r="A2061" s="1">
        <v>50700</v>
      </c>
      <c r="B2061" t="s">
        <v>9</v>
      </c>
      <c r="C2061">
        <v>27.3</v>
      </c>
      <c r="D2061">
        <v>0</v>
      </c>
      <c r="E2061">
        <f>IF(D2061&gt;=1,martianeum[[#This Row],[zawartosc]] * 0.01 *martianeum[[#This Row],[masa '[kg']]],0)</f>
        <v>0</v>
      </c>
    </row>
    <row r="2062" spans="1:6" x14ac:dyDescent="0.25">
      <c r="A2062" s="1">
        <v>50701</v>
      </c>
      <c r="B2062" t="s">
        <v>12</v>
      </c>
      <c r="C2062">
        <v>21.3</v>
      </c>
      <c r="D2062">
        <v>2.6</v>
      </c>
      <c r="E2062">
        <f>IF(D2062&gt;=1,martianeum[[#This Row],[zawartosc]] * 0.01 *martianeum[[#This Row],[masa '[kg']]],0)</f>
        <v>0.55380000000000007</v>
      </c>
    </row>
    <row r="2063" spans="1:6" x14ac:dyDescent="0.25">
      <c r="A2063" s="1">
        <v>50702</v>
      </c>
      <c r="B2063" t="s">
        <v>18</v>
      </c>
      <c r="C2063">
        <v>22.9</v>
      </c>
      <c r="D2063">
        <v>5.3</v>
      </c>
      <c r="E2063">
        <f>IF(D2063&gt;=1,martianeum[[#This Row],[zawartosc]] * 0.01 *martianeum[[#This Row],[masa '[kg']]],0)</f>
        <v>1.2137</v>
      </c>
    </row>
    <row r="2064" spans="1:6" x14ac:dyDescent="0.25">
      <c r="A2064" s="1">
        <v>50703</v>
      </c>
      <c r="B2064" t="s">
        <v>27</v>
      </c>
      <c r="C2064">
        <v>25</v>
      </c>
      <c r="D2064">
        <v>0</v>
      </c>
      <c r="E2064">
        <f>IF(D2064&gt;=1,martianeum[[#This Row],[zawartosc]] * 0.01 *martianeum[[#This Row],[masa '[kg']]],0)</f>
        <v>0</v>
      </c>
    </row>
    <row r="2065" spans="1:6" x14ac:dyDescent="0.25">
      <c r="A2065" s="1">
        <v>50704</v>
      </c>
      <c r="B2065" t="s">
        <v>23</v>
      </c>
      <c r="C2065">
        <v>15.9</v>
      </c>
      <c r="D2065">
        <v>2.5</v>
      </c>
      <c r="E2065">
        <f>IF(D2065&gt;=1,martianeum[[#This Row],[zawartosc]] * 0.01 *martianeum[[#This Row],[masa '[kg']]],0)</f>
        <v>0.39750000000000002</v>
      </c>
    </row>
    <row r="2066" spans="1:6" x14ac:dyDescent="0.25">
      <c r="A2066" s="1">
        <v>50705</v>
      </c>
      <c r="B2066" t="s">
        <v>21</v>
      </c>
      <c r="C2066">
        <v>19.2</v>
      </c>
      <c r="D2066">
        <v>1.3</v>
      </c>
      <c r="E2066">
        <f>IF(D2066&gt;=1,martianeum[[#This Row],[zawartosc]] * 0.01 *martianeum[[#This Row],[masa '[kg']]],0)</f>
        <v>0.24960000000000002</v>
      </c>
      <c r="F2066">
        <f t="shared" ref="F2066" si="293">SUM(C2060:C2066)</f>
        <v>154.79999999999998</v>
      </c>
    </row>
    <row r="2067" spans="1:6" x14ac:dyDescent="0.25">
      <c r="A2067" s="1">
        <v>50706</v>
      </c>
      <c r="B2067" t="s">
        <v>6</v>
      </c>
      <c r="C2067">
        <v>22.5</v>
      </c>
      <c r="D2067">
        <v>10.9</v>
      </c>
      <c r="E2067">
        <f>IF(D2067&gt;=1,martianeum[[#This Row],[zawartosc]] * 0.01 *martianeum[[#This Row],[masa '[kg']]],0)</f>
        <v>2.4525000000000001</v>
      </c>
    </row>
    <row r="2068" spans="1:6" x14ac:dyDescent="0.25">
      <c r="A2068" s="1">
        <v>50707</v>
      </c>
      <c r="B2068" t="s">
        <v>12</v>
      </c>
      <c r="C2068">
        <v>28.7</v>
      </c>
      <c r="D2068">
        <v>13.3</v>
      </c>
      <c r="E2068">
        <f>IF(D2068&gt;=1,martianeum[[#This Row],[zawartosc]] * 0.01 *martianeum[[#This Row],[masa '[kg']]],0)</f>
        <v>3.8170999999999999</v>
      </c>
    </row>
    <row r="2069" spans="1:6" x14ac:dyDescent="0.25">
      <c r="A2069" s="1">
        <v>50708</v>
      </c>
      <c r="B2069" t="s">
        <v>18</v>
      </c>
      <c r="C2069">
        <v>14.6</v>
      </c>
      <c r="D2069">
        <v>29.3</v>
      </c>
      <c r="E2069">
        <f>IF(D2069&gt;=1,martianeum[[#This Row],[zawartosc]] * 0.01 *martianeum[[#This Row],[masa '[kg']]],0)</f>
        <v>4.2778</v>
      </c>
    </row>
    <row r="2070" spans="1:6" x14ac:dyDescent="0.25">
      <c r="A2070" s="1">
        <v>50709</v>
      </c>
      <c r="B2070" t="s">
        <v>17</v>
      </c>
      <c r="C2070">
        <v>12.1</v>
      </c>
      <c r="D2070">
        <v>6.5</v>
      </c>
      <c r="E2070">
        <f>IF(D2070&gt;=1,martianeum[[#This Row],[zawartosc]] * 0.01 *martianeum[[#This Row],[masa '[kg']]],0)</f>
        <v>0.78649999999999998</v>
      </c>
    </row>
    <row r="2071" spans="1:6" x14ac:dyDescent="0.25">
      <c r="A2071" s="1">
        <v>50710</v>
      </c>
      <c r="B2071" t="s">
        <v>18</v>
      </c>
      <c r="C2071">
        <v>20</v>
      </c>
      <c r="D2071">
        <v>26.1</v>
      </c>
      <c r="E2071">
        <f>IF(D2071&gt;=1,martianeum[[#This Row],[zawartosc]] * 0.01 *martianeum[[#This Row],[masa '[kg']]],0)</f>
        <v>5.2200000000000006</v>
      </c>
    </row>
    <row r="2072" spans="1:6" x14ac:dyDescent="0.25">
      <c r="A2072" s="1">
        <v>50711</v>
      </c>
      <c r="B2072" t="s">
        <v>26</v>
      </c>
      <c r="C2072">
        <v>20.8</v>
      </c>
      <c r="D2072">
        <v>2.5</v>
      </c>
      <c r="E2072">
        <f>IF(D2072&gt;=1,martianeum[[#This Row],[zawartosc]] * 0.01 *martianeum[[#This Row],[masa '[kg']]],0)</f>
        <v>0.52</v>
      </c>
    </row>
    <row r="2073" spans="1:6" x14ac:dyDescent="0.25">
      <c r="A2073" s="1">
        <v>50712</v>
      </c>
      <c r="B2073" t="s">
        <v>6</v>
      </c>
      <c r="C2073">
        <v>26.6</v>
      </c>
      <c r="D2073">
        <v>5.9</v>
      </c>
      <c r="E2073">
        <f>IF(D2073&gt;=1,martianeum[[#This Row],[zawartosc]] * 0.01 *martianeum[[#This Row],[masa '[kg']]],0)</f>
        <v>1.5694000000000001</v>
      </c>
      <c r="F2073">
        <f t="shared" ref="F2073" si="294">SUM(C2067:C2073)</f>
        <v>145.29999999999998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C4DE-66C8-4262-8B9B-A318E69DBB13}">
  <dimension ref="A3:D34"/>
  <sheetViews>
    <sheetView zoomScale="115" zoomScaleNormal="115" workbookViewId="0">
      <selection activeCell="D31" sqref="D31"/>
    </sheetView>
  </sheetViews>
  <sheetFormatPr defaultRowHeight="15" x14ac:dyDescent="0.25"/>
  <cols>
    <col min="1" max="1" width="17.7109375" bestFit="1" customWidth="1"/>
    <col min="2" max="2" width="18.28515625" bestFit="1" customWidth="1"/>
    <col min="3" max="6" width="12" bestFit="1" customWidth="1"/>
    <col min="7" max="7" width="11" bestFit="1" customWidth="1"/>
    <col min="8" max="8" width="7" bestFit="1" customWidth="1"/>
    <col min="9" max="10" width="12" bestFit="1" customWidth="1"/>
    <col min="11" max="11" width="7" bestFit="1" customWidth="1"/>
    <col min="12" max="12" width="12" bestFit="1" customWidth="1"/>
    <col min="13" max="13" width="8.140625" bestFit="1" customWidth="1"/>
    <col min="14" max="15" width="12" bestFit="1" customWidth="1"/>
    <col min="16" max="16" width="14.28515625" bestFit="1" customWidth="1"/>
    <col min="17" max="17" width="12" bestFit="1" customWidth="1"/>
    <col min="18" max="18" width="15.140625" bestFit="1" customWidth="1"/>
    <col min="19" max="19" width="13.7109375" bestFit="1" customWidth="1"/>
    <col min="20" max="20" width="13.28515625" bestFit="1" customWidth="1"/>
    <col min="21" max="21" width="16" bestFit="1" customWidth="1"/>
    <col min="22" max="22" width="17" bestFit="1" customWidth="1"/>
    <col min="23" max="26" width="12" bestFit="1" customWidth="1"/>
    <col min="27" max="27" width="14.85546875" bestFit="1" customWidth="1"/>
    <col min="28" max="28" width="13.5703125" bestFit="1" customWidth="1"/>
    <col min="29" max="31" width="12" bestFit="1" customWidth="1"/>
    <col min="32" max="32" width="14.28515625" bestFit="1" customWidth="1"/>
  </cols>
  <sheetData>
    <row r="3" spans="1:4" x14ac:dyDescent="0.25">
      <c r="A3" s="2" t="s">
        <v>36</v>
      </c>
      <c r="B3" t="s">
        <v>35</v>
      </c>
    </row>
    <row r="4" spans="1:4" x14ac:dyDescent="0.25">
      <c r="A4" s="4" t="s">
        <v>22</v>
      </c>
      <c r="B4" s="3">
        <v>20.923255813953489</v>
      </c>
      <c r="D4" s="7">
        <f>MIN(B4:B33)</f>
        <v>17.835714285714282</v>
      </c>
    </row>
    <row r="5" spans="1:4" x14ac:dyDescent="0.25">
      <c r="A5" s="4" t="s">
        <v>10</v>
      </c>
      <c r="B5" s="3">
        <v>19.651449275362314</v>
      </c>
    </row>
    <row r="6" spans="1:4" x14ac:dyDescent="0.25">
      <c r="A6" s="4" t="s">
        <v>4</v>
      </c>
      <c r="B6" s="3">
        <v>18.398214285714282</v>
      </c>
    </row>
    <row r="7" spans="1:4" x14ac:dyDescent="0.25">
      <c r="A7" s="4" t="s">
        <v>13</v>
      </c>
      <c r="B7" s="3">
        <v>19.547457627118646</v>
      </c>
    </row>
    <row r="8" spans="1:4" x14ac:dyDescent="0.25">
      <c r="A8" s="4" t="s">
        <v>25</v>
      </c>
      <c r="B8" s="3">
        <v>19.152830188679246</v>
      </c>
    </row>
    <row r="9" spans="1:4" x14ac:dyDescent="0.25">
      <c r="A9" s="4" t="s">
        <v>23</v>
      </c>
      <c r="B9" s="3">
        <v>18.451612903225808</v>
      </c>
    </row>
    <row r="10" spans="1:4" x14ac:dyDescent="0.25">
      <c r="A10" s="4" t="s">
        <v>26</v>
      </c>
      <c r="B10" s="3">
        <v>19.838000000000001</v>
      </c>
    </row>
    <row r="11" spans="1:4" x14ac:dyDescent="0.25">
      <c r="A11" s="4" t="s">
        <v>3</v>
      </c>
      <c r="B11" s="3">
        <v>18.830769230769231</v>
      </c>
    </row>
    <row r="12" spans="1:4" x14ac:dyDescent="0.25">
      <c r="A12" s="4" t="s">
        <v>6</v>
      </c>
      <c r="B12" s="3">
        <v>21.702631578947376</v>
      </c>
    </row>
    <row r="13" spans="1:4" x14ac:dyDescent="0.25">
      <c r="A13" s="4" t="s">
        <v>29</v>
      </c>
      <c r="B13" s="3">
        <v>19.720000000000002</v>
      </c>
    </row>
    <row r="14" spans="1:4" x14ac:dyDescent="0.25">
      <c r="A14" s="4" t="s">
        <v>19</v>
      </c>
      <c r="B14" s="3">
        <v>18.58717948717949</v>
      </c>
    </row>
    <row r="15" spans="1:4" x14ac:dyDescent="0.25">
      <c r="A15" s="4" t="s">
        <v>12</v>
      </c>
      <c r="B15" s="3">
        <v>19.525000000000002</v>
      </c>
    </row>
    <row r="16" spans="1:4" x14ac:dyDescent="0.25">
      <c r="A16" s="4" t="s">
        <v>30</v>
      </c>
      <c r="B16" s="3">
        <v>19.113333333333333</v>
      </c>
    </row>
    <row r="17" spans="1:2" x14ac:dyDescent="0.25">
      <c r="A17" s="4" t="s">
        <v>9</v>
      </c>
      <c r="B17" s="3">
        <v>19.362251655629144</v>
      </c>
    </row>
    <row r="18" spans="1:2" x14ac:dyDescent="0.25">
      <c r="A18" s="4" t="s">
        <v>7</v>
      </c>
      <c r="B18" s="3">
        <v>19.332499999999996</v>
      </c>
    </row>
    <row r="19" spans="1:2" x14ac:dyDescent="0.25">
      <c r="A19" s="4" t="s">
        <v>16</v>
      </c>
      <c r="B19" s="3">
        <v>21.551851851851861</v>
      </c>
    </row>
    <row r="20" spans="1:2" x14ac:dyDescent="0.25">
      <c r="A20" s="4" t="s">
        <v>21</v>
      </c>
      <c r="B20" s="3">
        <v>19.109375</v>
      </c>
    </row>
    <row r="21" spans="1:2" x14ac:dyDescent="0.25">
      <c r="A21" s="4" t="s">
        <v>28</v>
      </c>
      <c r="B21" s="3">
        <v>23.428571428571427</v>
      </c>
    </row>
    <row r="22" spans="1:2" x14ac:dyDescent="0.25">
      <c r="A22" s="4" t="s">
        <v>8</v>
      </c>
      <c r="B22" s="3">
        <v>20.128750000000004</v>
      </c>
    </row>
    <row r="23" spans="1:2" x14ac:dyDescent="0.25">
      <c r="A23" s="4" t="s">
        <v>31</v>
      </c>
      <c r="B23" s="3">
        <v>22.371428571428567</v>
      </c>
    </row>
    <row r="24" spans="1:2" x14ac:dyDescent="0.25">
      <c r="A24" s="4" t="s">
        <v>20</v>
      </c>
      <c r="B24" s="3">
        <v>21.487999999999996</v>
      </c>
    </row>
    <row r="25" spans="1:2" x14ac:dyDescent="0.25">
      <c r="A25" s="4" t="s">
        <v>17</v>
      </c>
      <c r="B25" s="3">
        <v>19.852884615384614</v>
      </c>
    </row>
    <row r="26" spans="1:2" x14ac:dyDescent="0.25">
      <c r="A26" s="4" t="s">
        <v>5</v>
      </c>
      <c r="B26" s="3">
        <v>20.26153846153845</v>
      </c>
    </row>
    <row r="27" spans="1:2" x14ac:dyDescent="0.25">
      <c r="A27" s="4" t="s">
        <v>15</v>
      </c>
      <c r="B27" s="3">
        <v>22.430769230769233</v>
      </c>
    </row>
    <row r="28" spans="1:2" x14ac:dyDescent="0.25">
      <c r="A28" s="4" t="s">
        <v>32</v>
      </c>
      <c r="B28" s="3">
        <v>21.426086956521736</v>
      </c>
    </row>
    <row r="29" spans="1:2" x14ac:dyDescent="0.25">
      <c r="A29" s="4" t="s">
        <v>14</v>
      </c>
      <c r="B29" s="3">
        <v>20.084251968503942</v>
      </c>
    </row>
    <row r="30" spans="1:2" x14ac:dyDescent="0.25">
      <c r="A30" s="4" t="s">
        <v>11</v>
      </c>
      <c r="B30" s="3">
        <v>20.698684210526313</v>
      </c>
    </row>
    <row r="31" spans="1:2" x14ac:dyDescent="0.25">
      <c r="A31" s="4" t="s">
        <v>24</v>
      </c>
      <c r="B31" s="3">
        <v>20.065384615384616</v>
      </c>
    </row>
    <row r="32" spans="1:2" x14ac:dyDescent="0.25">
      <c r="A32" s="4" t="s">
        <v>18</v>
      </c>
      <c r="B32" s="3">
        <v>20.515021459227452</v>
      </c>
    </row>
    <row r="33" spans="1:2" x14ac:dyDescent="0.25">
      <c r="A33" s="5" t="s">
        <v>27</v>
      </c>
      <c r="B33" s="6">
        <v>17.835714285714282</v>
      </c>
    </row>
    <row r="34" spans="1:2" x14ac:dyDescent="0.25">
      <c r="A34" s="4" t="s">
        <v>34</v>
      </c>
      <c r="B34" s="3">
        <v>20.028088803088796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EB79-3F76-4E82-BD99-8D3F695303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EC7794-0982-4C2B-A9D5-BCF123493B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Arkusz4</vt:lpstr>
      <vt:lpstr>Arkusz2</vt:lpstr>
      <vt:lpstr>6.2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uczen_ST17</dc:creator>
  <cp:lastModifiedBy>uczen_ST17</cp:lastModifiedBy>
  <dcterms:created xsi:type="dcterms:W3CDTF">2025-10-21T12:37:00Z</dcterms:created>
  <dcterms:modified xsi:type="dcterms:W3CDTF">2025-10-21T13:23:59Z</dcterms:modified>
</cp:coreProperties>
</file>